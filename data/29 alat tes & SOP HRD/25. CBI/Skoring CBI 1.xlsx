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workbookProtection workbookPassword="C53D" lockStructure="1"/>
  <bookViews>
    <workbookView xWindow="0" yWindow="30" windowWidth="16665" windowHeight="7065" activeTab="2"/>
  </bookViews>
  <sheets>
    <sheet name="Soal" sheetId="1" r:id="rId1"/>
    <sheet name="Psikogram" sheetId="3" r:id="rId2"/>
    <sheet name="Interpretasi" sheetId="2" r:id="rId3"/>
    <sheet name="Lembar Jawaban" sheetId="4" r:id="rId4"/>
  </sheets>
  <definedNames>
    <definedName name="_xlnm.Print_Area" localSheetId="2">Interpretasi!$A$1:$AI$72</definedName>
    <definedName name="_xlnm.Print_Area" localSheetId="3">'Lembar Jawaban'!$A$1:$AM$39</definedName>
    <definedName name="_xlnm.Print_Area" localSheetId="1">Psikogram!$A$1:$AT$52</definedName>
    <definedName name="_xlnm.Print_Area" localSheetId="0">Soal!$B$1:$N$162</definedName>
  </definedNames>
  <calcPr calcId="145621"/>
</workbook>
</file>

<file path=xl/calcChain.xml><?xml version="1.0" encoding="utf-8"?>
<calcChain xmlns="http://schemas.openxmlformats.org/spreadsheetml/2006/main">
  <c r="B29" i="2" l="1"/>
  <c r="B30" i="2" s="1"/>
  <c r="B31" i="2" s="1"/>
  <c r="B32" i="2" s="1"/>
  <c r="B33" i="2" s="1"/>
  <c r="B34" i="2" s="1"/>
  <c r="B35" i="2" s="1"/>
  <c r="B36" i="2" s="1"/>
  <c r="B37" i="2" s="1"/>
  <c r="B38" i="2" s="1"/>
  <c r="B39" i="2" s="1"/>
  <c r="B40" i="2" s="1"/>
  <c r="B41" i="2" s="1"/>
  <c r="F29" i="2"/>
  <c r="F30" i="2" s="1"/>
  <c r="F31" i="2" s="1"/>
  <c r="F32" i="2" s="1"/>
  <c r="F33" i="2" s="1"/>
  <c r="F34" i="2" s="1"/>
  <c r="F35" i="2" s="1"/>
  <c r="F36" i="2" s="1"/>
  <c r="F37" i="2" s="1"/>
  <c r="F38" i="2" s="1"/>
  <c r="F39" i="2" s="1"/>
  <c r="F40" i="2" s="1"/>
  <c r="F41" i="2" s="1"/>
  <c r="J29" i="2"/>
  <c r="J30" i="2" s="1"/>
  <c r="J31" i="2" s="1"/>
  <c r="J32" i="2" s="1"/>
  <c r="J33" i="2" s="1"/>
  <c r="J34" i="2" s="1"/>
  <c r="J35" i="2" s="1"/>
  <c r="J36" i="2" s="1"/>
  <c r="J37" i="2" s="1"/>
  <c r="J38" i="2" s="1"/>
  <c r="J39" i="2" s="1"/>
  <c r="J40" i="2" s="1"/>
  <c r="J41" i="2" s="1"/>
  <c r="N29" i="2"/>
  <c r="N30" i="2" s="1"/>
  <c r="N31" i="2" s="1"/>
  <c r="N32" i="2" s="1"/>
  <c r="N33" i="2" s="1"/>
  <c r="N34" i="2" s="1"/>
  <c r="N35" i="2" s="1"/>
  <c r="N36" i="2" s="1"/>
  <c r="N37" i="2" s="1"/>
  <c r="N38" i="2" s="1"/>
  <c r="N39" i="2" s="1"/>
  <c r="N40" i="2" s="1"/>
  <c r="N41" i="2" s="1"/>
  <c r="R29" i="2"/>
  <c r="R30" i="2" s="1"/>
  <c r="R31" i="2" s="1"/>
  <c r="R32" i="2" s="1"/>
  <c r="R33" i="2" s="1"/>
  <c r="R34" i="2" s="1"/>
  <c r="R35" i="2" s="1"/>
  <c r="R36" i="2" s="1"/>
  <c r="R37" i="2" s="1"/>
  <c r="R38" i="2" s="1"/>
  <c r="R39" i="2" s="1"/>
  <c r="R40" i="2" s="1"/>
  <c r="R41" i="2" s="1"/>
  <c r="V29" i="2"/>
  <c r="V30" i="2" s="1"/>
  <c r="V31" i="2" s="1"/>
  <c r="V32" i="2" s="1"/>
  <c r="V33" i="2" s="1"/>
  <c r="V34" i="2" s="1"/>
  <c r="V35" i="2" s="1"/>
  <c r="V36" i="2" s="1"/>
  <c r="V37" i="2" s="1"/>
  <c r="V38" i="2" s="1"/>
  <c r="V39" i="2" s="1"/>
  <c r="V40" i="2" s="1"/>
  <c r="V41" i="2" s="1"/>
  <c r="Z29" i="2"/>
  <c r="Z30" i="2" s="1"/>
  <c r="Z31" i="2" s="1"/>
  <c r="Z32" i="2" s="1"/>
  <c r="Z33" i="2" s="1"/>
  <c r="Z34" i="2" s="1"/>
  <c r="Z35" i="2" s="1"/>
  <c r="Z36" i="2" s="1"/>
  <c r="Z37" i="2" s="1"/>
  <c r="Z38" i="2" s="1"/>
  <c r="Z39" i="2" s="1"/>
  <c r="Z40" i="2" s="1"/>
  <c r="Z41" i="2" s="1"/>
  <c r="AD29" i="2"/>
  <c r="AD30" i="2" s="1"/>
  <c r="AD31" i="2" s="1"/>
  <c r="AD32" i="2" s="1"/>
  <c r="AD33" i="2" s="1"/>
  <c r="AD34" i="2" s="1"/>
  <c r="AD35" i="2" s="1"/>
  <c r="AD36" i="2" s="1"/>
  <c r="AD37" i="2" s="1"/>
  <c r="AD38" i="2" s="1"/>
  <c r="AD39" i="2" s="1"/>
  <c r="AD40" i="2" s="1"/>
  <c r="AD41" i="2" s="1"/>
  <c r="AH29" i="2"/>
  <c r="AH30" i="2" s="1"/>
  <c r="AH31" i="2" s="1"/>
  <c r="AH32" i="2" s="1"/>
  <c r="AH33" i="2" s="1"/>
  <c r="AH34" i="2" s="1"/>
  <c r="AH35" i="2" s="1"/>
  <c r="AH36" i="2" s="1"/>
  <c r="AH37" i="2" s="1"/>
  <c r="AH38" i="2" s="1"/>
  <c r="AH39" i="2" s="1"/>
  <c r="AH40" i="2" s="1"/>
  <c r="AH41" i="2" s="1"/>
  <c r="AL29" i="2"/>
  <c r="AL30" i="2" s="1"/>
  <c r="AL31" i="2" s="1"/>
  <c r="AL32" i="2" s="1"/>
  <c r="AL33" i="2" s="1"/>
  <c r="AL34" i="2" s="1"/>
  <c r="AL35" i="2" s="1"/>
  <c r="AL36" i="2" s="1"/>
  <c r="AL37" i="2" s="1"/>
  <c r="AL38" i="2" s="1"/>
  <c r="AL39" i="2" s="1"/>
  <c r="AL40" i="2" s="1"/>
  <c r="AL41" i="2" s="1"/>
  <c r="B12" i="2"/>
  <c r="B13" i="2" s="1"/>
  <c r="B14" i="2" s="1"/>
  <c r="B15" i="2" s="1"/>
  <c r="B16" i="2" s="1"/>
  <c r="B17" i="2" s="1"/>
  <c r="B18" i="2" s="1"/>
  <c r="B19" i="2" s="1"/>
  <c r="B20" i="2" s="1"/>
  <c r="B21" i="2" s="1"/>
  <c r="B22" i="2" s="1"/>
  <c r="B23" i="2" s="1"/>
  <c r="B24" i="2" s="1"/>
  <c r="F12" i="2"/>
  <c r="F13" i="2" s="1"/>
  <c r="F14" i="2" s="1"/>
  <c r="F15" i="2" s="1"/>
  <c r="F16" i="2" s="1"/>
  <c r="F17" i="2" s="1"/>
  <c r="F18" i="2" s="1"/>
  <c r="F19" i="2" s="1"/>
  <c r="F20" i="2" s="1"/>
  <c r="F21" i="2" s="1"/>
  <c r="F22" i="2" s="1"/>
  <c r="F23" i="2" s="1"/>
  <c r="F24" i="2" s="1"/>
  <c r="J12" i="2"/>
  <c r="N12" i="2"/>
  <c r="N13" i="2" s="1"/>
  <c r="N14" i="2" s="1"/>
  <c r="N15" i="2" s="1"/>
  <c r="N16" i="2" s="1"/>
  <c r="N17" i="2" s="1"/>
  <c r="N18" i="2" s="1"/>
  <c r="N19" i="2" s="1"/>
  <c r="N20" i="2" s="1"/>
  <c r="N21" i="2" s="1"/>
  <c r="N22" i="2" s="1"/>
  <c r="N23" i="2" s="1"/>
  <c r="N24" i="2" s="1"/>
  <c r="R12" i="2"/>
  <c r="R13" i="2" s="1"/>
  <c r="R14" i="2" s="1"/>
  <c r="R15" i="2" s="1"/>
  <c r="R16" i="2" s="1"/>
  <c r="R17" i="2" s="1"/>
  <c r="R18" i="2" s="1"/>
  <c r="R19" i="2" s="1"/>
  <c r="R20" i="2" s="1"/>
  <c r="R21" i="2" s="1"/>
  <c r="R22" i="2" s="1"/>
  <c r="R23" i="2" s="1"/>
  <c r="R24" i="2" s="1"/>
  <c r="V12" i="2"/>
  <c r="V13" i="2" s="1"/>
  <c r="V14" i="2" s="1"/>
  <c r="V15" i="2" s="1"/>
  <c r="V16" i="2" s="1"/>
  <c r="V17" i="2" s="1"/>
  <c r="V18" i="2" s="1"/>
  <c r="V19" i="2" s="1"/>
  <c r="V20" i="2" s="1"/>
  <c r="V21" i="2" s="1"/>
  <c r="V22" i="2" s="1"/>
  <c r="V23" i="2" s="1"/>
  <c r="V24" i="2" s="1"/>
  <c r="Z12" i="2"/>
  <c r="Z13" i="2" s="1"/>
  <c r="Z14" i="2" s="1"/>
  <c r="Z15" i="2" s="1"/>
  <c r="Z16" i="2" s="1"/>
  <c r="Z17" i="2" s="1"/>
  <c r="Z18" i="2" s="1"/>
  <c r="Z19" i="2" s="1"/>
  <c r="Z20" i="2" s="1"/>
  <c r="Z21" i="2" s="1"/>
  <c r="Z22" i="2" s="1"/>
  <c r="Z23" i="2" s="1"/>
  <c r="Z24" i="2" s="1"/>
  <c r="AD12" i="2"/>
  <c r="AD13" i="2" s="1"/>
  <c r="AD14" i="2" s="1"/>
  <c r="AD15" i="2" s="1"/>
  <c r="AD16" i="2" s="1"/>
  <c r="AD17" i="2" s="1"/>
  <c r="AD18" i="2" s="1"/>
  <c r="AD19" i="2" s="1"/>
  <c r="AD20" i="2" s="1"/>
  <c r="AD21" i="2" s="1"/>
  <c r="AD22" i="2" s="1"/>
  <c r="AD23" i="2" s="1"/>
  <c r="AD24" i="2" s="1"/>
  <c r="AH12" i="2"/>
  <c r="AH13" i="2" s="1"/>
  <c r="AH14" i="2" s="1"/>
  <c r="AH15" i="2" s="1"/>
  <c r="AH16" i="2" s="1"/>
  <c r="AH17" i="2" s="1"/>
  <c r="AH18" i="2" s="1"/>
  <c r="AH19" i="2" s="1"/>
  <c r="AH20" i="2" s="1"/>
  <c r="AH21" i="2" s="1"/>
  <c r="AH22" i="2" s="1"/>
  <c r="AH23" i="2" s="1"/>
  <c r="AH24" i="2" s="1"/>
  <c r="AL12" i="2"/>
  <c r="AL13" i="2" s="1"/>
  <c r="AL14" i="2" s="1"/>
  <c r="AL15" i="2" s="1"/>
  <c r="AL16" i="2" s="1"/>
  <c r="AL17" i="2" s="1"/>
  <c r="AL18" i="2" s="1"/>
  <c r="AL19" i="2" s="1"/>
  <c r="AL20" i="2" s="1"/>
  <c r="AL21" i="2" s="1"/>
  <c r="AL22" i="2" s="1"/>
  <c r="AL23" i="2" s="1"/>
  <c r="AL24" i="2" s="1"/>
  <c r="J13" i="2"/>
  <c r="J14" i="2" s="1"/>
  <c r="J15" i="2" s="1"/>
  <c r="J16" i="2" s="1"/>
  <c r="J17" i="2" s="1"/>
  <c r="J18" i="2" s="1"/>
  <c r="J19" i="2" s="1"/>
  <c r="J20" i="2" s="1"/>
  <c r="J21" i="2" s="1"/>
  <c r="J22" i="2" s="1"/>
  <c r="J23" i="2" s="1"/>
  <c r="J24" i="2" s="1"/>
  <c r="AV144" i="2"/>
  <c r="AN41" i="2" s="1"/>
  <c r="AN24" i="2" s="1"/>
  <c r="AU144" i="2"/>
  <c r="AM41" i="2" s="1"/>
  <c r="AM24" i="2" s="1"/>
  <c r="AV143" i="2"/>
  <c r="AN40" i="2" s="1"/>
  <c r="AN23" i="2" s="1"/>
  <c r="AU143" i="2"/>
  <c r="AM40" i="2" s="1"/>
  <c r="AM23" i="2" s="1"/>
  <c r="AV142" i="2"/>
  <c r="AN39" i="2" s="1"/>
  <c r="AN22" i="2" s="1"/>
  <c r="AU142" i="2"/>
  <c r="AM39" i="2" s="1"/>
  <c r="AV141" i="2"/>
  <c r="AN38" i="2" s="1"/>
  <c r="AN21" i="2" s="1"/>
  <c r="AU141" i="2"/>
  <c r="AM38" i="2" s="1"/>
  <c r="AM21" i="2" s="1"/>
  <c r="AV140" i="2"/>
  <c r="AN37" i="2" s="1"/>
  <c r="AN20" i="2" s="1"/>
  <c r="AU140" i="2"/>
  <c r="AM37" i="2" s="1"/>
  <c r="AM20" i="2" s="1"/>
  <c r="AV139" i="2"/>
  <c r="AN36" i="2" s="1"/>
  <c r="AN19" i="2" s="1"/>
  <c r="AU139" i="2"/>
  <c r="AM36" i="2" s="1"/>
  <c r="AM19" i="2" s="1"/>
  <c r="AV138" i="2"/>
  <c r="AN35" i="2" s="1"/>
  <c r="AN18" i="2" s="1"/>
  <c r="AU138" i="2"/>
  <c r="AM35" i="2" s="1"/>
  <c r="AM18" i="2" s="1"/>
  <c r="AV137" i="2"/>
  <c r="AN34" i="2" s="1"/>
  <c r="AN17" i="2" s="1"/>
  <c r="AU137" i="2"/>
  <c r="AM34" i="2" s="1"/>
  <c r="AM17" i="2" s="1"/>
  <c r="AV136" i="2"/>
  <c r="AN33" i="2" s="1"/>
  <c r="AN16" i="2" s="1"/>
  <c r="AU136" i="2"/>
  <c r="AM33" i="2" s="1"/>
  <c r="AM16" i="2" s="1"/>
  <c r="AV135" i="2"/>
  <c r="AN32" i="2" s="1"/>
  <c r="AN15" i="2" s="1"/>
  <c r="AU135" i="2"/>
  <c r="AM32" i="2" s="1"/>
  <c r="AM15" i="2" s="1"/>
  <c r="AV134" i="2"/>
  <c r="AN31" i="2" s="1"/>
  <c r="AN14" i="2" s="1"/>
  <c r="AU134" i="2"/>
  <c r="AM31" i="2" s="1"/>
  <c r="AM14" i="2" s="1"/>
  <c r="AV133" i="2"/>
  <c r="AN30" i="2" s="1"/>
  <c r="AN13" i="2" s="1"/>
  <c r="AU133" i="2"/>
  <c r="AM30" i="2" s="1"/>
  <c r="AM13" i="2" s="1"/>
  <c r="AV132" i="2"/>
  <c r="AN29" i="2" s="1"/>
  <c r="AN12" i="2" s="1"/>
  <c r="AU132" i="2"/>
  <c r="AM29" i="2" s="1"/>
  <c r="AM12" i="2" s="1"/>
  <c r="AV131" i="2"/>
  <c r="AN28" i="2" s="1"/>
  <c r="AN11" i="2" s="1"/>
  <c r="AU131" i="2"/>
  <c r="AM28" i="2" s="1"/>
  <c r="AM11" i="2" s="1"/>
  <c r="AV130" i="2"/>
  <c r="AJ41" i="2" s="1"/>
  <c r="AJ24" i="2" s="1"/>
  <c r="AU130" i="2"/>
  <c r="AI41" i="2" s="1"/>
  <c r="AI24" i="2" s="1"/>
  <c r="AV129" i="2"/>
  <c r="AJ40" i="2" s="1"/>
  <c r="AJ23" i="2" s="1"/>
  <c r="AU129" i="2"/>
  <c r="AI40" i="2" s="1"/>
  <c r="AI23" i="2" s="1"/>
  <c r="AV128" i="2"/>
  <c r="AJ39" i="2" s="1"/>
  <c r="AJ22" i="2" s="1"/>
  <c r="AU128" i="2"/>
  <c r="AI39" i="2" s="1"/>
  <c r="AI22" i="2" s="1"/>
  <c r="AV127" i="2"/>
  <c r="AJ38" i="2" s="1"/>
  <c r="AJ21" i="2" s="1"/>
  <c r="AU127" i="2"/>
  <c r="AI38" i="2" s="1"/>
  <c r="AI21" i="2" s="1"/>
  <c r="AV126" i="2"/>
  <c r="AJ37" i="2" s="1"/>
  <c r="AJ20" i="2" s="1"/>
  <c r="AU126" i="2"/>
  <c r="AI37" i="2" s="1"/>
  <c r="AI20" i="2" s="1"/>
  <c r="AV125" i="2"/>
  <c r="AJ36" i="2" s="1"/>
  <c r="AJ19" i="2" s="1"/>
  <c r="AU125" i="2"/>
  <c r="AI36" i="2" s="1"/>
  <c r="AI19" i="2" s="1"/>
  <c r="AV124" i="2"/>
  <c r="AJ35" i="2" s="1"/>
  <c r="AJ18" i="2" s="1"/>
  <c r="AU124" i="2"/>
  <c r="AI35" i="2" s="1"/>
  <c r="AI18" i="2" s="1"/>
  <c r="AV123" i="2"/>
  <c r="AJ34" i="2" s="1"/>
  <c r="AJ17" i="2" s="1"/>
  <c r="AU123" i="2"/>
  <c r="AI34" i="2" s="1"/>
  <c r="AI17" i="2" s="1"/>
  <c r="AV122" i="2"/>
  <c r="AJ33" i="2" s="1"/>
  <c r="AJ16" i="2" s="1"/>
  <c r="AU122" i="2"/>
  <c r="AI33" i="2" s="1"/>
  <c r="AI16" i="2" s="1"/>
  <c r="AV121" i="2"/>
  <c r="AJ32" i="2" s="1"/>
  <c r="AJ15" i="2" s="1"/>
  <c r="AU121" i="2"/>
  <c r="AI32" i="2" s="1"/>
  <c r="AI15" i="2" s="1"/>
  <c r="AV120" i="2"/>
  <c r="AJ31" i="2" s="1"/>
  <c r="AJ14" i="2" s="1"/>
  <c r="AU120" i="2"/>
  <c r="AI31" i="2" s="1"/>
  <c r="AI14" i="2" s="1"/>
  <c r="AV119" i="2"/>
  <c r="AJ30" i="2" s="1"/>
  <c r="AJ13" i="2" s="1"/>
  <c r="AU119" i="2"/>
  <c r="AI30" i="2" s="1"/>
  <c r="AI13" i="2" s="1"/>
  <c r="AV118" i="2"/>
  <c r="AJ29" i="2" s="1"/>
  <c r="AJ12" i="2" s="1"/>
  <c r="AU118" i="2"/>
  <c r="AI29" i="2" s="1"/>
  <c r="AI12" i="2" s="1"/>
  <c r="AV117" i="2"/>
  <c r="AJ28" i="2" s="1"/>
  <c r="AJ11" i="2" s="1"/>
  <c r="AU117" i="2"/>
  <c r="AI28" i="2" s="1"/>
  <c r="AI11" i="2" s="1"/>
  <c r="AV116" i="2"/>
  <c r="AF41" i="2" s="1"/>
  <c r="AF24" i="2" s="1"/>
  <c r="AU116" i="2"/>
  <c r="AE41" i="2" s="1"/>
  <c r="AE24" i="2" s="1"/>
  <c r="AV115" i="2"/>
  <c r="AF40" i="2" s="1"/>
  <c r="AF23" i="2" s="1"/>
  <c r="AU115" i="2"/>
  <c r="AE40" i="2" s="1"/>
  <c r="AE23" i="2" s="1"/>
  <c r="AV114" i="2"/>
  <c r="AF39" i="2" s="1"/>
  <c r="AF22" i="2" s="1"/>
  <c r="AU114" i="2"/>
  <c r="AE39" i="2" s="1"/>
  <c r="AE22" i="2" s="1"/>
  <c r="AV113" i="2"/>
  <c r="AF38" i="2" s="1"/>
  <c r="AF21" i="2" s="1"/>
  <c r="AU113" i="2"/>
  <c r="AE38" i="2" s="1"/>
  <c r="AE21" i="2" s="1"/>
  <c r="AV112" i="2"/>
  <c r="AF37" i="2" s="1"/>
  <c r="AF20" i="2" s="1"/>
  <c r="AU112" i="2"/>
  <c r="AE37" i="2" s="1"/>
  <c r="AE20" i="2" s="1"/>
  <c r="AV111" i="2"/>
  <c r="AF36" i="2" s="1"/>
  <c r="AF19" i="2" s="1"/>
  <c r="AU111" i="2"/>
  <c r="AE36" i="2" s="1"/>
  <c r="AE19" i="2" s="1"/>
  <c r="AV110" i="2"/>
  <c r="AF35" i="2" s="1"/>
  <c r="AF18" i="2" s="1"/>
  <c r="AU110" i="2"/>
  <c r="AE35" i="2" s="1"/>
  <c r="AE18" i="2" s="1"/>
  <c r="AV109" i="2"/>
  <c r="AF34" i="2" s="1"/>
  <c r="AF17" i="2" s="1"/>
  <c r="AU109" i="2"/>
  <c r="AE34" i="2" s="1"/>
  <c r="AE17" i="2" s="1"/>
  <c r="AV108" i="2"/>
  <c r="AF33" i="2" s="1"/>
  <c r="AF16" i="2" s="1"/>
  <c r="AU108" i="2"/>
  <c r="AE33" i="2" s="1"/>
  <c r="AE16" i="2" s="1"/>
  <c r="AV107" i="2"/>
  <c r="AF32" i="2" s="1"/>
  <c r="AF15" i="2" s="1"/>
  <c r="AU107" i="2"/>
  <c r="AE32" i="2" s="1"/>
  <c r="AE15" i="2" s="1"/>
  <c r="AV106" i="2"/>
  <c r="AF31" i="2" s="1"/>
  <c r="AF14" i="2" s="1"/>
  <c r="AU106" i="2"/>
  <c r="AE31" i="2" s="1"/>
  <c r="AE14" i="2" s="1"/>
  <c r="AV105" i="2"/>
  <c r="AF30" i="2" s="1"/>
  <c r="AF13" i="2" s="1"/>
  <c r="AU105" i="2"/>
  <c r="AE30" i="2" s="1"/>
  <c r="AE13" i="2" s="1"/>
  <c r="AV104" i="2"/>
  <c r="AF29" i="2" s="1"/>
  <c r="AF12" i="2" s="1"/>
  <c r="AU104" i="2"/>
  <c r="AE29" i="2" s="1"/>
  <c r="AE12" i="2" s="1"/>
  <c r="AV103" i="2"/>
  <c r="AF28" i="2" s="1"/>
  <c r="AF11" i="2" s="1"/>
  <c r="AU103" i="2"/>
  <c r="AE28" i="2" s="1"/>
  <c r="AE11" i="2" s="1"/>
  <c r="AV102" i="2"/>
  <c r="AB41" i="2" s="1"/>
  <c r="AB24" i="2" s="1"/>
  <c r="AU102" i="2"/>
  <c r="AA41" i="2" s="1"/>
  <c r="AA24" i="2" s="1"/>
  <c r="AV101" i="2"/>
  <c r="AB40" i="2" s="1"/>
  <c r="AB23" i="2" s="1"/>
  <c r="AU101" i="2"/>
  <c r="AA40" i="2" s="1"/>
  <c r="AA23" i="2" s="1"/>
  <c r="AV100" i="2"/>
  <c r="AB39" i="2" s="1"/>
  <c r="AB22" i="2" s="1"/>
  <c r="AU100" i="2"/>
  <c r="AA39" i="2" s="1"/>
  <c r="AA22" i="2" s="1"/>
  <c r="AV99" i="2"/>
  <c r="AB38" i="2" s="1"/>
  <c r="AB21" i="2" s="1"/>
  <c r="AU99" i="2"/>
  <c r="AA38" i="2" s="1"/>
  <c r="AA21" i="2" s="1"/>
  <c r="AV98" i="2"/>
  <c r="AB37" i="2" s="1"/>
  <c r="AB20" i="2" s="1"/>
  <c r="AU98" i="2"/>
  <c r="AA37" i="2" s="1"/>
  <c r="AA20" i="2" s="1"/>
  <c r="AV97" i="2"/>
  <c r="AB36" i="2" s="1"/>
  <c r="AB19" i="2" s="1"/>
  <c r="AU97" i="2"/>
  <c r="AA36" i="2" s="1"/>
  <c r="AA19" i="2" s="1"/>
  <c r="AV96" i="2"/>
  <c r="AB35" i="2" s="1"/>
  <c r="AB18" i="2" s="1"/>
  <c r="AU96" i="2"/>
  <c r="AA35" i="2" s="1"/>
  <c r="AA18" i="2" s="1"/>
  <c r="AV95" i="2"/>
  <c r="AB34" i="2" s="1"/>
  <c r="AB17" i="2" s="1"/>
  <c r="AU95" i="2"/>
  <c r="AA34" i="2" s="1"/>
  <c r="AA17" i="2" s="1"/>
  <c r="AV94" i="2"/>
  <c r="AB33" i="2" s="1"/>
  <c r="AB16" i="2" s="1"/>
  <c r="AU94" i="2"/>
  <c r="AA33" i="2" s="1"/>
  <c r="AA16" i="2" s="1"/>
  <c r="AV93" i="2"/>
  <c r="AB32" i="2" s="1"/>
  <c r="AB15" i="2" s="1"/>
  <c r="AU93" i="2"/>
  <c r="AA32" i="2" s="1"/>
  <c r="AA15" i="2" s="1"/>
  <c r="AV92" i="2"/>
  <c r="AB31" i="2" s="1"/>
  <c r="AB14" i="2" s="1"/>
  <c r="AU92" i="2"/>
  <c r="AA31" i="2" s="1"/>
  <c r="AA14" i="2" s="1"/>
  <c r="AV91" i="2"/>
  <c r="AB30" i="2" s="1"/>
  <c r="AB13" i="2" s="1"/>
  <c r="AU91" i="2"/>
  <c r="AA30" i="2" s="1"/>
  <c r="AA13" i="2" s="1"/>
  <c r="AV90" i="2"/>
  <c r="AB29" i="2" s="1"/>
  <c r="AB12" i="2" s="1"/>
  <c r="AU90" i="2"/>
  <c r="AA29" i="2" s="1"/>
  <c r="AA12" i="2" s="1"/>
  <c r="AV89" i="2"/>
  <c r="AB28" i="2" s="1"/>
  <c r="AB11" i="2" s="1"/>
  <c r="AU89" i="2"/>
  <c r="AA28" i="2" s="1"/>
  <c r="AA11" i="2" s="1"/>
  <c r="AV88" i="2"/>
  <c r="X41" i="2" s="1"/>
  <c r="X24" i="2" s="1"/>
  <c r="AU88" i="2"/>
  <c r="W41" i="2" s="1"/>
  <c r="W24" i="2" s="1"/>
  <c r="AV87" i="2"/>
  <c r="X40" i="2" s="1"/>
  <c r="X23" i="2" s="1"/>
  <c r="AU87" i="2"/>
  <c r="W40" i="2" s="1"/>
  <c r="W23" i="2" s="1"/>
  <c r="AV86" i="2"/>
  <c r="X39" i="2" s="1"/>
  <c r="X22" i="2" s="1"/>
  <c r="AU86" i="2"/>
  <c r="W39" i="2" s="1"/>
  <c r="W22" i="2" s="1"/>
  <c r="AV85" i="2"/>
  <c r="X38" i="2" s="1"/>
  <c r="X21" i="2" s="1"/>
  <c r="AU85" i="2"/>
  <c r="W38" i="2" s="1"/>
  <c r="W21" i="2" s="1"/>
  <c r="AV84" i="2"/>
  <c r="X37" i="2" s="1"/>
  <c r="X20" i="2" s="1"/>
  <c r="AU84" i="2"/>
  <c r="W37" i="2" s="1"/>
  <c r="W20" i="2" s="1"/>
  <c r="AV83" i="2"/>
  <c r="X36" i="2" s="1"/>
  <c r="X19" i="2" s="1"/>
  <c r="AU83" i="2"/>
  <c r="W36" i="2" s="1"/>
  <c r="W19" i="2" s="1"/>
  <c r="AV82" i="2"/>
  <c r="X35" i="2" s="1"/>
  <c r="X18" i="2" s="1"/>
  <c r="AU82" i="2"/>
  <c r="W35" i="2" s="1"/>
  <c r="W18" i="2" s="1"/>
  <c r="AV81" i="2"/>
  <c r="X34" i="2" s="1"/>
  <c r="X17" i="2" s="1"/>
  <c r="AU81" i="2"/>
  <c r="W34" i="2" s="1"/>
  <c r="W17" i="2" s="1"/>
  <c r="AV80" i="2"/>
  <c r="X33" i="2" s="1"/>
  <c r="X16" i="2" s="1"/>
  <c r="AU80" i="2"/>
  <c r="W33" i="2" s="1"/>
  <c r="W16" i="2" s="1"/>
  <c r="AV79" i="2"/>
  <c r="X32" i="2" s="1"/>
  <c r="X15" i="2" s="1"/>
  <c r="AU79" i="2"/>
  <c r="W32" i="2" s="1"/>
  <c r="W15" i="2" s="1"/>
  <c r="AV78" i="2"/>
  <c r="X31" i="2" s="1"/>
  <c r="X14" i="2" s="1"/>
  <c r="AU78" i="2"/>
  <c r="W31" i="2" s="1"/>
  <c r="W14" i="2" s="1"/>
  <c r="AV77" i="2"/>
  <c r="X30" i="2" s="1"/>
  <c r="X13" i="2" s="1"/>
  <c r="AU77" i="2"/>
  <c r="W30" i="2" s="1"/>
  <c r="W13" i="2" s="1"/>
  <c r="AV76" i="2"/>
  <c r="X29" i="2" s="1"/>
  <c r="X12" i="2" s="1"/>
  <c r="AU76" i="2"/>
  <c r="W29" i="2" s="1"/>
  <c r="W12" i="2" s="1"/>
  <c r="AV75" i="2"/>
  <c r="X28" i="2" s="1"/>
  <c r="X11" i="2" s="1"/>
  <c r="AU75" i="2"/>
  <c r="W28" i="2" s="1"/>
  <c r="W11" i="2" s="1"/>
  <c r="AV74" i="2"/>
  <c r="T41" i="2" s="1"/>
  <c r="T24" i="2" s="1"/>
  <c r="AU74" i="2"/>
  <c r="S41" i="2" s="1"/>
  <c r="S24" i="2" s="1"/>
  <c r="AV73" i="2"/>
  <c r="T40" i="2" s="1"/>
  <c r="T23" i="2" s="1"/>
  <c r="AU73" i="2"/>
  <c r="S40" i="2" s="1"/>
  <c r="S23" i="2" s="1"/>
  <c r="AV72" i="2"/>
  <c r="T39" i="2" s="1"/>
  <c r="T22" i="2" s="1"/>
  <c r="AU72" i="2"/>
  <c r="S39" i="2" s="1"/>
  <c r="S22" i="2" s="1"/>
  <c r="AV71" i="2"/>
  <c r="T38" i="2" s="1"/>
  <c r="T21" i="2" s="1"/>
  <c r="AU71" i="2"/>
  <c r="S38" i="2" s="1"/>
  <c r="S21" i="2" s="1"/>
  <c r="AV70" i="2"/>
  <c r="T37" i="2" s="1"/>
  <c r="T20" i="2" s="1"/>
  <c r="AU70" i="2"/>
  <c r="S37" i="2" s="1"/>
  <c r="S20" i="2" s="1"/>
  <c r="AV69" i="2"/>
  <c r="T36" i="2" s="1"/>
  <c r="T19" i="2" s="1"/>
  <c r="AU69" i="2"/>
  <c r="S36" i="2" s="1"/>
  <c r="S19" i="2" s="1"/>
  <c r="AV68" i="2"/>
  <c r="T35" i="2" s="1"/>
  <c r="T18" i="2" s="1"/>
  <c r="AU68" i="2"/>
  <c r="S35" i="2" s="1"/>
  <c r="S18" i="2" s="1"/>
  <c r="AV67" i="2"/>
  <c r="T34" i="2" s="1"/>
  <c r="T17" i="2" s="1"/>
  <c r="AU67" i="2"/>
  <c r="S34" i="2" s="1"/>
  <c r="S17" i="2" s="1"/>
  <c r="AV66" i="2"/>
  <c r="T33" i="2" s="1"/>
  <c r="T16" i="2" s="1"/>
  <c r="AU66" i="2"/>
  <c r="S33" i="2" s="1"/>
  <c r="S16" i="2" s="1"/>
  <c r="AV65" i="2"/>
  <c r="T32" i="2" s="1"/>
  <c r="T15" i="2" s="1"/>
  <c r="AU65" i="2"/>
  <c r="S32" i="2" s="1"/>
  <c r="S15" i="2" s="1"/>
  <c r="AV64" i="2"/>
  <c r="T31" i="2" s="1"/>
  <c r="T14" i="2" s="1"/>
  <c r="AU64" i="2"/>
  <c r="S31" i="2" s="1"/>
  <c r="S14" i="2" s="1"/>
  <c r="AV63" i="2"/>
  <c r="T30" i="2" s="1"/>
  <c r="T13" i="2" s="1"/>
  <c r="AU63" i="2"/>
  <c r="S30" i="2" s="1"/>
  <c r="S13" i="2" s="1"/>
  <c r="AV62" i="2"/>
  <c r="T29" i="2" s="1"/>
  <c r="T12" i="2" s="1"/>
  <c r="AU62" i="2"/>
  <c r="S29" i="2" s="1"/>
  <c r="S12" i="2" s="1"/>
  <c r="AV61" i="2"/>
  <c r="T28" i="2" s="1"/>
  <c r="T11" i="2" s="1"/>
  <c r="AU61" i="2"/>
  <c r="S28" i="2" s="1"/>
  <c r="S11" i="2" s="1"/>
  <c r="AV60" i="2"/>
  <c r="P41" i="2" s="1"/>
  <c r="P24" i="2" s="1"/>
  <c r="AU60" i="2"/>
  <c r="O41" i="2" s="1"/>
  <c r="O24" i="2" s="1"/>
  <c r="AV59" i="2"/>
  <c r="P40" i="2" s="1"/>
  <c r="P23" i="2" s="1"/>
  <c r="AU59" i="2"/>
  <c r="O40" i="2" s="1"/>
  <c r="O23" i="2" s="1"/>
  <c r="AV58" i="2"/>
  <c r="P39" i="2" s="1"/>
  <c r="P22" i="2" s="1"/>
  <c r="AU58" i="2"/>
  <c r="O39" i="2" s="1"/>
  <c r="O22" i="2" s="1"/>
  <c r="AV57" i="2"/>
  <c r="P38" i="2" s="1"/>
  <c r="P21" i="2" s="1"/>
  <c r="AU57" i="2"/>
  <c r="O38" i="2" s="1"/>
  <c r="O21" i="2" s="1"/>
  <c r="AV56" i="2"/>
  <c r="P37" i="2" s="1"/>
  <c r="P20" i="2" s="1"/>
  <c r="AU56" i="2"/>
  <c r="O37" i="2" s="1"/>
  <c r="O20" i="2" s="1"/>
  <c r="AV55" i="2"/>
  <c r="P36" i="2" s="1"/>
  <c r="P19" i="2" s="1"/>
  <c r="AU55" i="2"/>
  <c r="O36" i="2" s="1"/>
  <c r="O19" i="2" s="1"/>
  <c r="AV54" i="2"/>
  <c r="P35" i="2" s="1"/>
  <c r="P18" i="2" s="1"/>
  <c r="AU54" i="2"/>
  <c r="O35" i="2" s="1"/>
  <c r="O18" i="2" s="1"/>
  <c r="AV53" i="2"/>
  <c r="P34" i="2" s="1"/>
  <c r="P17" i="2" s="1"/>
  <c r="AU53" i="2"/>
  <c r="O34" i="2" s="1"/>
  <c r="O17" i="2" s="1"/>
  <c r="AV52" i="2"/>
  <c r="P33" i="2" s="1"/>
  <c r="P16" i="2" s="1"/>
  <c r="AU52" i="2"/>
  <c r="O33" i="2" s="1"/>
  <c r="O16" i="2" s="1"/>
  <c r="AV51" i="2"/>
  <c r="P32" i="2" s="1"/>
  <c r="P15" i="2" s="1"/>
  <c r="AU51" i="2"/>
  <c r="O32" i="2" s="1"/>
  <c r="O15" i="2" s="1"/>
  <c r="AV50" i="2"/>
  <c r="P31" i="2" s="1"/>
  <c r="P14" i="2" s="1"/>
  <c r="AU50" i="2"/>
  <c r="O31" i="2" s="1"/>
  <c r="O14" i="2" s="1"/>
  <c r="AV49" i="2"/>
  <c r="P30" i="2" s="1"/>
  <c r="P13" i="2" s="1"/>
  <c r="AU49" i="2"/>
  <c r="O30" i="2" s="1"/>
  <c r="O13" i="2" s="1"/>
  <c r="AV48" i="2"/>
  <c r="P29" i="2" s="1"/>
  <c r="P12" i="2" s="1"/>
  <c r="AU48" i="2"/>
  <c r="O29" i="2" s="1"/>
  <c r="O12" i="2" s="1"/>
  <c r="AV47" i="2"/>
  <c r="P28" i="2" s="1"/>
  <c r="P11" i="2" s="1"/>
  <c r="AU47" i="2"/>
  <c r="O28" i="2" s="1"/>
  <c r="O11" i="2" s="1"/>
  <c r="AV46" i="2"/>
  <c r="L41" i="2" s="1"/>
  <c r="L24" i="2" s="1"/>
  <c r="AU46" i="2"/>
  <c r="K41" i="2" s="1"/>
  <c r="K24" i="2" s="1"/>
  <c r="AV45" i="2"/>
  <c r="L40" i="2" s="1"/>
  <c r="L23" i="2" s="1"/>
  <c r="AU45" i="2"/>
  <c r="K40" i="2" s="1"/>
  <c r="K23" i="2" s="1"/>
  <c r="AV44" i="2"/>
  <c r="L39" i="2" s="1"/>
  <c r="L22" i="2" s="1"/>
  <c r="AU44" i="2"/>
  <c r="K39" i="2" s="1"/>
  <c r="K22" i="2" s="1"/>
  <c r="AV43" i="2"/>
  <c r="L38" i="2" s="1"/>
  <c r="L21" i="2" s="1"/>
  <c r="AU43" i="2"/>
  <c r="K38" i="2" s="1"/>
  <c r="K21" i="2" s="1"/>
  <c r="AV42" i="2"/>
  <c r="L37" i="2" s="1"/>
  <c r="L20" i="2" s="1"/>
  <c r="AU42" i="2"/>
  <c r="K37" i="2" s="1"/>
  <c r="AV41" i="2"/>
  <c r="L36" i="2" s="1"/>
  <c r="L19" i="2" s="1"/>
  <c r="AU41" i="2"/>
  <c r="K36" i="2" s="1"/>
  <c r="K19" i="2" s="1"/>
  <c r="AV40" i="2"/>
  <c r="L35" i="2" s="1"/>
  <c r="L18" i="2" s="1"/>
  <c r="AU40" i="2"/>
  <c r="K35" i="2" s="1"/>
  <c r="K18" i="2" s="1"/>
  <c r="AV39" i="2"/>
  <c r="L34" i="2" s="1"/>
  <c r="L17" i="2" s="1"/>
  <c r="AU39" i="2"/>
  <c r="K34" i="2" s="1"/>
  <c r="K17" i="2" s="1"/>
  <c r="AV38" i="2"/>
  <c r="L33" i="2" s="1"/>
  <c r="L16" i="2" s="1"/>
  <c r="AU38" i="2"/>
  <c r="K33" i="2" s="1"/>
  <c r="K16" i="2" s="1"/>
  <c r="AV37" i="2"/>
  <c r="L32" i="2" s="1"/>
  <c r="L15" i="2" s="1"/>
  <c r="AU37" i="2"/>
  <c r="K32" i="2" s="1"/>
  <c r="K15" i="2" s="1"/>
  <c r="AV36" i="2"/>
  <c r="L31" i="2" s="1"/>
  <c r="L14" i="2" s="1"/>
  <c r="AU36" i="2"/>
  <c r="K31" i="2" s="1"/>
  <c r="K14" i="2" s="1"/>
  <c r="AV35" i="2"/>
  <c r="L30" i="2" s="1"/>
  <c r="L13" i="2" s="1"/>
  <c r="AU35" i="2"/>
  <c r="K30" i="2" s="1"/>
  <c r="K13" i="2" s="1"/>
  <c r="AV34" i="2"/>
  <c r="L29" i="2" s="1"/>
  <c r="L12" i="2" s="1"/>
  <c r="AU34" i="2"/>
  <c r="K29" i="2" s="1"/>
  <c r="K12" i="2" s="1"/>
  <c r="AV33" i="2"/>
  <c r="L28" i="2" s="1"/>
  <c r="L11" i="2" s="1"/>
  <c r="AU33" i="2"/>
  <c r="K28" i="2" s="1"/>
  <c r="K11" i="2" s="1"/>
  <c r="AV32" i="2"/>
  <c r="H41" i="2" s="1"/>
  <c r="H24" i="2" s="1"/>
  <c r="AU32" i="2"/>
  <c r="G41" i="2" s="1"/>
  <c r="G24" i="2" s="1"/>
  <c r="AV31" i="2"/>
  <c r="H40" i="2" s="1"/>
  <c r="H23" i="2" s="1"/>
  <c r="AU31" i="2"/>
  <c r="G40" i="2" s="1"/>
  <c r="G23" i="2" s="1"/>
  <c r="AV30" i="2"/>
  <c r="H39" i="2" s="1"/>
  <c r="H22" i="2" s="1"/>
  <c r="AU30" i="2"/>
  <c r="G39" i="2" s="1"/>
  <c r="G22" i="2" s="1"/>
  <c r="AV29" i="2"/>
  <c r="H38" i="2" s="1"/>
  <c r="H21" i="2" s="1"/>
  <c r="AU29" i="2"/>
  <c r="G38" i="2" s="1"/>
  <c r="G21" i="2" s="1"/>
  <c r="AV28" i="2"/>
  <c r="H37" i="2" s="1"/>
  <c r="H20" i="2" s="1"/>
  <c r="AU28" i="2"/>
  <c r="G37" i="2" s="1"/>
  <c r="G20" i="2" s="1"/>
  <c r="AV27" i="2"/>
  <c r="H36" i="2" s="1"/>
  <c r="H19" i="2" s="1"/>
  <c r="AU27" i="2"/>
  <c r="G36" i="2" s="1"/>
  <c r="G19" i="2" s="1"/>
  <c r="AV26" i="2"/>
  <c r="H35" i="2" s="1"/>
  <c r="H18" i="2" s="1"/>
  <c r="AU26" i="2"/>
  <c r="G35" i="2" s="1"/>
  <c r="G18" i="2" s="1"/>
  <c r="AV25" i="2"/>
  <c r="H34" i="2" s="1"/>
  <c r="H17" i="2" s="1"/>
  <c r="AU25" i="2"/>
  <c r="G34" i="2" s="1"/>
  <c r="G17" i="2" s="1"/>
  <c r="AV24" i="2"/>
  <c r="H33" i="2" s="1"/>
  <c r="H16" i="2" s="1"/>
  <c r="AU24" i="2"/>
  <c r="G33" i="2" s="1"/>
  <c r="G16" i="2" s="1"/>
  <c r="AV23" i="2"/>
  <c r="H32" i="2" s="1"/>
  <c r="H15" i="2" s="1"/>
  <c r="AU23" i="2"/>
  <c r="G32" i="2" s="1"/>
  <c r="G15" i="2" s="1"/>
  <c r="AV22" i="2"/>
  <c r="H31" i="2" s="1"/>
  <c r="H14" i="2" s="1"/>
  <c r="AU22" i="2"/>
  <c r="G31" i="2" s="1"/>
  <c r="G14" i="2" s="1"/>
  <c r="AV21" i="2"/>
  <c r="H30" i="2" s="1"/>
  <c r="H13" i="2" s="1"/>
  <c r="AU21" i="2"/>
  <c r="G30" i="2" s="1"/>
  <c r="G13" i="2" s="1"/>
  <c r="AV20" i="2"/>
  <c r="H29" i="2" s="1"/>
  <c r="H12" i="2" s="1"/>
  <c r="AU20" i="2"/>
  <c r="G29" i="2" s="1"/>
  <c r="G12" i="2" s="1"/>
  <c r="AV19" i="2"/>
  <c r="H28" i="2" s="1"/>
  <c r="H11" i="2" s="1"/>
  <c r="AU19" i="2"/>
  <c r="G28" i="2" s="1"/>
  <c r="G11" i="2" s="1"/>
  <c r="AV18" i="2"/>
  <c r="D41" i="2" s="1"/>
  <c r="D24" i="2" s="1"/>
  <c r="AU18" i="2"/>
  <c r="C41" i="2" s="1"/>
  <c r="C24" i="2" s="1"/>
  <c r="AV17" i="2"/>
  <c r="D40" i="2" s="1"/>
  <c r="D23" i="2" s="1"/>
  <c r="AU17" i="2"/>
  <c r="C40" i="2" s="1"/>
  <c r="C23" i="2" s="1"/>
  <c r="AV16" i="2"/>
  <c r="D39" i="2" s="1"/>
  <c r="D22" i="2" s="1"/>
  <c r="AU16" i="2"/>
  <c r="C39" i="2" s="1"/>
  <c r="C22" i="2" s="1"/>
  <c r="AV15" i="2"/>
  <c r="D38" i="2" s="1"/>
  <c r="D21" i="2" s="1"/>
  <c r="AU15" i="2"/>
  <c r="C38" i="2" s="1"/>
  <c r="C21" i="2" s="1"/>
  <c r="AV14" i="2"/>
  <c r="D37" i="2" s="1"/>
  <c r="D20" i="2" s="1"/>
  <c r="AU14" i="2"/>
  <c r="C37" i="2" s="1"/>
  <c r="C20" i="2" s="1"/>
  <c r="AV13" i="2"/>
  <c r="D36" i="2" s="1"/>
  <c r="D19" i="2" s="1"/>
  <c r="AU13" i="2"/>
  <c r="C36" i="2" s="1"/>
  <c r="C19" i="2" s="1"/>
  <c r="AV12" i="2"/>
  <c r="D35" i="2" s="1"/>
  <c r="D18" i="2" s="1"/>
  <c r="AU12" i="2"/>
  <c r="C35" i="2" s="1"/>
  <c r="C18" i="2" s="1"/>
  <c r="AV11" i="2"/>
  <c r="D34" i="2" s="1"/>
  <c r="D17" i="2" s="1"/>
  <c r="AU11" i="2"/>
  <c r="C34" i="2" s="1"/>
  <c r="C17" i="2" s="1"/>
  <c r="AV10" i="2"/>
  <c r="D33" i="2" s="1"/>
  <c r="D16" i="2" s="1"/>
  <c r="AU10" i="2"/>
  <c r="C33" i="2" s="1"/>
  <c r="C16" i="2" s="1"/>
  <c r="AV9" i="2"/>
  <c r="D32" i="2" s="1"/>
  <c r="D15" i="2" s="1"/>
  <c r="AU9" i="2"/>
  <c r="C32" i="2" s="1"/>
  <c r="C15" i="2" s="1"/>
  <c r="AV8" i="2"/>
  <c r="D31" i="2" s="1"/>
  <c r="D14" i="2" s="1"/>
  <c r="AU8" i="2"/>
  <c r="C31" i="2" s="1"/>
  <c r="C14" i="2" s="1"/>
  <c r="AV7" i="2"/>
  <c r="D30" i="2" s="1"/>
  <c r="D13" i="2" s="1"/>
  <c r="AU7" i="2"/>
  <c r="C30" i="2" s="1"/>
  <c r="C13" i="2" s="1"/>
  <c r="AV6" i="2"/>
  <c r="D29" i="2" s="1"/>
  <c r="D12" i="2" s="1"/>
  <c r="AU6" i="2"/>
  <c r="C29" i="2" s="1"/>
  <c r="C12" i="2" s="1"/>
  <c r="AV5" i="2"/>
  <c r="D28" i="2" s="1"/>
  <c r="D11" i="2" s="1"/>
  <c r="AU5" i="2"/>
  <c r="C28" i="2" s="1"/>
  <c r="C11" i="2" s="1"/>
  <c r="AT7" i="2"/>
  <c r="AT8" i="2" s="1"/>
  <c r="AT9" i="2" s="1"/>
  <c r="AT10" i="2" s="1"/>
  <c r="AT11" i="2" s="1"/>
  <c r="AT12" i="2" s="1"/>
  <c r="AT13" i="2" s="1"/>
  <c r="AT14" i="2" s="1"/>
  <c r="AT15" i="2" s="1"/>
  <c r="AT16" i="2" s="1"/>
  <c r="AT17" i="2" s="1"/>
  <c r="AT18" i="2" s="1"/>
  <c r="AT19" i="2" s="1"/>
  <c r="AT20" i="2" s="1"/>
  <c r="AT21" i="2" s="1"/>
  <c r="AT22" i="2" s="1"/>
  <c r="AT23" i="2" s="1"/>
  <c r="AT24" i="2" s="1"/>
  <c r="AT25" i="2" s="1"/>
  <c r="AT26" i="2" s="1"/>
  <c r="AT27" i="2" s="1"/>
  <c r="AT28" i="2" s="1"/>
  <c r="AT29" i="2" s="1"/>
  <c r="AT30" i="2" s="1"/>
  <c r="AT31" i="2" s="1"/>
  <c r="AT32" i="2" s="1"/>
  <c r="AT33" i="2" s="1"/>
  <c r="AT34" i="2" s="1"/>
  <c r="AT35" i="2" s="1"/>
  <c r="AT36" i="2" s="1"/>
  <c r="AT37" i="2" s="1"/>
  <c r="AT38" i="2" s="1"/>
  <c r="AT39" i="2" s="1"/>
  <c r="AT40" i="2" s="1"/>
  <c r="AT41" i="2" s="1"/>
  <c r="AT42" i="2" s="1"/>
  <c r="AT43" i="2" s="1"/>
  <c r="AT44" i="2" s="1"/>
  <c r="AT45" i="2" s="1"/>
  <c r="AT46" i="2" s="1"/>
  <c r="AT47" i="2" s="1"/>
  <c r="AT48" i="2" s="1"/>
  <c r="AT49" i="2" s="1"/>
  <c r="AT50" i="2" s="1"/>
  <c r="AT51" i="2" s="1"/>
  <c r="AT52" i="2" s="1"/>
  <c r="AT53" i="2" s="1"/>
  <c r="AT54" i="2" s="1"/>
  <c r="AT55" i="2" s="1"/>
  <c r="AT56" i="2" s="1"/>
  <c r="AT57" i="2" s="1"/>
  <c r="AT58" i="2" s="1"/>
  <c r="AT59" i="2" s="1"/>
  <c r="AT60" i="2" s="1"/>
  <c r="AT61" i="2" s="1"/>
  <c r="AT62" i="2" s="1"/>
  <c r="AT63" i="2" s="1"/>
  <c r="AT64" i="2" s="1"/>
  <c r="AT65" i="2" s="1"/>
  <c r="AT66" i="2" s="1"/>
  <c r="AT67" i="2" s="1"/>
  <c r="AT68" i="2" s="1"/>
  <c r="AT69" i="2" s="1"/>
  <c r="AT70" i="2" s="1"/>
  <c r="AT71" i="2" s="1"/>
  <c r="AT72" i="2" s="1"/>
  <c r="AT73" i="2" s="1"/>
  <c r="AT74" i="2" s="1"/>
  <c r="AT75" i="2" s="1"/>
  <c r="AT76" i="2" s="1"/>
  <c r="AT77" i="2" s="1"/>
  <c r="AT78" i="2" s="1"/>
  <c r="AT79" i="2" s="1"/>
  <c r="AT80" i="2" s="1"/>
  <c r="AT81" i="2" s="1"/>
  <c r="AT82" i="2" s="1"/>
  <c r="AT83" i="2" s="1"/>
  <c r="AT84" i="2" s="1"/>
  <c r="AT85" i="2" s="1"/>
  <c r="AT86" i="2" s="1"/>
  <c r="AT87" i="2" s="1"/>
  <c r="AT88" i="2" s="1"/>
  <c r="AT89" i="2" s="1"/>
  <c r="AT90" i="2" s="1"/>
  <c r="AT91" i="2" s="1"/>
  <c r="AT92" i="2" s="1"/>
  <c r="AT93" i="2" s="1"/>
  <c r="AT94" i="2" s="1"/>
  <c r="AT95" i="2" s="1"/>
  <c r="AT96" i="2" s="1"/>
  <c r="AT97" i="2" s="1"/>
  <c r="AT98" i="2" s="1"/>
  <c r="AT99" i="2" s="1"/>
  <c r="AT100" i="2" s="1"/>
  <c r="AT101" i="2" s="1"/>
  <c r="AT102" i="2" s="1"/>
  <c r="AT103" i="2" s="1"/>
  <c r="AT104" i="2" s="1"/>
  <c r="AT105" i="2" s="1"/>
  <c r="AT106" i="2" s="1"/>
  <c r="AT107" i="2" s="1"/>
  <c r="AT108" i="2" s="1"/>
  <c r="AT109" i="2" s="1"/>
  <c r="AT110" i="2" s="1"/>
  <c r="AT111" i="2" s="1"/>
  <c r="AT112" i="2" s="1"/>
  <c r="AT113" i="2" s="1"/>
  <c r="AT114" i="2" s="1"/>
  <c r="AT115" i="2" s="1"/>
  <c r="AT116" i="2" s="1"/>
  <c r="AT117" i="2" s="1"/>
  <c r="AT118" i="2" s="1"/>
  <c r="AT119" i="2" s="1"/>
  <c r="AT120" i="2" s="1"/>
  <c r="AT121" i="2" s="1"/>
  <c r="AT122" i="2" s="1"/>
  <c r="AT123" i="2" s="1"/>
  <c r="AT124" i="2" s="1"/>
  <c r="AT125" i="2" s="1"/>
  <c r="AT126" i="2" s="1"/>
  <c r="AT127" i="2" s="1"/>
  <c r="AT128" i="2" s="1"/>
  <c r="AT129" i="2" s="1"/>
  <c r="AT130" i="2" s="1"/>
  <c r="AT131" i="2" s="1"/>
  <c r="AT132" i="2" s="1"/>
  <c r="AT133" i="2" s="1"/>
  <c r="AT134" i="2" s="1"/>
  <c r="AT135" i="2" s="1"/>
  <c r="AT136" i="2" s="1"/>
  <c r="AT137" i="2" s="1"/>
  <c r="AT138" i="2" s="1"/>
  <c r="AT139" i="2" s="1"/>
  <c r="AT140" i="2" s="1"/>
  <c r="AT141" i="2" s="1"/>
  <c r="AT142" i="2" s="1"/>
  <c r="AT143" i="2" s="1"/>
  <c r="AT144" i="2" s="1"/>
  <c r="AT6" i="2"/>
  <c r="A22" i="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21" i="1"/>
  <c r="P42" i="2" l="1"/>
  <c r="AM22" i="2"/>
  <c r="AN42" i="2"/>
  <c r="H42" i="2"/>
  <c r="L42" i="2"/>
  <c r="D25" i="2"/>
  <c r="P25" i="2"/>
  <c r="H25" i="2"/>
  <c r="K20" i="2"/>
  <c r="L25" i="2" s="1"/>
  <c r="D42" i="2"/>
  <c r="AJ42" i="2"/>
  <c r="AF42" i="2"/>
  <c r="X42" i="2"/>
  <c r="AB42" i="2"/>
  <c r="T42" i="2"/>
  <c r="Q159" i="1"/>
  <c r="P159" i="1"/>
  <c r="Q158" i="1"/>
  <c r="P158" i="1"/>
  <c r="Q157" i="1"/>
  <c r="P157" i="1"/>
  <c r="Q156" i="1"/>
  <c r="P156" i="1"/>
  <c r="Q155" i="1"/>
  <c r="P155" i="1"/>
  <c r="Q154" i="1"/>
  <c r="P154" i="1"/>
  <c r="Q153" i="1"/>
  <c r="P153" i="1"/>
  <c r="Q152" i="1"/>
  <c r="P152" i="1"/>
  <c r="Q151" i="1"/>
  <c r="P151" i="1"/>
  <c r="Q150" i="1"/>
  <c r="P150" i="1"/>
  <c r="Q149" i="1"/>
  <c r="P149" i="1"/>
  <c r="Q148" i="1"/>
  <c r="P148" i="1"/>
  <c r="Q147" i="1"/>
  <c r="P147" i="1"/>
  <c r="Q146" i="1"/>
  <c r="P146" i="1"/>
  <c r="Q145" i="1"/>
  <c r="P145" i="1"/>
  <c r="Q144" i="1"/>
  <c r="P144" i="1"/>
  <c r="Q143" i="1"/>
  <c r="P143" i="1"/>
  <c r="Q142" i="1"/>
  <c r="P142" i="1"/>
  <c r="Q141" i="1"/>
  <c r="P141" i="1"/>
  <c r="Q140" i="1"/>
  <c r="P140" i="1"/>
  <c r="Q139" i="1"/>
  <c r="P139" i="1"/>
  <c r="Q138" i="1"/>
  <c r="P138" i="1"/>
  <c r="Q137" i="1"/>
  <c r="P137" i="1"/>
  <c r="Q136" i="1"/>
  <c r="P136" i="1"/>
  <c r="Q135" i="1"/>
  <c r="P135" i="1"/>
  <c r="Q134" i="1"/>
  <c r="P134" i="1"/>
  <c r="Q133" i="1"/>
  <c r="P133" i="1"/>
  <c r="Q132" i="1"/>
  <c r="P132" i="1"/>
  <c r="Q131" i="1"/>
  <c r="P131" i="1"/>
  <c r="Q130" i="1"/>
  <c r="P130" i="1"/>
  <c r="Q129" i="1"/>
  <c r="P129" i="1"/>
  <c r="Q128" i="1"/>
  <c r="P128" i="1"/>
  <c r="Q127" i="1"/>
  <c r="P127" i="1"/>
  <c r="Q126" i="1"/>
  <c r="P126" i="1"/>
  <c r="Q125" i="1"/>
  <c r="P125" i="1"/>
  <c r="Q124" i="1"/>
  <c r="P124" i="1"/>
  <c r="Q123" i="1"/>
  <c r="P123" i="1"/>
  <c r="Q122" i="1"/>
  <c r="P122" i="1"/>
  <c r="Q121" i="1"/>
  <c r="P121" i="1"/>
  <c r="Q120" i="1"/>
  <c r="P120" i="1"/>
  <c r="Q119" i="1"/>
  <c r="P119" i="1"/>
  <c r="Q118" i="1"/>
  <c r="P118" i="1"/>
  <c r="Q117" i="1"/>
  <c r="P117" i="1"/>
  <c r="Q116" i="1"/>
  <c r="P116" i="1"/>
  <c r="Q115" i="1"/>
  <c r="P115" i="1"/>
  <c r="Q114" i="1"/>
  <c r="P114" i="1"/>
  <c r="Q113" i="1"/>
  <c r="P113" i="1"/>
  <c r="Q112" i="1"/>
  <c r="P112" i="1"/>
  <c r="Q111" i="1"/>
  <c r="P111" i="1"/>
  <c r="Q110" i="1"/>
  <c r="P110" i="1"/>
  <c r="Q109" i="1"/>
  <c r="P109" i="1"/>
  <c r="Q108" i="1"/>
  <c r="P108" i="1"/>
  <c r="Q107" i="1"/>
  <c r="P107" i="1"/>
  <c r="Q106" i="1"/>
  <c r="P106" i="1"/>
  <c r="Q105" i="1"/>
  <c r="P105" i="1"/>
  <c r="Q104" i="1"/>
  <c r="P104" i="1"/>
  <c r="Q103" i="1"/>
  <c r="P103" i="1"/>
  <c r="Q102" i="1"/>
  <c r="P102" i="1"/>
  <c r="Q101" i="1"/>
  <c r="P101" i="1"/>
  <c r="Q100" i="1"/>
  <c r="P100" i="1"/>
  <c r="Q99" i="1"/>
  <c r="P99" i="1"/>
  <c r="Q98" i="1"/>
  <c r="P98" i="1"/>
  <c r="Q97" i="1"/>
  <c r="P97" i="1"/>
  <c r="Q96" i="1"/>
  <c r="P96" i="1"/>
  <c r="Q95" i="1"/>
  <c r="P95" i="1"/>
  <c r="Q94" i="1"/>
  <c r="P94" i="1"/>
  <c r="Q93" i="1"/>
  <c r="P93" i="1"/>
  <c r="Q92" i="1"/>
  <c r="P92" i="1"/>
  <c r="Q91" i="1"/>
  <c r="P91" i="1"/>
  <c r="Q90" i="1"/>
  <c r="P90" i="1"/>
  <c r="Q89" i="1"/>
  <c r="P89" i="1"/>
  <c r="Q88" i="1"/>
  <c r="P88" i="1"/>
  <c r="Q87" i="1"/>
  <c r="P87" i="1"/>
  <c r="Q86" i="1"/>
  <c r="P86" i="1"/>
  <c r="Q85" i="1"/>
  <c r="P85" i="1"/>
  <c r="Q84" i="1"/>
  <c r="P84" i="1"/>
  <c r="Q83" i="1"/>
  <c r="P83" i="1"/>
  <c r="Q82" i="1"/>
  <c r="P82" i="1"/>
  <c r="Q81" i="1"/>
  <c r="P81" i="1"/>
  <c r="Q80" i="1"/>
  <c r="P80" i="1"/>
  <c r="Q79" i="1"/>
  <c r="P79" i="1"/>
  <c r="Q78" i="1"/>
  <c r="P78" i="1"/>
  <c r="Q77" i="1"/>
  <c r="P77" i="1"/>
  <c r="Q76" i="1"/>
  <c r="P76" i="1"/>
  <c r="Q75" i="1"/>
  <c r="P75" i="1"/>
  <c r="Q74" i="1"/>
  <c r="P74" i="1"/>
  <c r="Q73" i="1"/>
  <c r="P73" i="1"/>
  <c r="Q72" i="1"/>
  <c r="P72" i="1"/>
  <c r="Q71" i="1"/>
  <c r="P71" i="1"/>
  <c r="Q70" i="1"/>
  <c r="P70" i="1"/>
  <c r="Q69" i="1"/>
  <c r="P69" i="1"/>
  <c r="Q68" i="1"/>
  <c r="P68" i="1"/>
  <c r="Q67" i="1"/>
  <c r="P67" i="1"/>
  <c r="Q66" i="1"/>
  <c r="P66" i="1"/>
  <c r="Q65" i="1"/>
  <c r="P65" i="1"/>
  <c r="Q64" i="1"/>
  <c r="P64" i="1"/>
  <c r="Q63" i="1"/>
  <c r="P63" i="1"/>
  <c r="Q62" i="1"/>
  <c r="P62" i="1"/>
  <c r="Q61" i="1"/>
  <c r="P61" i="1"/>
  <c r="Q60" i="1"/>
  <c r="P60" i="1"/>
  <c r="Q59" i="1"/>
  <c r="P59" i="1"/>
  <c r="Q58" i="1"/>
  <c r="P58" i="1"/>
  <c r="Q57" i="1"/>
  <c r="P57" i="1"/>
  <c r="Q56" i="1"/>
  <c r="P56" i="1"/>
  <c r="Q55" i="1"/>
  <c r="P55" i="1"/>
  <c r="Q54" i="1"/>
  <c r="P54" i="1"/>
  <c r="Q53" i="1"/>
  <c r="P53" i="1"/>
  <c r="Q52" i="1"/>
  <c r="P52" i="1"/>
  <c r="Q51" i="1"/>
  <c r="P51" i="1"/>
  <c r="Q50" i="1"/>
  <c r="P50" i="1"/>
  <c r="Q49" i="1"/>
  <c r="P49" i="1"/>
  <c r="Q48" i="1"/>
  <c r="P48" i="1"/>
  <c r="Q47" i="1"/>
  <c r="P47" i="1"/>
  <c r="Q46" i="1"/>
  <c r="P46" i="1"/>
  <c r="Q45" i="1"/>
  <c r="P45" i="1"/>
  <c r="Q44" i="1"/>
  <c r="P44" i="1"/>
  <c r="Q43" i="1"/>
  <c r="P43" i="1"/>
  <c r="Q42" i="1"/>
  <c r="P42" i="1"/>
  <c r="Q41" i="1"/>
  <c r="P41" i="1"/>
  <c r="Q40" i="1"/>
  <c r="P40" i="1"/>
  <c r="Q39" i="1"/>
  <c r="P39" i="1"/>
  <c r="Q38" i="1"/>
  <c r="P38" i="1"/>
  <c r="Q37" i="1"/>
  <c r="P37" i="1"/>
  <c r="Q36" i="1"/>
  <c r="P36" i="1"/>
  <c r="Q35" i="1"/>
  <c r="P35" i="1"/>
  <c r="Q34" i="1"/>
  <c r="P34" i="1"/>
  <c r="Q33" i="1"/>
  <c r="P33" i="1"/>
  <c r="Q32" i="1"/>
  <c r="P32" i="1"/>
  <c r="Q31" i="1"/>
  <c r="P31" i="1"/>
  <c r="Q30" i="1"/>
  <c r="P30" i="1"/>
  <c r="Q29" i="1"/>
  <c r="P29" i="1"/>
  <c r="Q28" i="1"/>
  <c r="P28" i="1"/>
  <c r="Q27" i="1"/>
  <c r="P27" i="1"/>
  <c r="Q26" i="1"/>
  <c r="P26" i="1"/>
  <c r="Q25" i="1"/>
  <c r="P25" i="1"/>
  <c r="Q24" i="1"/>
  <c r="P24" i="1"/>
  <c r="Q23" i="1"/>
  <c r="P23" i="1"/>
  <c r="Q22" i="1"/>
  <c r="P22" i="1"/>
  <c r="Q21" i="1"/>
  <c r="P21" i="1"/>
  <c r="Q20" i="1"/>
  <c r="P20" i="1"/>
  <c r="Q160" i="1" l="1"/>
  <c r="N160" i="1" s="1"/>
  <c r="L161" i="1" s="1"/>
  <c r="AK16" i="4"/>
  <c r="AK18" i="4" s="1"/>
  <c r="AK20" i="4" s="1"/>
  <c r="AK22" i="4" s="1"/>
  <c r="AK24" i="4" s="1"/>
  <c r="AK26" i="4" s="1"/>
  <c r="AK28" i="4" s="1"/>
  <c r="AK30" i="4" s="1"/>
  <c r="AK32" i="4" s="1"/>
  <c r="AK34" i="4" s="1"/>
  <c r="AK36" i="4" s="1"/>
  <c r="AK38" i="4" s="1"/>
  <c r="U16" i="4"/>
  <c r="U18" i="4" s="1"/>
  <c r="U20" i="4" s="1"/>
  <c r="U22" i="4" s="1"/>
  <c r="U24" i="4" s="1"/>
  <c r="U26" i="4" s="1"/>
  <c r="U28" i="4" s="1"/>
  <c r="U30" i="4" s="1"/>
  <c r="U32" i="4" s="1"/>
  <c r="U34" i="4" s="1"/>
  <c r="U36" i="4" s="1"/>
  <c r="U38" i="4" s="1"/>
  <c r="E16" i="4"/>
  <c r="E18" i="4" s="1"/>
  <c r="E20" i="4" s="1"/>
  <c r="E22" i="4" s="1"/>
  <c r="E24" i="4" s="1"/>
  <c r="E26" i="4" s="1"/>
  <c r="E28" i="4" s="1"/>
  <c r="E30" i="4" s="1"/>
  <c r="E32" i="4" s="1"/>
  <c r="E34" i="4" s="1"/>
  <c r="E36" i="4" s="1"/>
  <c r="E38" i="4" s="1"/>
  <c r="AK14" i="4"/>
  <c r="AG14" i="4"/>
  <c r="AG16" i="4" s="1"/>
  <c r="AG18" i="4" s="1"/>
  <c r="AG20" i="4" s="1"/>
  <c r="AG22" i="4" s="1"/>
  <c r="AG24" i="4" s="1"/>
  <c r="AG26" i="4" s="1"/>
  <c r="AG28" i="4" s="1"/>
  <c r="AG30" i="4" s="1"/>
  <c r="AG32" i="4" s="1"/>
  <c r="AG34" i="4" s="1"/>
  <c r="AG36" i="4" s="1"/>
  <c r="AG38" i="4" s="1"/>
  <c r="AC14" i="4"/>
  <c r="AC16" i="4" s="1"/>
  <c r="AC18" i="4" s="1"/>
  <c r="AC20" i="4" s="1"/>
  <c r="AC22" i="4" s="1"/>
  <c r="AC24" i="4" s="1"/>
  <c r="AC26" i="4" s="1"/>
  <c r="AC28" i="4" s="1"/>
  <c r="AC30" i="4" s="1"/>
  <c r="AC32" i="4" s="1"/>
  <c r="AC34" i="4" s="1"/>
  <c r="AC36" i="4" s="1"/>
  <c r="AC38" i="4" s="1"/>
  <c r="Y14" i="4"/>
  <c r="Y16" i="4" s="1"/>
  <c r="Y18" i="4" s="1"/>
  <c r="Y20" i="4" s="1"/>
  <c r="Y22" i="4" s="1"/>
  <c r="Y24" i="4" s="1"/>
  <c r="Y26" i="4" s="1"/>
  <c r="Y28" i="4" s="1"/>
  <c r="Y30" i="4" s="1"/>
  <c r="Y32" i="4" s="1"/>
  <c r="Y34" i="4" s="1"/>
  <c r="Y36" i="4" s="1"/>
  <c r="Y38" i="4" s="1"/>
  <c r="U14" i="4"/>
  <c r="Q14" i="4"/>
  <c r="Q16" i="4" s="1"/>
  <c r="Q18" i="4" s="1"/>
  <c r="Q20" i="4" s="1"/>
  <c r="Q22" i="4" s="1"/>
  <c r="Q24" i="4" s="1"/>
  <c r="Q26" i="4" s="1"/>
  <c r="Q28" i="4" s="1"/>
  <c r="Q30" i="4" s="1"/>
  <c r="Q32" i="4" s="1"/>
  <c r="Q34" i="4" s="1"/>
  <c r="Q36" i="4" s="1"/>
  <c r="Q38" i="4" s="1"/>
  <c r="M14" i="4"/>
  <c r="M16" i="4" s="1"/>
  <c r="M18" i="4" s="1"/>
  <c r="M20" i="4" s="1"/>
  <c r="M22" i="4" s="1"/>
  <c r="M24" i="4" s="1"/>
  <c r="M26" i="4" s="1"/>
  <c r="M28" i="4" s="1"/>
  <c r="M30" i="4" s="1"/>
  <c r="M32" i="4" s="1"/>
  <c r="M34" i="4" s="1"/>
  <c r="M36" i="4" s="1"/>
  <c r="M38" i="4" s="1"/>
  <c r="I14" i="4"/>
  <c r="I16" i="4" s="1"/>
  <c r="I18" i="4" s="1"/>
  <c r="I20" i="4" s="1"/>
  <c r="I22" i="4" s="1"/>
  <c r="I24" i="4" s="1"/>
  <c r="I26" i="4" s="1"/>
  <c r="I28" i="4" s="1"/>
  <c r="I30" i="4" s="1"/>
  <c r="I32" i="4" s="1"/>
  <c r="I34" i="4" s="1"/>
  <c r="I36" i="4" s="1"/>
  <c r="I38" i="4" s="1"/>
  <c r="E14" i="4"/>
  <c r="A14" i="4"/>
  <c r="A16" i="4" s="1"/>
  <c r="A18" i="4" s="1"/>
  <c r="A20" i="4" s="1"/>
  <c r="A22" i="4" s="1"/>
  <c r="A24" i="4" s="1"/>
  <c r="A26" i="4" s="1"/>
  <c r="A28" i="4" s="1"/>
  <c r="A30" i="4" s="1"/>
  <c r="A32" i="4" s="1"/>
  <c r="A34" i="4" s="1"/>
  <c r="A36" i="4" s="1"/>
  <c r="A38" i="4" s="1"/>
  <c r="B47" i="2" l="1"/>
  <c r="B48" i="2" s="1"/>
  <c r="B49" i="2" s="1"/>
  <c r="B50" i="2" s="1"/>
  <c r="B51" i="2" s="1"/>
  <c r="B52" i="2" s="1"/>
  <c r="B53" i="2" s="1"/>
  <c r="A1" i="2"/>
  <c r="AS16" i="3" l="1"/>
  <c r="AS17" i="3" s="1"/>
  <c r="AS18" i="3" s="1"/>
  <c r="AS19" i="3" s="1"/>
  <c r="AS20" i="3" s="1"/>
  <c r="AS21" i="3" s="1"/>
  <c r="AS22" i="3" s="1"/>
  <c r="AS23" i="3" s="1"/>
  <c r="AS24" i="3" s="1"/>
  <c r="AS25" i="3" s="1"/>
  <c r="AS26" i="3" s="1"/>
  <c r="AS27" i="3" s="1"/>
  <c r="AS28" i="3" s="1"/>
  <c r="AS29" i="3" s="1"/>
  <c r="AS30" i="3" s="1"/>
  <c r="AS31" i="3" s="1"/>
  <c r="AS32" i="3" s="1"/>
  <c r="AS33" i="3" s="1"/>
  <c r="AS34" i="3" s="1"/>
  <c r="AS35" i="3" s="1"/>
  <c r="B16" i="3"/>
  <c r="B17" i="3" s="1"/>
  <c r="B18" i="3" s="1"/>
  <c r="B19" i="3" s="1"/>
  <c r="B20" i="3" s="1"/>
  <c r="B21" i="3" s="1"/>
  <c r="B22" i="3" s="1"/>
  <c r="B23" i="3" s="1"/>
  <c r="B24" i="3" s="1"/>
  <c r="B25" i="3" s="1"/>
  <c r="B26" i="3" s="1"/>
  <c r="B27" i="3" s="1"/>
  <c r="B28" i="3" s="1"/>
  <c r="B29" i="3" s="1"/>
  <c r="B30" i="3" s="1"/>
  <c r="B31" i="3" s="1"/>
  <c r="B32" i="3" s="1"/>
  <c r="B33" i="3" s="1"/>
  <c r="B34" i="3" s="1"/>
  <c r="B35" i="3" s="1"/>
  <c r="E10" i="3"/>
  <c r="G10" i="3" s="1"/>
  <c r="I10" i="3" s="1"/>
  <c r="K10" i="3" s="1"/>
  <c r="M10" i="3" s="1"/>
  <c r="O10" i="3" s="1"/>
  <c r="Q10" i="3" s="1"/>
  <c r="S10" i="3" s="1"/>
  <c r="U10" i="3" s="1"/>
  <c r="W10" i="3" s="1"/>
  <c r="Y10" i="3" s="1"/>
  <c r="AA10" i="3" s="1"/>
  <c r="AC10" i="3" s="1"/>
  <c r="AE10" i="3" s="1"/>
  <c r="AG10" i="3" s="1"/>
  <c r="AI10" i="3" s="1"/>
  <c r="AK10" i="3" s="1"/>
  <c r="AM10" i="3" s="1"/>
  <c r="AO10" i="3" s="1"/>
  <c r="AQ10" i="3" s="1"/>
  <c r="C8" i="2" l="1"/>
  <c r="D8" i="3" s="1"/>
  <c r="C7" i="2"/>
  <c r="D7" i="3" s="1"/>
  <c r="C6" i="2"/>
  <c r="D6" i="3" s="1"/>
  <c r="C5" i="2"/>
  <c r="D5" i="3" s="1"/>
  <c r="C4" i="2"/>
  <c r="D4" i="3" s="1"/>
  <c r="B8" i="2"/>
  <c r="C8" i="3" s="1"/>
  <c r="B7" i="2"/>
  <c r="C7" i="3" s="1"/>
  <c r="B6" i="2"/>
  <c r="C6" i="3" s="1"/>
  <c r="B5" i="2"/>
  <c r="C5" i="3" s="1"/>
  <c r="B4" i="2"/>
  <c r="C4" i="3" s="1"/>
  <c r="C3" i="2"/>
  <c r="D3" i="3" s="1"/>
  <c r="B3" i="2"/>
  <c r="C3" i="3" s="1"/>
  <c r="A8" i="2"/>
  <c r="B8" i="3" s="1"/>
  <c r="A7" i="2"/>
  <c r="B7" i="3" s="1"/>
  <c r="A6" i="2"/>
  <c r="B6" i="3" s="1"/>
  <c r="A5" i="2"/>
  <c r="B5" i="3" s="1"/>
  <c r="A4" i="2"/>
  <c r="B4" i="3" s="1"/>
  <c r="A3" i="2"/>
  <c r="B3" i="3" s="1"/>
  <c r="AQ13" i="2" l="1"/>
  <c r="K47" i="2" s="1"/>
  <c r="AQ11" i="2"/>
  <c r="AQ15" i="2"/>
  <c r="K48" i="2" s="1"/>
  <c r="L48" i="2" s="1"/>
  <c r="R48" i="2" s="1"/>
  <c r="AQ21" i="2"/>
  <c r="K51" i="2" s="1"/>
  <c r="AQ17" i="2"/>
  <c r="K49" i="2" s="1"/>
  <c r="L49" i="2" s="1"/>
  <c r="R49" i="2" s="1"/>
  <c r="AQ19" i="2"/>
  <c r="K50" i="2" s="1"/>
  <c r="L50" i="2" s="1"/>
  <c r="R50" i="2" s="1"/>
  <c r="AQ23" i="2"/>
  <c r="K52" i="2" s="1"/>
  <c r="X25" i="2"/>
  <c r="AB25" i="2"/>
  <c r="AF25" i="2"/>
  <c r="AJ25" i="2"/>
  <c r="AN25" i="2"/>
  <c r="T25" i="2"/>
  <c r="L51" i="2" l="1"/>
  <c r="R51" i="2" s="1"/>
  <c r="L52" i="2"/>
  <c r="R52" i="2" s="1"/>
  <c r="AQ25" i="2"/>
  <c r="AP25" i="2"/>
  <c r="L47" i="2"/>
  <c r="R47" i="2" s="1"/>
  <c r="AK34" i="3"/>
  <c r="AK30" i="3"/>
  <c r="AK26" i="3"/>
  <c r="AK22" i="3"/>
  <c r="AK18" i="3"/>
  <c r="AK33" i="3"/>
  <c r="AK29" i="3"/>
  <c r="AK25" i="3"/>
  <c r="AK21" i="3"/>
  <c r="AK17" i="3"/>
  <c r="AK32" i="3"/>
  <c r="AK28" i="3"/>
  <c r="AK24" i="3"/>
  <c r="AK20" i="3"/>
  <c r="AK16" i="3"/>
  <c r="AK35" i="3"/>
  <c r="AK31" i="3"/>
  <c r="AK27" i="3"/>
  <c r="AK23" i="3"/>
  <c r="AK19" i="3"/>
  <c r="AK15" i="3"/>
  <c r="O34" i="3"/>
  <c r="O18" i="3"/>
  <c r="O29" i="3"/>
  <c r="O21" i="3"/>
  <c r="O28" i="3"/>
  <c r="O16" i="3"/>
  <c r="O33" i="3"/>
  <c r="O32" i="3"/>
  <c r="O20" i="3"/>
  <c r="O35" i="3"/>
  <c r="O31" i="3"/>
  <c r="O27" i="3"/>
  <c r="O23" i="3"/>
  <c r="O19" i="3"/>
  <c r="O30" i="3"/>
  <c r="O26" i="3"/>
  <c r="O22" i="3"/>
  <c r="O25" i="3"/>
  <c r="O17" i="3"/>
  <c r="O15" i="3"/>
  <c r="O24" i="3"/>
  <c r="AC30" i="3"/>
  <c r="AC19" i="3"/>
  <c r="AC22" i="3"/>
  <c r="AC29" i="3"/>
  <c r="AC21" i="3"/>
  <c r="AC31" i="3"/>
  <c r="AC35" i="3"/>
  <c r="AC26" i="3"/>
  <c r="AC18" i="3"/>
  <c r="AC17" i="3"/>
  <c r="AC33" i="3"/>
  <c r="AC28" i="3"/>
  <c r="AC24" i="3"/>
  <c r="AC20" i="3"/>
  <c r="AC16" i="3"/>
  <c r="AC34" i="3"/>
  <c r="AC27" i="3"/>
  <c r="AC23" i="3"/>
  <c r="AC15" i="3"/>
  <c r="AC32" i="3"/>
  <c r="AC25" i="3"/>
  <c r="U31" i="3"/>
  <c r="U24" i="3"/>
  <c r="U19" i="3"/>
  <c r="U25" i="3"/>
  <c r="U18" i="3"/>
  <c r="U32" i="3"/>
  <c r="U33" i="3"/>
  <c r="U22" i="3"/>
  <c r="U26" i="3"/>
  <c r="U30" i="3"/>
  <c r="U34" i="3"/>
  <c r="U17" i="3"/>
  <c r="U23" i="3"/>
  <c r="U27" i="3"/>
  <c r="U35" i="3"/>
  <c r="U16" i="3"/>
  <c r="U20" i="3"/>
  <c r="U28" i="3"/>
  <c r="U15" i="3"/>
  <c r="U21" i="3"/>
  <c r="U29" i="3"/>
  <c r="I15" i="3"/>
  <c r="I17" i="3"/>
  <c r="I16" i="3"/>
  <c r="AK11" i="3"/>
  <c r="AC11" i="3"/>
  <c r="U11" i="3"/>
  <c r="M11" i="3"/>
  <c r="E11" i="3"/>
  <c r="AI11" i="3"/>
  <c r="AA11" i="3"/>
  <c r="K11" i="3"/>
  <c r="AQ11" i="3"/>
  <c r="S11" i="3"/>
  <c r="AO11" i="3"/>
  <c r="AG11" i="3"/>
  <c r="Y11" i="3"/>
  <c r="Q11" i="3"/>
  <c r="I11" i="3"/>
  <c r="AM11" i="3"/>
  <c r="AE11" i="3"/>
  <c r="W11" i="3"/>
  <c r="O11" i="3"/>
  <c r="G11" i="3"/>
  <c r="I35" i="3"/>
  <c r="I31" i="3"/>
  <c r="I27" i="3"/>
  <c r="I23" i="3"/>
  <c r="I19" i="3"/>
  <c r="I26" i="3"/>
  <c r="I18" i="3"/>
  <c r="I34" i="3"/>
  <c r="I30" i="3"/>
  <c r="I22" i="3"/>
  <c r="I33" i="3"/>
  <c r="I29" i="3"/>
  <c r="I25" i="3"/>
  <c r="I21" i="3"/>
  <c r="I32" i="3"/>
  <c r="I28" i="3"/>
  <c r="I24" i="3"/>
  <c r="I20" i="3"/>
  <c r="K46" i="2"/>
  <c r="C11" i="3"/>
  <c r="K53" i="2" l="1"/>
  <c r="C15" i="3"/>
  <c r="L46" i="2"/>
  <c r="R46" i="2" s="1"/>
  <c r="C64" i="2"/>
  <c r="C66" i="2"/>
  <c r="C62" i="2"/>
  <c r="C60" i="2"/>
  <c r="C68" i="2"/>
  <c r="C58" i="2"/>
  <c r="C33" i="3"/>
  <c r="C29" i="3"/>
  <c r="C25" i="3"/>
  <c r="C20" i="3"/>
  <c r="C16" i="3"/>
  <c r="C23" i="3"/>
  <c r="C32" i="3"/>
  <c r="C28" i="3"/>
  <c r="C24" i="3"/>
  <c r="C19" i="3"/>
  <c r="C35" i="3"/>
  <c r="C31" i="3"/>
  <c r="C27" i="3"/>
  <c r="C22" i="3"/>
  <c r="C18" i="3"/>
  <c r="C34" i="3"/>
  <c r="C30" i="3"/>
  <c r="C26" i="3"/>
  <c r="C21" i="3"/>
  <c r="C17" i="3"/>
  <c r="C56" i="2" l="1"/>
  <c r="L53" i="2"/>
  <c r="R53" i="2" s="1"/>
  <c r="C41" i="3"/>
  <c r="I41" i="3"/>
  <c r="O41" i="3"/>
  <c r="C70" i="2" l="1"/>
</calcChain>
</file>

<file path=xl/sharedStrings.xml><?xml version="1.0" encoding="utf-8"?>
<sst xmlns="http://schemas.openxmlformats.org/spreadsheetml/2006/main" count="740" uniqueCount="206">
  <si>
    <t>Pada buku ini tersedia 140 pernyataan tentang tindakan yang mungkin anda lakukan dalam tugas anda di perusahaan.</t>
  </si>
  <si>
    <t>lni bukan suatu Tes. Apapun yang anda pilih, hendaknya sungguh - sungguh menggambarkan diri Anda.</t>
  </si>
  <si>
    <t>PERNYATAAN:</t>
  </si>
  <si>
    <t>132. Saya dapat bekerja sama amannya dengan jika saya menggunakan  narkoba.</t>
  </si>
  <si>
    <t>1.     Biasanya saya mencoba menyusun sebuah rencana untuk menyelesaikan pekerjaan saya.</t>
  </si>
  <si>
    <t>2.     Saya bekerja dengan sangat hati – hati.</t>
  </si>
  <si>
    <t>3.     Ketika saya sedang marah, tak seorang pun yang dapat menebak apa yang akan saya lakukan.</t>
  </si>
  <si>
    <t>4.     Saya sulit untuk mengendalikan emosi ketika terjebak dalam kemacetan lalulintas.</t>
  </si>
  <si>
    <t>5.     Setidaknya sekali dalam hidup saya, pernah meminum minuman beralkohol hingga mengganggu pekerjaan saya di tempat kerja.</t>
  </si>
  <si>
    <t>6.     Saya menggunakan narkoba akhir akhir ini.</t>
  </si>
  <si>
    <t>7.     Kebanyakan orang mempunyai alasan yang dapat diterima untuk dapat kembali dipekerjakan di perusahaan.</t>
  </si>
  <si>
    <t>8.     Kebanyakan orang menggunakan ijin sakit untuk bisa keluar dari tempat kerja atau dengan tujuan lain.</t>
  </si>
  <si>
    <t xml:space="preserve">9.     Saya tidak akan menggunakan komputer kantor untuk mengirim dan menerima email jika hal tersebut melanggar peraturan perusahan. </t>
  </si>
  <si>
    <t>10.  Saya secara teratur mengunjungi situs – situs yang mengandung pornografi di kantor.</t>
  </si>
  <si>
    <t>11.  Saya sering memeluk teman (lawan jenis) sekantor yang dekat dengan saya.</t>
  </si>
  <si>
    <t>12.  Saya sering menceritakan lelucon yang menyinggung soal seksualitas di kantor.</t>
  </si>
  <si>
    <t>13.  Saya tidak pernah bertindak tanpa berpikir sebelumnya.</t>
  </si>
  <si>
    <t>14.  Saya telah melakukan tindakan tindakan yang tidak jujur di masalalu yang saat ini saya sesali</t>
  </si>
  <si>
    <t>15.  Mudah bagi saya untuk tetap memusatkan perhatian kepada pekerjaan saya</t>
  </si>
  <si>
    <t>16.  Melakukan pekerjaan, lebih penting dari pda menikmati waktu santai.</t>
  </si>
  <si>
    <t>17.  Terkadang saya tidak menyadari kekuatan amarah saya.</t>
  </si>
  <si>
    <t>18.  Saya tidak menyalahkan orang yang ingin balas dendam.</t>
  </si>
  <si>
    <t>19.  Seseorang yang membawa narkoba ke kantor harus dipecat.</t>
  </si>
  <si>
    <t>20.  Di tahun yang lalu saya meminum minuman mengandung alkohol ketika bekerja.</t>
  </si>
  <si>
    <t>21.  Ketika liburan, kebanyakan orang akan memotong pengeluaran biaya belanja untuk teman atau keluarga.</t>
  </si>
  <si>
    <t>22.  Jika ada kesempatan, kebanyakan orang akan mengambil sebagian kecil dana cadangan kantor/perusahaan untuk keperluan mereka sendiri.</t>
  </si>
  <si>
    <t>23.  Saya pernah menyusup ke situs orang lain tanpa ijin.</t>
  </si>
  <si>
    <t>24.  Saya telah memperoleh akses ke email rekan sekerja kantor tanpa ijin dari yang bersangkutan.</t>
  </si>
  <si>
    <t>25.  Satu atau dua lelucon yang mengandung unsur seks/ porno seringkali meredakan ketegangan bekerja.</t>
  </si>
  <si>
    <t>26.  Tidak ada masalah jika menyentuh lawan jenis di kantor.</t>
  </si>
  <si>
    <t>27.  Saya selalu memperhatikan perasaan orang lain.</t>
  </si>
  <si>
    <t>28.  Saya selalu melakukan segala sesuatu dengan kemarahan yang saya sesali kemudian</t>
  </si>
  <si>
    <t>29.  Sangat penting bagi saya untuk dapat mengendalikan pekerjaan saya sendiri</t>
  </si>
  <si>
    <t>30.  Membawa pulang sebagian Alat Tulis Kantor ke rumah bukan masalah besar.</t>
  </si>
  <si>
    <t>31.  Paling tidak saya pernah satu kali memukul seseorang untuk kesenangan diri saya pribadi.</t>
  </si>
  <si>
    <t>32.  Saya harus berhati-hati agar pengendalian kemarahan saya tidak hilang dari saya.</t>
  </si>
  <si>
    <t>34.  Saya menggunakan ganja paling tidak sekali pada tahun lalu.</t>
  </si>
  <si>
    <t>35.  Saya sering meminjam uang dari perusahaan tanpa ijin tapi saya selalu mengembalikannya.</t>
  </si>
  <si>
    <t>36.  Saya pernah membagikan rahasia penting perusahaan dengan orang-orang yang tidak berwenang.</t>
  </si>
  <si>
    <t>37.  Saya pernah mengirimkan email yang berisi lelucon kotorke orang lain di kantor.</t>
  </si>
  <si>
    <t>38.  Saya telah mengirimkan email dengan lelucon tentang Suku, Agama, Rasial ke orang lain di kantor.</t>
  </si>
  <si>
    <t>39.  Mengatakan pujian tentang seks adalah bagian dari hidup manusia.</t>
  </si>
  <si>
    <t>40.  Diharapkan para pekerja mengadakan acara hiburan setelah hari kerja yang berat.</t>
  </si>
  <si>
    <t>41.  Jika saya membuat kesalahan, saya selalu mengakuinya.</t>
  </si>
  <si>
    <t>42.  Terkadang di kantor, saya merasa tidak melakukan apapun.</t>
  </si>
  <si>
    <t>43.  Saya menceritakan lelucon tentang seks di kantor.</t>
  </si>
  <si>
    <t>44.  Saya sering menceritakan lelucon tentang rasa tau kesukuan di kantor.</t>
  </si>
  <si>
    <t>45.  Saya sangat mudah tersinggung dengan teman sekantor.</t>
  </si>
  <si>
    <t>46.  Ketika seseorang menyakiti saya, saya ingin membalas.</t>
  </si>
  <si>
    <t>47.  Saya menggunakan narkoba ketika bekerja selama setahun yang lalu.</t>
  </si>
  <si>
    <t>48.  Tahun lalu saya menggunakan pil yang saya dapatkan secara illegal/tidak resmi.</t>
  </si>
  <si>
    <t>49.  Saya pernah gagal melaporkan teman kantor yang mencuri uang atau perlengkapan kantor.</t>
  </si>
  <si>
    <t>50.  Di kantor saya pernah menunjukan kepada sesama karyawan bagaimana caranya mengakali peraturan yang ditetapkan.</t>
  </si>
  <si>
    <t>51.  Saya tidak menggunakan komputer kantor untuk bermain permainan komputer.</t>
  </si>
  <si>
    <t>52.  Saya pernah menggunakan komputer kantor untuk memperoleh rahasia penting perusahaan tanpa ijin.</t>
  </si>
  <si>
    <t>53.  Saya senang menggoda lawan jenis di kantor.</t>
  </si>
  <si>
    <t>54.  Kebanyakan orang pernah melakukan pelecehan sexual.</t>
  </si>
  <si>
    <t>55.  Terkadang saya tidak bekerja dengan hati-hati seperti yang seharusnya dilakukan.</t>
  </si>
  <si>
    <t>56.  Saya tidak mempunyai kebiasaan yang buruk.</t>
  </si>
  <si>
    <t>57.  Segalanya yang patut dilakukan, harus dilakukan sebaik-baiknya.</t>
  </si>
  <si>
    <t>58.  Saya sangat sibuk di kantor.</t>
  </si>
  <si>
    <t>59.  Saya dapat membayangkan sebuah situasi dimana saya dapat memukul teman sekantor.</t>
  </si>
  <si>
    <t>60.  Saya sering kesulitan mengendalikan emosi saya.</t>
  </si>
  <si>
    <t>61.  Seseorang yang menggunakan narkoba ketika bekerja harusnya di hukum.</t>
  </si>
  <si>
    <t>62.  Secara umum, orang orang yang menggunakan narkoba cenderung kurang dapat diandalkan dibandingkan mereka yang tidak menggunakan.</t>
  </si>
  <si>
    <t>63.  Di toko atau Swalayan, saya tergoda untuk mengambil barang tanpa membayarnya.</t>
  </si>
  <si>
    <t>64.  Saya membawa pulang peralatan kantor untuk kepentingan saya sendiri tanpa ijin.</t>
  </si>
  <si>
    <t>65.  Saya secara rutin menggunakan computer kantor untuk berhubungan dengan keluarga dan sahabat.</t>
  </si>
  <si>
    <t>66.  Jika saya melihat teman kantor bermain permainan computer di kantor, saya akan melaporkan ke atasan.</t>
  </si>
  <si>
    <t>67.  Saya sering membuat komentar tentang seks di kantor.</t>
  </si>
  <si>
    <t>68.  Memaksa teman kantor untuk berkencan setelah bekerja bukanlah suatu kesalahan besar.</t>
  </si>
  <si>
    <t>69.  Saya tidak pernah menghindari tugas yang tdak menyenangkan di tempat kerja.</t>
  </si>
  <si>
    <t>70.  Saya tidak pernah melakukan sesuatu dengan kemarahan.</t>
  </si>
  <si>
    <t>71.  Saat bekerja, saya sering melamun.</t>
  </si>
  <si>
    <t>72.  Saya benci dengan prilaku yang membuat orang lain menunggu terlalu lama.</t>
  </si>
  <si>
    <t>73.  Kemarahan saya sering kali menakutkan saya.</t>
  </si>
  <si>
    <t>74.   Ketika mengemudi, saya sering kali mengamuk / marah besar pada pengemudi lain.</t>
  </si>
  <si>
    <t>75.  Orang yang menjual narkoba harus di penjara.</t>
  </si>
  <si>
    <t>76.  Peraturan Perusahaan mengenai penggunaan narkoba sering kali terlalu ketat.</t>
  </si>
  <si>
    <t>77.  Saya pernah menipu seseorang sampai bangkrut dan saya bisa meloloskan diri dari kejarannnya.</t>
  </si>
  <si>
    <t>78.  Di kantor, saya terpaksa berbohong untuk menghindar dari masalah yang lebih buruk.</t>
  </si>
  <si>
    <t>79.  Tidak masalah menggunakan computer perusahaan untuk berhubungan dengan keluarga dan sahabat, meskipun bertentangan dengan aturan perusahaan.</t>
  </si>
  <si>
    <t>80.  Jika saya adalah pekerja keras, penggunaan komputer kantor untuk urusan pribadi bukanlah suatu masalah yang besar meskipun bertentangan dengan peraturan perusahaan.</t>
  </si>
  <si>
    <t>81.  Ketika anda mengambil pekerjaan pria, anda berharap diperlakukan sebagai pria.</t>
  </si>
  <si>
    <t>82.  Di kantor saya pernah memeluk banyak rekan sekerja yang lawan jenis.</t>
  </si>
  <si>
    <t>83.  Saya tidak pernah menjelek-jelekan rekan sekerja dari belakang (tanpa yang bersangkutan tidak mengetahuinya).</t>
  </si>
  <si>
    <t>84.  Beberapa kali saya menunda pekerjaan saya hingga menit menit terakhir (dead line).</t>
  </si>
  <si>
    <t>86.  Saya selalu mengikuti aturan – aturan yang berkenaan dengan pekerjaan saya.</t>
  </si>
  <si>
    <t>87.  Saya merasa senang jika orang tertentu sakit hati.</t>
  </si>
  <si>
    <t>88.  Saya sering terkejut dengan beberapa amarah saya yang meledak.</t>
  </si>
  <si>
    <t>89.  Saya dapat bekerja lebih baik di kantor jika saya menggunakan narkoba.</t>
  </si>
  <si>
    <t>90.  Saya tidak merasa aman di kantor ketika orang lain mabuk.</t>
  </si>
  <si>
    <t>91.  Saya pernah memalsukan surat kwitansi tanda terima uang untuk mendapatkan uang lebih.</t>
  </si>
  <si>
    <t>92.  Kebanyakan orang akan sedikit mencuri dari perusahaan.</t>
  </si>
  <si>
    <t>93.  Menyusup ke suatu situs tidak masalah, selama anda tidak merusaknya</t>
  </si>
  <si>
    <t>94.  Menggunakan komputer di tempat kerja untuk bermain permainan komputer  (game) bukanlah suatu masalah yang besar.</t>
  </si>
  <si>
    <t>95.  Jika anda tidak dapat bercanda tentang seks di kantor, anda tidak tertarik bekerja.</t>
  </si>
  <si>
    <t>96.  Saya sering memuji teman lawan jenis di kantor tentang sebagaimana menariknya dia.</t>
  </si>
  <si>
    <t>97.  Jika saya menerima uang kembalian yang berlebih, saya selalu mengembalikan.</t>
  </si>
  <si>
    <t>98.  Saya mematuhi semua peraturan yang telah ditetapkan.</t>
  </si>
  <si>
    <t>99.  Para pengawas/penyelia/supervisor saya tahu mereka dapat mengandalkan saya dalam menyelesaikan pekerjaan.</t>
  </si>
  <si>
    <t>100.  Saya mempunyai standar yang tinggi, baik untuk diri saya sendiri dan orang lain.</t>
  </si>
  <si>
    <t>101.  Saya terkenal sebagai petarung yang baik.</t>
  </si>
  <si>
    <t>102.  Saya suka menonton petarungan / perkelahian yang bagus di kantor.</t>
  </si>
  <si>
    <t>103.  Semua orang membawa narkoba ke kantor harus di hukum.</t>
  </si>
  <si>
    <t>104.  Saya tidak pernah membawa narkoba ke kantor.</t>
  </si>
  <si>
    <t>105.  Kebanyakan orang berpikir untuk mengambil barang-barang dari kantor tanpa ijin, meskipun mereka tidak benar-benar melakukannya.</t>
  </si>
  <si>
    <t>106.  Jika ada kesempatan, kebanyakan orang akan menjual barang-barang “selundupan” atau curian.</t>
  </si>
  <si>
    <t>107.  Tidak ada yang boleh mengirimkan lelucon tentang seks melalui email di kantor.</t>
  </si>
  <si>
    <t>108.  Mengirimkan lelucon tentang seks melalui email di kantor adalah bukan suatu masalah yang besar.</t>
  </si>
  <si>
    <t>109.  Kebanyakan pelecehan seksual terjadi akibat cara “korban” berperilaku.</t>
  </si>
  <si>
    <t>110.  Saya sering melingkarkan tangan kepada banyak rekan kerja yang lawan jenis di kantor.</t>
  </si>
  <si>
    <t>111.  Saya selalu berpikir sebelum bertindak.</t>
  </si>
  <si>
    <t>112.  Saya tidak menceritakan kepada orang lain beberapa halyang pernah saya  lakukan</t>
  </si>
  <si>
    <t>113.  Saya sering mendapat teguran atau peringatan karena pelecehan seksual.</t>
  </si>
  <si>
    <t>114.  Saya menetapkan target kerja yang tinggi dalam bekerja.</t>
  </si>
  <si>
    <t>115.  Saya terkadang mengutuk teman kantor saya karena perilakunya</t>
  </si>
  <si>
    <t>116.  Beberapa kali saya tidak dapat  mengendalikan emosi  saya.</t>
  </si>
  <si>
    <t>117.  Jika saya tahu ada karyawan lain yang mabuk di kantor, saya akan melaporkannya kepada atasan.</t>
  </si>
  <si>
    <t>118.  Memperoleh sejumlah kecil narkoba tidak apa-apa, selama tidak digunakan di kantor.</t>
  </si>
  <si>
    <t>119.  Saya pernah mengambil uang lebih besar dari yang jumlah tabungan saya di bank.</t>
  </si>
  <si>
    <t>120.  Kebanyakan orang sedikit berbohong di kantor untuk melindungi diri mereka  sendiri.</t>
  </si>
  <si>
    <t>121.  Saya terlalu sering mengakses situs porno.</t>
  </si>
  <si>
    <t>122.  Jika saya membutuhkan informasi perusahaan, tidak masalah jika saya masuk ke situs perusahaan meskipun saya tidak berwenang.</t>
  </si>
  <si>
    <t>123.  Kebanyakan laporan tentang pelecehan sexual hanyalah usaha untuk mencari perhatian.</t>
  </si>
  <si>
    <t>124.  Saya telah menanyakan pertanyaan seputar kehidupan sexual kepada rekan lawan jenis di kantor.</t>
  </si>
  <si>
    <t>125.  Saya tidak berbohong, meskipun hal itu dapat memberikan keuntungan atau kebaikan bagi diri saya.</t>
  </si>
  <si>
    <t>126.  Saya tidak pernah menunda pekerjaan hingga menit terakhir (deadline)</t>
  </si>
  <si>
    <t>127.  Saya peduli terhadap kualitas pekerjaan saya.</t>
  </si>
  <si>
    <t>128.  Saya sangat jarang datang terlambat ke kantor.</t>
  </si>
  <si>
    <t>129.  Teman-teman kantor saya selalu menghindar jika saya sedang marah.</t>
  </si>
  <si>
    <t>130.  Orang-orang terlalu sensitive terhadap lelucon tentang ras, suku atau agama.</t>
  </si>
  <si>
    <t>131.  Pada tahun lalu, saya menggunakan ganja di kantor atau sesaat  sebelum berangkat ke kantor.</t>
  </si>
  <si>
    <t>133.  Kebanyakan orang membawa pulang peralatan kantor untuk kepentingan mereka sendiri.</t>
  </si>
  <si>
    <t>135.  Bermain permainan computer di kantor dapat mengganggu pekerjaan yang seharusnya dilakukan dengan baik.</t>
  </si>
  <si>
    <t>136.  Saya membagi rahasia perusahaan dengan orang lain.</t>
  </si>
  <si>
    <t>137.  Saya sering dengan sengaja memandangi rekan lawan jenis di kantor.</t>
  </si>
  <si>
    <t>138.  Kebanyakan laporan tentang pelecean sexual hanyalah untuk dapat kembali berhubungan dengan orang yang dituduh.</t>
  </si>
  <si>
    <t>139.  Saya tidak pernah cepat tersinggung.</t>
  </si>
  <si>
    <t>134. Kebanyakan orang tidak peduli ketika teman kantor mereka mencuri sesuatu di kantor.</t>
  </si>
  <si>
    <t>PEDOMAN :</t>
  </si>
  <si>
    <r>
      <t>Counterproductive Behavior Index</t>
    </r>
    <r>
      <rPr>
        <b/>
        <sz val="12"/>
        <color theme="0"/>
        <rFont val="Times New Roman"/>
        <family val="1"/>
      </rPr>
      <t xml:space="preserve"> (CBI) </t>
    </r>
  </si>
  <si>
    <t>Nama</t>
  </si>
  <si>
    <t>:</t>
  </si>
  <si>
    <t>Jenis Kelamin</t>
  </si>
  <si>
    <t>Tanggal Lahir</t>
  </si>
  <si>
    <t>Usia</t>
  </si>
  <si>
    <t>Tanggal isi</t>
  </si>
  <si>
    <t>Pendidikan</t>
  </si>
  <si>
    <t>===&gt;&gt;&gt; TERIMA KASIH &lt;&lt;&lt;===</t>
  </si>
  <si>
    <t>B</t>
  </si>
  <si>
    <t>S</t>
  </si>
  <si>
    <t>- Huruf B (Benar) jika pernyataan tersebut sesuai dengan apa yang anda pikirkan atau rasakan.</t>
  </si>
  <si>
    <t>- Huruf S (Salah) jika pernyataan tersebut tidak sesuai dengan apa yang anda pikirkan atau rasakan.</t>
  </si>
  <si>
    <t>Waktu yang disediakan hanya 15 menit. Tidak ada penambahan waktu jika belum selesai. Karena itu bekerjalah seefisien mungkin.</t>
  </si>
  <si>
    <r>
      <t xml:space="preserve">33.  Penggunaan sebagian besar narkoba </t>
    </r>
    <r>
      <rPr>
        <b/>
        <i/>
        <sz val="11"/>
        <color theme="1"/>
        <rFont val="Calibri"/>
        <family val="2"/>
        <scheme val="minor"/>
      </rPr>
      <t xml:space="preserve">I </t>
    </r>
    <r>
      <rPr>
        <b/>
        <sz val="11"/>
        <color theme="1"/>
        <rFont val="Calibri"/>
        <family val="2"/>
        <scheme val="minor"/>
      </rPr>
      <t>psikotropika yang terlarang seharusnya disahkan.</t>
    </r>
  </si>
  <si>
    <r>
      <t xml:space="preserve">85.  </t>
    </r>
    <r>
      <rPr>
        <b/>
        <sz val="11"/>
        <color rgb="FF213454"/>
        <rFont val="Calibri"/>
        <family val="2"/>
        <scheme val="minor"/>
      </rPr>
      <t>Sangat penting untuk memperbaiki kesalahan yang pernah di perbuat.</t>
    </r>
  </si>
  <si>
    <r>
      <t>140. Saya tidak pernah mendengarkan lelucon yang berbau seks</t>
    </r>
    <r>
      <rPr>
        <b/>
        <sz val="11"/>
        <color rgb="FF111D3F"/>
        <rFont val="Calibri"/>
        <family val="2"/>
        <scheme val="minor"/>
      </rPr>
      <t>.</t>
    </r>
  </si>
  <si>
    <t>TES</t>
  </si>
  <si>
    <t>LAKI</t>
  </si>
  <si>
    <t>smu</t>
  </si>
  <si>
    <t>No</t>
  </si>
  <si>
    <t>Harus pass di 140</t>
  </si>
  <si>
    <t>Dp</t>
  </si>
  <si>
    <t>Ag</t>
  </si>
  <si>
    <t>Sa</t>
  </si>
  <si>
    <t>Hn</t>
  </si>
  <si>
    <t>Ca</t>
  </si>
  <si>
    <t>Sh</t>
  </si>
  <si>
    <t>Gi</t>
  </si>
  <si>
    <t>Dependability Concerns</t>
  </si>
  <si>
    <t>Aggression Concerns</t>
  </si>
  <si>
    <t>Substance Abuse Concerns</t>
  </si>
  <si>
    <t>Honesty concerns</t>
  </si>
  <si>
    <t>Computer Abuse Concerns</t>
  </si>
  <si>
    <t>Sexual Harassment Concerns.</t>
  </si>
  <si>
    <t>Good Impression</t>
  </si>
  <si>
    <t>Test Validity Concerns</t>
  </si>
  <si>
    <t>Good Impression GI Score</t>
  </si>
  <si>
    <t>Scale</t>
  </si>
  <si>
    <t>Score</t>
  </si>
  <si>
    <t>Dependability (Dp) Concerns</t>
  </si>
  <si>
    <t>Aggression (Ag) Concerns</t>
  </si>
  <si>
    <t>Substance Abuse(SA) Concerns</t>
  </si>
  <si>
    <t>Honesty (Hn) Concerns</t>
  </si>
  <si>
    <t>Computer Abuse(CA) Concerns</t>
  </si>
  <si>
    <t>Sexual Harrassment(SH) Concerns</t>
  </si>
  <si>
    <t>Overall</t>
  </si>
  <si>
    <t>Concerns Score</t>
  </si>
  <si>
    <t>0-38</t>
  </si>
  <si>
    <t>39-59</t>
  </si>
  <si>
    <t>60-120</t>
  </si>
  <si>
    <t>Over All</t>
  </si>
  <si>
    <t>All</t>
  </si>
  <si>
    <t>COUNTERPRODUCTIVE BEHAVIOR INDEX (CBI) PROFILE</t>
  </si>
  <si>
    <t>NO</t>
  </si>
  <si>
    <t>IDEAL</t>
  </si>
  <si>
    <t>Rendah</t>
  </si>
  <si>
    <t>ASPEK</t>
  </si>
  <si>
    <t>SKOR</t>
  </si>
  <si>
    <t>HASIL</t>
  </si>
  <si>
    <t>HASIL &gt;&lt; IDEAL</t>
  </si>
  <si>
    <r>
      <t>Counterproductive Behavior Index</t>
    </r>
    <r>
      <rPr>
        <b/>
        <sz val="11"/>
        <color theme="0"/>
        <rFont val="Calibri"/>
        <family val="2"/>
        <scheme val="minor"/>
      </rPr>
      <t xml:space="preserve"> (CBI) </t>
    </r>
  </si>
  <si>
    <t>Tugas anda adalah menjawab seluruh pernyataan (tidak ada yang dilewat) dengan cara memberi tanda silang (x) di lembar jawaban :</t>
  </si>
  <si>
    <t>“RAHASIA”</t>
  </si>
  <si>
    <t>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</si>
</sst>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20" x14ac:knownFonts="1">
    <font>
      <sz val="11"/>
      <color theme="1"/>
      <name val="Calibri"/>
      <family val="2"/>
      <charset val="1"/>
      <scheme val="minor"/>
    </font>
    <font>
      <sz val="11"/>
      <color theme="1"/>
      <name val="Calibri"/>
      <family val="2"/>
      <scheme val="minor"/>
    </font>
    <font>
      <b/>
      <sz val="11"/>
      <color theme="1"/>
      <name val="Calibri"/>
      <family val="2"/>
      <scheme val="minor"/>
    </font>
    <font>
      <b/>
      <i/>
      <sz val="12"/>
      <color theme="0"/>
      <name val="Times New Roman"/>
      <family val="1"/>
    </font>
    <font>
      <b/>
      <sz val="12"/>
      <color theme="0"/>
      <name val="Times New Roman"/>
      <family val="1"/>
    </font>
    <font>
      <b/>
      <i/>
      <sz val="11"/>
      <color theme="1"/>
      <name val="Calibri"/>
      <family val="2"/>
      <scheme val="minor"/>
    </font>
    <font>
      <b/>
      <sz val="11"/>
      <color rgb="FF213454"/>
      <name val="Calibri"/>
      <family val="2"/>
      <scheme val="minor"/>
    </font>
    <font>
      <b/>
      <sz val="11"/>
      <color rgb="FF111D3F"/>
      <name val="Calibri"/>
      <family val="2"/>
      <scheme val="minor"/>
    </font>
    <font>
      <b/>
      <u/>
      <sz val="11"/>
      <name val="Calibri"/>
      <family val="2"/>
      <scheme val="minor"/>
    </font>
    <font>
      <b/>
      <sz val="11"/>
      <color theme="0"/>
      <name val="Calibri"/>
      <family val="2"/>
      <scheme val="minor"/>
    </font>
    <font>
      <sz val="11"/>
      <color rgb="FFFFFFFF"/>
      <name val="Calibri"/>
      <family val="2"/>
      <scheme val="minor"/>
    </font>
    <font>
      <b/>
      <sz val="11"/>
      <color rgb="FFFFFFFF"/>
      <name val="Calibri"/>
      <family val="2"/>
      <scheme val="minor"/>
    </font>
    <font>
      <sz val="11"/>
      <color theme="0"/>
      <name val="Calibri"/>
      <family val="2"/>
      <scheme val="minor"/>
    </font>
    <font>
      <sz val="11"/>
      <name val="Calibri"/>
      <family val="2"/>
      <scheme val="minor"/>
    </font>
    <font>
      <b/>
      <i/>
      <sz val="11"/>
      <color theme="0"/>
      <name val="Calibri"/>
      <family val="2"/>
      <scheme val="minor"/>
    </font>
    <font>
      <b/>
      <u/>
      <sz val="11"/>
      <color theme="1"/>
      <name val="Calibri"/>
      <family val="2"/>
      <scheme val="minor"/>
    </font>
    <font>
      <u/>
      <sz val="11"/>
      <color theme="1"/>
      <name val="Calibri"/>
      <family val="2"/>
      <scheme val="minor"/>
    </font>
    <font>
      <b/>
      <sz val="11"/>
      <color rgb="FFFF0000"/>
      <name val="Calibri"/>
      <family val="2"/>
      <scheme val="minor"/>
    </font>
    <font>
      <b/>
      <sz val="11"/>
      <color rgb="FF7030A0"/>
      <name val="Calibri"/>
      <family val="2"/>
      <scheme val="minor"/>
    </font>
    <font>
      <b/>
      <sz val="10"/>
      <color theme="1"/>
      <name val="Calibri"/>
      <family val="2"/>
      <scheme val="minor"/>
    </font>
  </fonts>
  <fills count="15">
    <fill>
      <patternFill patternType="none"/>
    </fill>
    <fill>
      <patternFill patternType="gray125"/>
    </fill>
    <fill>
      <patternFill patternType="solid">
        <fgColor theme="1"/>
        <bgColor indexed="64"/>
      </patternFill>
    </fill>
    <fill>
      <patternFill patternType="solid">
        <fgColor theme="2"/>
        <bgColor indexed="64"/>
      </patternFill>
    </fill>
    <fill>
      <patternFill patternType="solid">
        <fgColor rgb="FF0070C0"/>
        <bgColor indexed="64"/>
      </patternFill>
    </fill>
    <fill>
      <patternFill patternType="solid">
        <fgColor rgb="FF00B0F0"/>
        <bgColor indexed="64"/>
      </patternFill>
    </fill>
    <fill>
      <patternFill patternType="solid">
        <fgColor rgb="FF7030A0"/>
        <bgColor indexed="64"/>
      </patternFill>
    </fill>
    <fill>
      <patternFill patternType="solid">
        <fgColor theme="9" tint="0.79998168889431442"/>
        <bgColor indexed="64"/>
      </patternFill>
    </fill>
    <fill>
      <patternFill patternType="solid">
        <fgColor rgb="FF000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FFFF00"/>
        <bgColor indexed="64"/>
      </patternFill>
    </fill>
    <fill>
      <patternFill patternType="solid">
        <fgColor theme="8"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1" fillId="0" borderId="0" xfId="0" applyFont="1" applyProtection="1">
      <protection hidden="1"/>
    </xf>
    <xf numFmtId="0" fontId="2" fillId="0" borderId="0" xfId="0" applyFont="1" applyAlignment="1" applyProtection="1">
      <alignment horizontal="left"/>
      <protection hidden="1"/>
    </xf>
    <xf numFmtId="0" fontId="2" fillId="3" borderId="1" xfId="0" applyFont="1" applyFill="1" applyBorder="1" applyAlignment="1" applyProtection="1">
      <alignment horizontal="center" vertical="center"/>
      <protection hidden="1"/>
    </xf>
    <xf numFmtId="0" fontId="2" fillId="0" borderId="0" xfId="0" applyFont="1" applyProtection="1">
      <protection hidden="1"/>
    </xf>
    <xf numFmtId="0" fontId="1" fillId="0" borderId="0" xfId="0" applyFont="1" applyProtection="1">
      <protection locked="0"/>
    </xf>
    <xf numFmtId="0" fontId="2" fillId="3" borderId="1" xfId="0" applyFont="1" applyFill="1" applyBorder="1" applyAlignment="1" applyProtection="1">
      <alignment horizontal="center" vertical="center"/>
      <protection locked="0"/>
    </xf>
    <xf numFmtId="0" fontId="3" fillId="2" borderId="0" xfId="0" applyFont="1" applyFill="1" applyAlignment="1" applyProtection="1">
      <alignment vertical="center"/>
      <protection hidden="1"/>
    </xf>
    <xf numFmtId="0" fontId="1" fillId="0" borderId="0" xfId="0" applyFont="1" applyAlignment="1" applyProtection="1">
      <alignment horizontal="center" vertical="center"/>
      <protection locked="0"/>
    </xf>
    <xf numFmtId="0" fontId="1" fillId="0" borderId="0" xfId="0" applyFont="1" applyAlignment="1" applyProtection="1">
      <alignment horizontal="center" vertical="center"/>
      <protection hidden="1"/>
    </xf>
    <xf numFmtId="0" fontId="8" fillId="0" borderId="0" xfId="0" applyFont="1" applyAlignment="1" applyProtection="1">
      <alignment horizontal="left"/>
      <protection hidden="1"/>
    </xf>
    <xf numFmtId="0" fontId="8" fillId="0" borderId="0" xfId="0" quotePrefix="1" applyFont="1" applyAlignment="1" applyProtection="1">
      <alignment horizontal="left"/>
      <protection hidden="1"/>
    </xf>
    <xf numFmtId="0" fontId="9" fillId="2" borderId="0" xfId="0" quotePrefix="1" applyFont="1" applyFill="1" applyAlignment="1" applyProtection="1">
      <alignment horizontal="left" vertical="center"/>
      <protection hidden="1"/>
    </xf>
    <xf numFmtId="0" fontId="9" fillId="2" borderId="0" xfId="0" applyFont="1" applyFill="1" applyAlignment="1" applyProtection="1">
      <alignment horizontal="center"/>
      <protection hidden="1"/>
    </xf>
    <xf numFmtId="0" fontId="9" fillId="4" borderId="0" xfId="0" applyFont="1" applyFill="1" applyAlignment="1" applyProtection="1">
      <alignment horizontal="center" vertical="center"/>
      <protection hidden="1"/>
    </xf>
    <xf numFmtId="15" fontId="2" fillId="0" borderId="0" xfId="0" applyNumberFormat="1" applyFont="1" applyAlignment="1" applyProtection="1">
      <alignment horizontal="left" vertical="center"/>
      <protection locked="0"/>
    </xf>
    <xf numFmtId="0" fontId="2" fillId="0" borderId="0" xfId="0" applyFont="1" applyAlignment="1" applyProtection="1">
      <alignment horizontal="left" vertical="center"/>
      <protection locked="0"/>
    </xf>
    <xf numFmtId="0" fontId="2" fillId="3" borderId="2" xfId="0" applyFont="1" applyFill="1" applyBorder="1" applyAlignment="1" applyProtection="1">
      <alignment vertical="top"/>
      <protection hidden="1"/>
    </xf>
    <xf numFmtId="0" fontId="2" fillId="3" borderId="3" xfId="0" applyFont="1" applyFill="1" applyBorder="1" applyAlignment="1" applyProtection="1">
      <alignment vertical="top"/>
      <protection hidden="1"/>
    </xf>
    <xf numFmtId="0" fontId="2" fillId="3" borderId="4" xfId="0" applyFont="1" applyFill="1" applyBorder="1" applyAlignment="1" applyProtection="1">
      <alignment vertical="top"/>
      <protection hidden="1"/>
    </xf>
    <xf numFmtId="0" fontId="2" fillId="0" borderId="2" xfId="0" applyFont="1" applyBorder="1" applyAlignment="1" applyProtection="1">
      <alignment vertical="top"/>
      <protection hidden="1"/>
    </xf>
    <xf numFmtId="0" fontId="2" fillId="0" borderId="3" xfId="0" applyFont="1" applyBorder="1" applyAlignment="1" applyProtection="1">
      <alignment vertical="top"/>
      <protection hidden="1"/>
    </xf>
    <xf numFmtId="0" fontId="2" fillId="0" borderId="4" xfId="0" applyFont="1" applyBorder="1" applyAlignment="1" applyProtection="1">
      <alignment vertical="top"/>
      <protection hidden="1"/>
    </xf>
    <xf numFmtId="0" fontId="9" fillId="0" borderId="0" xfId="0" applyFont="1" applyFill="1" applyAlignment="1" applyProtection="1">
      <alignment horizontal="left"/>
      <protection hidden="1"/>
    </xf>
    <xf numFmtId="0" fontId="9" fillId="0" borderId="0" xfId="0" applyFont="1" applyFill="1" applyAlignment="1" applyProtection="1">
      <protection hidden="1"/>
    </xf>
    <xf numFmtId="0" fontId="2" fillId="0" borderId="6" xfId="0" applyFont="1" applyBorder="1" applyAlignment="1" applyProtection="1">
      <alignment vertical="top"/>
      <protection hidden="1"/>
    </xf>
    <xf numFmtId="0" fontId="2" fillId="0" borderId="7" xfId="0" applyFont="1" applyBorder="1" applyAlignment="1" applyProtection="1">
      <alignment vertical="top"/>
      <protection hidden="1"/>
    </xf>
    <xf numFmtId="0" fontId="2" fillId="0" borderId="8" xfId="0" applyFont="1" applyBorder="1" applyAlignment="1" applyProtection="1">
      <alignment vertical="top"/>
      <protection hidden="1"/>
    </xf>
    <xf numFmtId="0" fontId="2" fillId="0" borderId="0" xfId="0" quotePrefix="1" applyFont="1" applyAlignment="1" applyProtection="1">
      <alignment vertical="center"/>
      <protection hidden="1"/>
    </xf>
    <xf numFmtId="0" fontId="9" fillId="2" borderId="0" xfId="0" applyFont="1" applyFill="1" applyProtection="1">
      <protection hidden="1"/>
    </xf>
    <xf numFmtId="0" fontId="12" fillId="2" borderId="0" xfId="0" applyFont="1" applyFill="1" applyAlignment="1" applyProtection="1">
      <alignment horizontal="center" vertical="center"/>
      <protection hidden="1"/>
    </xf>
    <xf numFmtId="0" fontId="12" fillId="2" borderId="0" xfId="0" applyFont="1" applyFill="1" applyProtection="1">
      <protection hidden="1"/>
    </xf>
    <xf numFmtId="0" fontId="9" fillId="2" borderId="9" xfId="0" applyFont="1" applyFill="1" applyBorder="1" applyAlignment="1" applyProtection="1">
      <alignment horizontal="center" vertical="center"/>
      <protection hidden="1"/>
    </xf>
    <xf numFmtId="0" fontId="9" fillId="2" borderId="9" xfId="0" applyFont="1" applyFill="1" applyBorder="1" applyAlignment="1" applyProtection="1">
      <alignment horizontal="center"/>
      <protection hidden="1"/>
    </xf>
    <xf numFmtId="0" fontId="9" fillId="2" borderId="0" xfId="0" applyFont="1" applyFill="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3" fillId="5" borderId="1" xfId="0" applyFont="1" applyFill="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5" borderId="1" xfId="0" applyFont="1" applyFill="1" applyBorder="1" applyAlignment="1" applyProtection="1">
      <alignment horizontal="center" vertical="center"/>
      <protection hidden="1"/>
    </xf>
    <xf numFmtId="0" fontId="1" fillId="0" borderId="3" xfId="0" applyFont="1" applyBorder="1" applyProtection="1">
      <protection hidden="1"/>
    </xf>
    <xf numFmtId="0" fontId="1" fillId="0" borderId="5" xfId="0" applyFont="1" applyBorder="1" applyProtection="1">
      <protection hidden="1"/>
    </xf>
    <xf numFmtId="0" fontId="1" fillId="0" borderId="0" xfId="0" applyFont="1" applyBorder="1" applyAlignment="1" applyProtection="1">
      <alignment horizontal="center" vertical="center"/>
      <protection hidden="1"/>
    </xf>
    <xf numFmtId="0" fontId="2" fillId="9" borderId="1" xfId="0" applyFont="1" applyFill="1" applyBorder="1" applyAlignment="1" applyProtection="1">
      <alignment horizontal="center" vertical="center"/>
      <protection hidden="1"/>
    </xf>
    <xf numFmtId="0" fontId="2" fillId="10" borderId="1" xfId="0" applyFont="1" applyFill="1" applyBorder="1" applyAlignment="1" applyProtection="1">
      <alignment horizontal="center" vertical="center"/>
      <protection hidden="1"/>
    </xf>
    <xf numFmtId="0" fontId="1" fillId="0" borderId="0" xfId="0" applyFont="1" applyBorder="1" applyProtection="1">
      <protection hidden="1"/>
    </xf>
    <xf numFmtId="0" fontId="2" fillId="0" borderId="6" xfId="0" applyFont="1" applyFill="1" applyBorder="1" applyAlignment="1" applyProtection="1">
      <alignment horizontal="center" vertical="top"/>
      <protection hidden="1"/>
    </xf>
    <xf numFmtId="0" fontId="2" fillId="10" borderId="6" xfId="0" applyFont="1" applyFill="1" applyBorder="1" applyAlignment="1" applyProtection="1">
      <alignment horizontal="center" vertical="top"/>
      <protection hidden="1"/>
    </xf>
    <xf numFmtId="0" fontId="2" fillId="10" borderId="10" xfId="0" applyFont="1" applyFill="1" applyBorder="1" applyAlignment="1" applyProtection="1">
      <alignment horizontal="center" vertical="center"/>
      <protection hidden="1"/>
    </xf>
    <xf numFmtId="0" fontId="2" fillId="0" borderId="0" xfId="0" applyFont="1" applyFill="1" applyBorder="1" applyAlignment="1" applyProtection="1">
      <alignment horizontal="center" vertical="top"/>
      <protection hidden="1"/>
    </xf>
    <xf numFmtId="0" fontId="5" fillId="0" borderId="0" xfId="0" applyFont="1" applyFill="1" applyBorder="1" applyAlignment="1" applyProtection="1">
      <alignment vertical="center"/>
      <protection hidden="1"/>
    </xf>
    <xf numFmtId="0" fontId="2" fillId="0" borderId="0" xfId="0" applyFont="1" applyFill="1" applyBorder="1" applyAlignment="1" applyProtection="1">
      <alignment horizontal="center" vertical="center"/>
      <protection hidden="1"/>
    </xf>
    <xf numFmtId="0" fontId="2" fillId="0" borderId="0" xfId="0" applyFont="1" applyFill="1" applyBorder="1" applyAlignment="1" applyProtection="1">
      <alignment horizontal="left" vertical="center"/>
      <protection hidden="1"/>
    </xf>
    <xf numFmtId="0" fontId="9" fillId="2" borderId="0" xfId="0" applyFont="1" applyFill="1" applyBorder="1" applyAlignment="1" applyProtection="1">
      <alignment horizontal="left" vertical="center"/>
      <protection hidden="1"/>
    </xf>
    <xf numFmtId="0" fontId="9" fillId="2" borderId="0" xfId="0" applyFont="1" applyFill="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11" fillId="8" borderId="1" xfId="0" applyFont="1" applyFill="1" applyBorder="1" applyAlignment="1" applyProtection="1">
      <alignment horizontal="center"/>
      <protection hidden="1"/>
    </xf>
    <xf numFmtId="0" fontId="2" fillId="0" borderId="0" xfId="0" applyFont="1" applyFill="1" applyBorder="1" applyAlignment="1" applyProtection="1">
      <alignment vertical="center"/>
      <protection hidden="1"/>
    </xf>
    <xf numFmtId="0" fontId="11" fillId="0" borderId="0" xfId="0" applyFont="1" applyFill="1" applyBorder="1" applyAlignment="1" applyProtection="1">
      <alignment horizontal="center" vertical="center"/>
      <protection hidden="1"/>
    </xf>
    <xf numFmtId="0" fontId="14" fillId="2" borderId="0" xfId="0" applyFont="1" applyFill="1" applyAlignment="1" applyProtection="1">
      <alignment vertical="center"/>
      <protection hidden="1"/>
    </xf>
    <xf numFmtId="0" fontId="1" fillId="0" borderId="0" xfId="0" applyFont="1" applyAlignment="1" applyProtection="1">
      <alignment horizontal="center"/>
      <protection hidden="1"/>
    </xf>
    <xf numFmtId="0" fontId="1" fillId="2" borderId="0" xfId="0" applyFont="1" applyFill="1" applyProtection="1">
      <protection hidden="1"/>
    </xf>
    <xf numFmtId="15" fontId="2" fillId="0" borderId="0" xfId="0" applyNumberFormat="1" applyFont="1" applyAlignment="1" applyProtection="1">
      <alignment horizontal="left" vertical="center"/>
      <protection hidden="1"/>
    </xf>
    <xf numFmtId="15" fontId="15" fillId="0" borderId="7" xfId="0" applyNumberFormat="1" applyFont="1" applyBorder="1" applyAlignment="1" applyProtection="1">
      <alignment horizontal="left" vertical="center"/>
      <protection hidden="1"/>
    </xf>
    <xf numFmtId="0" fontId="16" fillId="0" borderId="7" xfId="0" applyFont="1" applyBorder="1" applyProtection="1">
      <protection hidden="1"/>
    </xf>
    <xf numFmtId="0" fontId="16" fillId="0" borderId="0" xfId="0" applyFont="1" applyProtection="1">
      <protection hidden="1"/>
    </xf>
    <xf numFmtId="0" fontId="2" fillId="0" borderId="0" xfId="0" applyFont="1" applyAlignment="1" applyProtection="1">
      <alignment horizontal="left" vertical="center"/>
      <protection hidden="1"/>
    </xf>
    <xf numFmtId="0" fontId="2" fillId="0" borderId="7" xfId="0" applyFont="1" applyBorder="1" applyAlignment="1" applyProtection="1">
      <alignment horizontal="left" vertical="center"/>
      <protection hidden="1"/>
    </xf>
    <xf numFmtId="0" fontId="1" fillId="0" borderId="7" xfId="0" applyFont="1" applyBorder="1" applyProtection="1">
      <protection hidden="1"/>
    </xf>
    <xf numFmtId="0" fontId="2" fillId="0" borderId="5" xfId="0" applyFont="1" applyBorder="1" applyAlignment="1" applyProtection="1">
      <alignment horizontal="left" vertical="center"/>
      <protection hidden="1"/>
    </xf>
    <xf numFmtId="15" fontId="2" fillId="0" borderId="7" xfId="0" applyNumberFormat="1" applyFont="1" applyBorder="1" applyAlignment="1" applyProtection="1">
      <alignment horizontal="left" vertical="center"/>
      <protection hidden="1"/>
    </xf>
    <xf numFmtId="0" fontId="2" fillId="0" borderId="1" xfId="0" applyFont="1" applyBorder="1" applyAlignment="1" applyProtection="1">
      <alignment horizontal="center" vertical="center"/>
      <protection hidden="1"/>
    </xf>
    <xf numFmtId="0" fontId="1" fillId="10" borderId="1" xfId="0" applyFont="1" applyFill="1" applyBorder="1" applyAlignment="1" applyProtection="1">
      <alignment horizontal="center" vertical="center"/>
      <protection hidden="1"/>
    </xf>
    <xf numFmtId="0" fontId="1" fillId="0" borderId="1" xfId="0" applyFont="1" applyBorder="1" applyProtection="1">
      <protection hidden="1"/>
    </xf>
    <xf numFmtId="0" fontId="9" fillId="4" borderId="1" xfId="0" applyFont="1" applyFill="1" applyBorder="1" applyAlignment="1" applyProtection="1">
      <alignment horizontal="center" vertical="center"/>
      <protection hidden="1"/>
    </xf>
    <xf numFmtId="0" fontId="1" fillId="0" borderId="6" xfId="0" applyFont="1" applyBorder="1" applyAlignment="1" applyProtection="1">
      <alignment horizontal="center" vertical="center"/>
      <protection hidden="1"/>
    </xf>
    <xf numFmtId="0" fontId="13" fillId="0" borderId="1" xfId="0" applyFont="1" applyFill="1" applyBorder="1" applyAlignment="1" applyProtection="1">
      <alignment horizontal="center" vertical="center"/>
      <protection hidden="1"/>
    </xf>
    <xf numFmtId="0" fontId="1" fillId="0" borderId="1" xfId="0" applyFont="1" applyFill="1" applyBorder="1" applyAlignment="1" applyProtection="1">
      <alignment horizontal="center" vertical="center"/>
      <protection hidden="1"/>
    </xf>
    <xf numFmtId="0" fontId="17" fillId="13" borderId="0" xfId="0" applyFont="1" applyFill="1" applyProtection="1">
      <protection hidden="1"/>
    </xf>
    <xf numFmtId="0" fontId="1" fillId="0" borderId="0" xfId="0" applyFont="1" applyFill="1" applyBorder="1" applyAlignment="1" applyProtection="1">
      <alignment horizontal="center" vertical="center"/>
      <protection hidden="1"/>
    </xf>
    <xf numFmtId="0" fontId="1" fillId="0" borderId="0" xfId="0" applyFont="1" applyFill="1" applyBorder="1" applyProtection="1">
      <protection hidden="1"/>
    </xf>
    <xf numFmtId="0" fontId="9" fillId="0" borderId="0" xfId="0" applyFont="1" applyFill="1" applyBorder="1" applyAlignment="1" applyProtection="1">
      <alignment horizontal="center" vertical="center"/>
      <protection hidden="1"/>
    </xf>
    <xf numFmtId="0" fontId="9" fillId="0" borderId="0" xfId="0" applyFont="1" applyFill="1" applyBorder="1" applyAlignment="1" applyProtection="1">
      <alignment horizontal="center"/>
      <protection hidden="1"/>
    </xf>
    <xf numFmtId="0" fontId="9" fillId="11" borderId="0" xfId="0" applyFont="1" applyFill="1" applyAlignment="1" applyProtection="1">
      <alignment horizontal="center" vertical="center"/>
      <protection hidden="1"/>
    </xf>
    <xf numFmtId="0" fontId="9" fillId="6" borderId="0" xfId="0" applyFont="1" applyFill="1" applyAlignment="1" applyProtection="1">
      <alignment horizontal="right" wrapText="1"/>
      <protection hidden="1"/>
    </xf>
    <xf numFmtId="0" fontId="3" fillId="0" borderId="0" xfId="0" applyFont="1" applyFill="1" applyAlignment="1" applyProtection="1">
      <alignment vertical="center"/>
      <protection hidden="1"/>
    </xf>
    <xf numFmtId="0" fontId="1" fillId="0" borderId="1" xfId="0" applyFont="1" applyBorder="1" applyAlignment="1" applyProtection="1">
      <alignment horizontal="center"/>
      <protection hidden="1"/>
    </xf>
    <xf numFmtId="0" fontId="2" fillId="0" borderId="1" xfId="0" applyFont="1" applyFill="1" applyBorder="1" applyAlignment="1" applyProtection="1">
      <alignment horizontal="center" vertical="center"/>
      <protection hidden="1"/>
    </xf>
    <xf numFmtId="0" fontId="10" fillId="8" borderId="1" xfId="0" applyFont="1" applyFill="1" applyBorder="1" applyAlignment="1" applyProtection="1">
      <alignment horizontal="center" vertical="center" wrapText="1"/>
      <protection hidden="1"/>
    </xf>
    <xf numFmtId="0" fontId="2" fillId="0" borderId="6" xfId="0" applyFont="1" applyFill="1" applyBorder="1" applyAlignment="1" applyProtection="1">
      <alignment horizontal="center" vertical="center"/>
      <protection hidden="1"/>
    </xf>
    <xf numFmtId="0" fontId="2" fillId="0" borderId="1" xfId="0" applyFont="1" applyFill="1" applyBorder="1" applyAlignment="1" applyProtection="1">
      <alignment horizontal="center" vertical="center"/>
      <protection hidden="1"/>
    </xf>
    <xf numFmtId="0" fontId="2" fillId="10" borderId="6" xfId="0" applyFont="1" applyFill="1" applyBorder="1" applyAlignment="1" applyProtection="1">
      <alignment horizontal="center" vertical="center"/>
      <protection hidden="1"/>
    </xf>
    <xf numFmtId="0" fontId="10" fillId="8" borderId="1" xfId="0" applyFont="1" applyFill="1" applyBorder="1" applyAlignment="1" applyProtection="1">
      <alignment horizontal="center" vertical="center" wrapText="1"/>
      <protection hidden="1"/>
    </xf>
    <xf numFmtId="0" fontId="0" fillId="0" borderId="1" xfId="0" applyBorder="1" applyAlignment="1" applyProtection="1">
      <alignment horizontal="center" vertical="center" wrapText="1"/>
      <protection hidden="1"/>
    </xf>
    <xf numFmtId="0" fontId="2" fillId="0" borderId="1" xfId="0" applyFont="1" applyFill="1" applyBorder="1" applyAlignment="1" applyProtection="1">
      <alignment horizontal="center" vertical="center" wrapText="1"/>
      <protection hidden="1"/>
    </xf>
    <xf numFmtId="0" fontId="2" fillId="12" borderId="1" xfId="0" applyFont="1" applyFill="1" applyBorder="1" applyAlignment="1" applyProtection="1">
      <alignment horizontal="center" vertical="center" wrapText="1"/>
      <protection hidden="1"/>
    </xf>
    <xf numFmtId="0" fontId="2" fillId="11" borderId="1" xfId="0" applyFont="1" applyFill="1" applyBorder="1" applyAlignment="1" applyProtection="1">
      <alignment horizontal="center" vertical="center" wrapText="1"/>
      <protection hidden="1"/>
    </xf>
    <xf numFmtId="0" fontId="2" fillId="0" borderId="1" xfId="0" applyFont="1" applyBorder="1" applyAlignment="1" applyProtection="1">
      <alignment horizontal="center" vertical="center" wrapText="1"/>
      <protection hidden="1"/>
    </xf>
    <xf numFmtId="0" fontId="2" fillId="0" borderId="6" xfId="0" applyFont="1" applyFill="1" applyBorder="1" applyAlignment="1" applyProtection="1">
      <alignment horizontal="center" vertical="center"/>
      <protection hidden="1"/>
    </xf>
    <xf numFmtId="0" fontId="2" fillId="0" borderId="7" xfId="0" applyFont="1" applyFill="1" applyBorder="1" applyAlignment="1" applyProtection="1">
      <alignment horizontal="center" vertical="center"/>
      <protection hidden="1"/>
    </xf>
    <xf numFmtId="0" fontId="2" fillId="0" borderId="8" xfId="0" applyFont="1" applyFill="1" applyBorder="1" applyAlignment="1" applyProtection="1">
      <alignment horizontal="center" vertical="center"/>
      <protection hidden="1"/>
    </xf>
    <xf numFmtId="0" fontId="2" fillId="0" borderId="1" xfId="0" applyFont="1" applyFill="1" applyBorder="1" applyAlignment="1" applyProtection="1">
      <alignment horizontal="center" vertical="center"/>
      <protection hidden="1"/>
    </xf>
    <xf numFmtId="0" fontId="2" fillId="12" borderId="6" xfId="0" applyFont="1" applyFill="1" applyBorder="1" applyAlignment="1" applyProtection="1">
      <alignment horizontal="center" vertical="center"/>
      <protection hidden="1"/>
    </xf>
    <xf numFmtId="0" fontId="2" fillId="12" borderId="7" xfId="0" applyFont="1" applyFill="1" applyBorder="1" applyAlignment="1" applyProtection="1">
      <alignment horizontal="center" vertical="center"/>
      <protection hidden="1"/>
    </xf>
    <xf numFmtId="0" fontId="2" fillId="12" borderId="8" xfId="0" applyFont="1" applyFill="1" applyBorder="1" applyAlignment="1" applyProtection="1">
      <alignment horizontal="center" vertical="center"/>
      <protection hidden="1"/>
    </xf>
    <xf numFmtId="0" fontId="2" fillId="12" borderId="1" xfId="0" applyFont="1" applyFill="1" applyBorder="1" applyAlignment="1" applyProtection="1">
      <alignment horizontal="center" vertical="center"/>
      <protection hidden="1"/>
    </xf>
    <xf numFmtId="0" fontId="2" fillId="11" borderId="6" xfId="0" applyFont="1" applyFill="1" applyBorder="1" applyAlignment="1" applyProtection="1">
      <alignment horizontal="center" vertical="center"/>
      <protection hidden="1"/>
    </xf>
    <xf numFmtId="0" fontId="2" fillId="11" borderId="7" xfId="0" applyFont="1" applyFill="1" applyBorder="1" applyAlignment="1" applyProtection="1">
      <alignment horizontal="center" vertical="center"/>
      <protection hidden="1"/>
    </xf>
    <xf numFmtId="0" fontId="2" fillId="11" borderId="8" xfId="0" applyFont="1" applyFill="1" applyBorder="1" applyAlignment="1" applyProtection="1">
      <alignment horizontal="center" vertical="center"/>
      <protection hidden="1"/>
    </xf>
    <xf numFmtId="0" fontId="2" fillId="11" borderId="1" xfId="0" applyFont="1" applyFill="1" applyBorder="1" applyAlignment="1" applyProtection="1">
      <alignment horizontal="center" vertical="center"/>
      <protection hidden="1"/>
    </xf>
    <xf numFmtId="0" fontId="2" fillId="11" borderId="6" xfId="0" applyFont="1" applyFill="1" applyBorder="1" applyAlignment="1" applyProtection="1">
      <alignment horizontal="center" vertical="center" wrapText="1"/>
      <protection hidden="1"/>
    </xf>
    <xf numFmtId="0" fontId="2" fillId="11" borderId="8" xfId="0" applyFont="1" applyFill="1" applyBorder="1" applyAlignment="1" applyProtection="1">
      <alignment horizontal="center" vertical="center" wrapText="1"/>
      <protection hidden="1"/>
    </xf>
    <xf numFmtId="0" fontId="2" fillId="0" borderId="6" xfId="0" applyFont="1" applyBorder="1" applyAlignment="1" applyProtection="1">
      <alignment horizontal="center" vertical="center" wrapText="1"/>
      <protection hidden="1"/>
    </xf>
    <xf numFmtId="0" fontId="2" fillId="0" borderId="8" xfId="0" applyFont="1" applyBorder="1" applyAlignment="1" applyProtection="1">
      <alignment horizontal="center" vertical="center" wrapText="1"/>
      <protection hidden="1"/>
    </xf>
    <xf numFmtId="0" fontId="2" fillId="12" borderId="6" xfId="0" applyFont="1" applyFill="1" applyBorder="1" applyAlignment="1" applyProtection="1">
      <alignment horizontal="center" vertical="center" wrapText="1"/>
      <protection hidden="1"/>
    </xf>
    <xf numFmtId="0" fontId="2" fillId="12" borderId="8" xfId="0" applyFont="1" applyFill="1" applyBorder="1" applyAlignment="1" applyProtection="1">
      <alignment horizontal="center" vertical="center" wrapText="1"/>
      <protection hidden="1"/>
    </xf>
    <xf numFmtId="164" fontId="2" fillId="0" borderId="0" xfId="0" applyNumberFormat="1" applyFont="1" applyAlignment="1" applyProtection="1">
      <alignment horizontal="left" vertical="center" wrapText="1"/>
      <protection hidden="1"/>
    </xf>
    <xf numFmtId="0" fontId="0" fillId="0" borderId="0" xfId="0" applyAlignment="1" applyProtection="1">
      <alignment horizontal="left" vertical="center" wrapText="1"/>
      <protection hidden="1"/>
    </xf>
    <xf numFmtId="0" fontId="12" fillId="2" borderId="0" xfId="0" applyFont="1" applyFill="1" applyAlignment="1" applyProtection="1">
      <alignment horizontal="center" vertical="center" wrapText="1"/>
      <protection hidden="1"/>
    </xf>
    <xf numFmtId="0" fontId="2" fillId="0" borderId="1" xfId="0" applyFont="1" applyBorder="1" applyAlignment="1" applyProtection="1">
      <alignment horizontal="left" vertical="top" wrapText="1"/>
      <protection hidden="1"/>
    </xf>
    <xf numFmtId="49" fontId="2" fillId="0" borderId="0" xfId="0" applyNumberFormat="1" applyFont="1" applyAlignment="1" applyProtection="1">
      <alignment horizontal="left" vertical="center" wrapText="1"/>
      <protection hidden="1"/>
    </xf>
    <xf numFmtId="0" fontId="2" fillId="9" borderId="6" xfId="0" applyFont="1" applyFill="1" applyBorder="1" applyAlignment="1" applyProtection="1">
      <alignment horizontal="center" wrapText="1"/>
      <protection hidden="1"/>
    </xf>
    <xf numFmtId="0" fontId="2" fillId="9" borderId="7" xfId="0" applyFont="1" applyFill="1" applyBorder="1" applyAlignment="1" applyProtection="1">
      <alignment horizontal="center" wrapText="1"/>
      <protection hidden="1"/>
    </xf>
    <xf numFmtId="0" fontId="2" fillId="9" borderId="8" xfId="0" applyFont="1" applyFill="1" applyBorder="1" applyAlignment="1" applyProtection="1">
      <alignment horizontal="center" wrapText="1"/>
      <protection hidden="1"/>
    </xf>
    <xf numFmtId="0" fontId="5" fillId="10" borderId="6" xfId="0" applyFont="1" applyFill="1" applyBorder="1" applyAlignment="1" applyProtection="1">
      <alignment horizontal="left" vertical="center" wrapText="1"/>
      <protection hidden="1"/>
    </xf>
    <xf numFmtId="0" fontId="0" fillId="0" borderId="7" xfId="0" applyBorder="1" applyAlignment="1" applyProtection="1">
      <alignment horizontal="left" vertical="center" wrapText="1"/>
      <protection hidden="1"/>
    </xf>
    <xf numFmtId="0" fontId="0" fillId="0" borderId="8" xfId="0" applyBorder="1" applyAlignment="1" applyProtection="1">
      <alignment horizontal="left" vertical="center" wrapText="1"/>
      <protection hidden="1"/>
    </xf>
    <xf numFmtId="0" fontId="5" fillId="0" borderId="6" xfId="0" applyFont="1" applyFill="1" applyBorder="1" applyAlignment="1" applyProtection="1">
      <alignment horizontal="left" vertical="center" wrapText="1"/>
      <protection hidden="1"/>
    </xf>
    <xf numFmtId="0" fontId="2" fillId="9" borderId="6" xfId="0" applyFont="1" applyFill="1" applyBorder="1" applyAlignment="1" applyProtection="1">
      <alignment horizontal="center"/>
      <protection hidden="1"/>
    </xf>
    <xf numFmtId="0" fontId="2" fillId="9" borderId="7" xfId="0" applyFont="1" applyFill="1" applyBorder="1" applyAlignment="1" applyProtection="1">
      <alignment horizontal="center"/>
      <protection hidden="1"/>
    </xf>
    <xf numFmtId="0" fontId="2" fillId="9" borderId="8" xfId="0" applyFont="1" applyFill="1" applyBorder="1" applyAlignment="1" applyProtection="1">
      <alignment horizontal="center"/>
      <protection hidden="1"/>
    </xf>
    <xf numFmtId="0" fontId="18" fillId="14" borderId="6" xfId="0" applyFont="1" applyFill="1" applyBorder="1" applyAlignment="1" applyProtection="1">
      <alignment horizontal="center" vertical="center"/>
      <protection hidden="1"/>
    </xf>
    <xf numFmtId="0" fontId="18" fillId="14" borderId="7" xfId="0" applyFont="1" applyFill="1" applyBorder="1" applyAlignment="1" applyProtection="1">
      <alignment horizontal="center" vertical="center"/>
      <protection hidden="1"/>
    </xf>
    <xf numFmtId="0" fontId="18" fillId="14" borderId="8" xfId="0" applyFont="1" applyFill="1" applyBorder="1" applyAlignment="1" applyProtection="1">
      <alignment horizontal="center" vertical="center"/>
      <protection hidden="1"/>
    </xf>
    <xf numFmtId="0" fontId="18" fillId="0" borderId="6" xfId="0" applyFont="1" applyFill="1" applyBorder="1" applyAlignment="1" applyProtection="1">
      <alignment horizontal="center" vertical="center"/>
      <protection hidden="1"/>
    </xf>
    <xf numFmtId="0" fontId="18" fillId="0" borderId="7" xfId="0" applyFont="1" applyFill="1" applyBorder="1" applyAlignment="1" applyProtection="1">
      <alignment horizontal="center" vertical="center"/>
      <protection hidden="1"/>
    </xf>
    <xf numFmtId="0" fontId="18" fillId="0" borderId="8" xfId="0" applyFont="1" applyFill="1" applyBorder="1" applyAlignment="1" applyProtection="1">
      <alignment horizontal="center" vertical="center"/>
      <protection hidden="1"/>
    </xf>
    <xf numFmtId="0" fontId="2" fillId="7" borderId="1" xfId="0" applyFont="1" applyFill="1" applyBorder="1" applyAlignment="1" applyProtection="1">
      <alignment horizontal="center" vertical="center" wrapText="1"/>
      <protection hidden="1"/>
    </xf>
    <xf numFmtId="0" fontId="2" fillId="10" borderId="6" xfId="0" applyFont="1" applyFill="1" applyBorder="1" applyAlignment="1" applyProtection="1">
      <alignment horizontal="center" vertical="center"/>
      <protection hidden="1"/>
    </xf>
    <xf numFmtId="0" fontId="2" fillId="10" borderId="7" xfId="0" applyFont="1" applyFill="1" applyBorder="1" applyAlignment="1" applyProtection="1">
      <alignment horizontal="center" vertical="center"/>
      <protection hidden="1"/>
    </xf>
    <xf numFmtId="0" fontId="2" fillId="10" borderId="8" xfId="0" applyFont="1" applyFill="1" applyBorder="1" applyAlignment="1" applyProtection="1">
      <alignment horizontal="center" vertical="center"/>
      <protection hidden="1"/>
    </xf>
    <xf numFmtId="0" fontId="18" fillId="9" borderId="6" xfId="0" applyFont="1" applyFill="1" applyBorder="1" applyAlignment="1" applyProtection="1">
      <alignment horizontal="center"/>
      <protection hidden="1"/>
    </xf>
    <xf numFmtId="0" fontId="18" fillId="9" borderId="7" xfId="0" applyFont="1" applyFill="1" applyBorder="1" applyAlignment="1" applyProtection="1">
      <alignment horizontal="center"/>
      <protection hidden="1"/>
    </xf>
    <xf numFmtId="0" fontId="18" fillId="9" borderId="8" xfId="0" applyFont="1" applyFill="1" applyBorder="1" applyAlignment="1" applyProtection="1">
      <alignment horizontal="center"/>
      <protection hidden="1"/>
    </xf>
    <xf numFmtId="0" fontId="2" fillId="7" borderId="1" xfId="0" applyFont="1" applyFill="1" applyBorder="1" applyAlignment="1" applyProtection="1">
      <alignment horizontal="left" vertical="center" wrapText="1"/>
      <protection hidden="1"/>
    </xf>
    <xf numFmtId="0" fontId="1" fillId="0" borderId="1" xfId="0" applyFont="1" applyBorder="1" applyAlignment="1" applyProtection="1">
      <alignment horizontal="left" vertical="center" wrapText="1"/>
      <protection hidden="1"/>
    </xf>
    <xf numFmtId="0" fontId="2" fillId="0" borderId="0" xfId="0" applyFont="1" applyFill="1" applyBorder="1" applyAlignment="1" applyProtection="1">
      <alignment horizontal="center" vertical="center" wrapText="1"/>
      <protection hidden="1"/>
    </xf>
    <xf numFmtId="0" fontId="19" fillId="9" borderId="1" xfId="0" applyFont="1" applyFill="1" applyBorder="1" applyAlignment="1" applyProtection="1">
      <alignment horizontal="center"/>
      <protection hidden="1"/>
    </xf>
    <xf numFmtId="0" fontId="19" fillId="10" borderId="1" xfId="0" applyFont="1" applyFill="1" applyBorder="1" applyAlignment="1" applyProtection="1">
      <alignment horizontal="center" vertical="center"/>
      <protection hidden="1"/>
    </xf>
    <xf numFmtId="0" fontId="19" fillId="0" borderId="1" xfId="0" applyFont="1" applyFill="1" applyBorder="1" applyAlignment="1" applyProtection="1">
      <alignment horizontal="center" vertical="center"/>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6349</xdr:colOff>
      <xdr:row>43</xdr:row>
      <xdr:rowOff>2450</xdr:rowOff>
    </xdr:from>
    <xdr:to>
      <xdr:col>44</xdr:col>
      <xdr:colOff>1587730</xdr:colOff>
      <xdr:row>44</xdr:row>
      <xdr:rowOff>135257</xdr:rowOff>
    </xdr:to>
    <xdr:sp macro="" textlink="">
      <xdr:nvSpPr>
        <xdr:cNvPr id="4" name="Rectangle 3"/>
        <xdr:cNvSpPr>
          <a:spLocks/>
        </xdr:cNvSpPr>
      </xdr:nvSpPr>
      <xdr:spPr bwMode="auto">
        <a:xfrm>
          <a:off x="2117782" y="8232050"/>
          <a:ext cx="14590799" cy="324000"/>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ctr" anchorCtr="0" upright="1">
          <a:noAutofit/>
        </a:bodyPr>
        <a:lstStyle/>
        <a:p>
          <a:pPr algn="ctr"/>
          <a:r>
            <a:rPr lang="id-ID" sz="1600" b="1">
              <a:solidFill>
                <a:schemeClr val="bg1"/>
              </a:solidFill>
            </a:rPr>
            <a:t>COLOR KEY</a:t>
          </a:r>
          <a:endParaRPr lang="en-US" sz="1600" b="1">
            <a:solidFill>
              <a:schemeClr val="bg1"/>
            </a:solidFill>
          </a:endParaRPr>
        </a:p>
      </xdr:txBody>
    </xdr:sp>
    <xdr:clientData/>
  </xdr:twoCellAnchor>
  <xdr:twoCellAnchor>
    <xdr:from>
      <xdr:col>1</xdr:col>
      <xdr:colOff>6350</xdr:colOff>
      <xdr:row>46</xdr:row>
      <xdr:rowOff>6350</xdr:rowOff>
    </xdr:from>
    <xdr:to>
      <xdr:col>16</xdr:col>
      <xdr:colOff>269413</xdr:colOff>
      <xdr:row>50</xdr:row>
      <xdr:rowOff>105179</xdr:rowOff>
    </xdr:to>
    <xdr:grpSp>
      <xdr:nvGrpSpPr>
        <xdr:cNvPr id="6" name="Group 5"/>
        <xdr:cNvGrpSpPr>
          <a:grpSpLocks/>
        </xdr:cNvGrpSpPr>
      </xdr:nvGrpSpPr>
      <xdr:grpSpPr bwMode="auto">
        <a:xfrm>
          <a:off x="286905" y="8620414"/>
          <a:ext cx="5770244" cy="846974"/>
          <a:chOff x="10" y="10"/>
          <a:chExt cx="9159" cy="1360"/>
        </a:xfrm>
      </xdr:grpSpPr>
      <xdr:sp macro="" textlink="">
        <xdr:nvSpPr>
          <xdr:cNvPr id="7" name="Rectangle 6"/>
          <xdr:cNvSpPr>
            <a:spLocks/>
          </xdr:cNvSpPr>
        </xdr:nvSpPr>
        <xdr:spPr bwMode="auto">
          <a:xfrm>
            <a:off x="10" y="10"/>
            <a:ext cx="3026" cy="1360"/>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rot="0" vert="horz" wrap="square" lIns="91440" tIns="45720" rIns="91440" bIns="45720" anchor="t" anchorCtr="0" upright="1">
            <a:noAutofit/>
          </a:bodyPr>
          <a:lstStyle/>
          <a:p>
            <a:endParaRPr lang="en-US"/>
          </a:p>
        </xdr:txBody>
      </xdr:sp>
      <xdr:sp macro="" textlink="">
        <xdr:nvSpPr>
          <xdr:cNvPr id="8" name="Rectangle 7"/>
          <xdr:cNvSpPr>
            <a:spLocks/>
          </xdr:cNvSpPr>
        </xdr:nvSpPr>
        <xdr:spPr bwMode="auto">
          <a:xfrm>
            <a:off x="3076" y="10"/>
            <a:ext cx="3026" cy="1360"/>
          </a:xfrm>
          <a:prstGeom prst="rect">
            <a:avLst/>
          </a:prstGeom>
          <a:solidFill>
            <a:schemeClr val="tx2">
              <a:lumMod val="40000"/>
              <a:lumOff val="60000"/>
            </a:schemeClr>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9" name="Rectangle 8"/>
          <xdr:cNvSpPr>
            <a:spLocks/>
          </xdr:cNvSpPr>
        </xdr:nvSpPr>
        <xdr:spPr bwMode="auto">
          <a:xfrm>
            <a:off x="3076" y="10"/>
            <a:ext cx="3026" cy="1360"/>
          </a:xfrm>
          <a:prstGeom prst="rect">
            <a:avLst/>
          </a:prstGeom>
          <a:solidFill>
            <a:srgbClr val="FFFFFF"/>
          </a:solidFill>
          <a:ln w="12700">
            <a:solidFill>
              <a:schemeClr val="tx2">
                <a:lumMod val="20000"/>
                <a:lumOff val="80000"/>
              </a:schemeClr>
            </a:solidFill>
            <a:miter lim="800000"/>
            <a:headEnd/>
            <a:tailEnd/>
          </a:ln>
          <a:extLst/>
        </xdr:spPr>
        <xdr:txBody>
          <a:bodyPr rot="0" vert="horz" wrap="square" lIns="91440" tIns="45720" rIns="91440" bIns="45720" anchor="t" anchorCtr="0" upright="1">
            <a:noAutofit/>
          </a:bodyPr>
          <a:lstStyle/>
          <a:p>
            <a:endParaRPr lang="en-US"/>
          </a:p>
        </xdr:txBody>
      </xdr:sp>
      <xdr:sp macro="" textlink="">
        <xdr:nvSpPr>
          <xdr:cNvPr id="10" name="Rectangle 9"/>
          <xdr:cNvSpPr>
            <a:spLocks/>
          </xdr:cNvSpPr>
        </xdr:nvSpPr>
        <xdr:spPr bwMode="auto">
          <a:xfrm>
            <a:off x="6143" y="10"/>
            <a:ext cx="3026" cy="1360"/>
          </a:xfrm>
          <a:prstGeom prst="rect">
            <a:avLst/>
          </a:prstGeom>
          <a:solidFill>
            <a:srgbClr val="6FAED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11" name="Rectangle 10"/>
          <xdr:cNvSpPr>
            <a:spLocks/>
          </xdr:cNvSpPr>
        </xdr:nvSpPr>
        <xdr:spPr bwMode="auto">
          <a:xfrm>
            <a:off x="6143" y="10"/>
            <a:ext cx="3026" cy="1360"/>
          </a:xfrm>
          <a:prstGeom prst="rect">
            <a:avLst/>
          </a:prstGeom>
          <a:solidFill>
            <a:srgbClr val="FFFFFF"/>
          </a:solidFill>
          <a:ln w="12700">
            <a:solidFill>
              <a:srgbClr val="000000"/>
            </a:solidFill>
            <a:miter lim="800000"/>
            <a:headEnd/>
            <a:tailEnd/>
          </a:ln>
          <a:extLst/>
        </xdr:spPr>
        <xdr:txBody>
          <a:bodyPr rot="0" vert="horz" wrap="square" lIns="91440" tIns="45720" rIns="91440" bIns="45720" anchor="t" anchorCtr="0" upright="1">
            <a:noAutofit/>
          </a:bodyPr>
          <a:lstStyle/>
          <a:p>
            <a:endParaRPr lang="en-US"/>
          </a:p>
        </xdr:txBody>
      </xdr:sp>
    </xdr:grpSp>
    <xdr:clientData/>
  </xdr:twoCellAnchor>
  <xdr:twoCellAnchor>
    <xdr:from>
      <xdr:col>1</xdr:col>
      <xdr:colOff>41565</xdr:colOff>
      <xdr:row>46</xdr:row>
      <xdr:rowOff>41559</xdr:rowOff>
    </xdr:from>
    <xdr:to>
      <xdr:col>3</xdr:col>
      <xdr:colOff>31694</xdr:colOff>
      <xdr:row>50</xdr:row>
      <xdr:rowOff>69268</xdr:rowOff>
    </xdr:to>
    <xdr:sp macro="" textlink="">
      <xdr:nvSpPr>
        <xdr:cNvPr id="12" name="Text Box 66"/>
        <xdr:cNvSpPr txBox="1"/>
      </xdr:nvSpPr>
      <xdr:spPr>
        <a:xfrm>
          <a:off x="2152998" y="8844737"/>
          <a:ext cx="1868805" cy="792480"/>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Bef>
              <a:spcPts val="185"/>
            </a:spcBef>
            <a:spcAft>
              <a:spcPts val="800"/>
            </a:spcAft>
          </a:pPr>
          <a:r>
            <a:rPr lang="en-US" sz="800" b="1">
              <a:solidFill>
                <a:srgbClr val="000000"/>
              </a:solidFill>
              <a:effectLst/>
              <a:latin typeface="Arial"/>
              <a:ea typeface="Calibri"/>
              <a:cs typeface="Times New Roman"/>
            </a:rPr>
            <a:t>Little</a:t>
          </a:r>
          <a:r>
            <a:rPr lang="id-ID" sz="800" b="1">
              <a:solidFill>
                <a:srgbClr val="000000"/>
              </a:solidFill>
              <a:effectLst/>
              <a:latin typeface="Arial"/>
              <a:ea typeface="Calibri"/>
              <a:cs typeface="Times New Roman"/>
            </a:rPr>
            <a:t> </a:t>
          </a:r>
          <a:r>
            <a:rPr lang="en-US" sz="800" b="1">
              <a:solidFill>
                <a:srgbClr val="000000"/>
              </a:solidFill>
              <a:effectLst/>
              <a:latin typeface="Arial"/>
              <a:ea typeface="Calibri"/>
              <a:cs typeface="Times New Roman"/>
            </a:rPr>
            <a:t>/</a:t>
          </a:r>
          <a:r>
            <a:rPr lang="id-ID" sz="800" b="1">
              <a:solidFill>
                <a:srgbClr val="000000"/>
              </a:solidFill>
              <a:effectLst/>
              <a:latin typeface="Arial"/>
              <a:ea typeface="Calibri"/>
              <a:cs typeface="Times New Roman"/>
            </a:rPr>
            <a:t> </a:t>
          </a:r>
          <a:r>
            <a:rPr lang="en-US" sz="800" b="1">
              <a:solidFill>
                <a:srgbClr val="000000"/>
              </a:solidFill>
              <a:effectLst/>
              <a:latin typeface="Arial"/>
              <a:ea typeface="Calibri"/>
              <a:cs typeface="Times New Roman"/>
            </a:rPr>
            <a:t>No Concerns</a:t>
          </a:r>
          <a:endParaRPr lang="en-US" sz="1100">
            <a:effectLst/>
            <a:ea typeface="Calibri"/>
            <a:cs typeface="Times New Roman"/>
          </a:endParaRPr>
        </a:p>
        <a:p>
          <a:pPr marR="24765">
            <a:lnSpc>
              <a:spcPts val="1000"/>
            </a:lnSpc>
            <a:spcAft>
              <a:spcPts val="800"/>
            </a:spcAft>
          </a:pPr>
          <a:r>
            <a:rPr lang="en-US" sz="800">
              <a:solidFill>
                <a:srgbClr val="000000"/>
              </a:solidFill>
              <a:effectLst/>
              <a:latin typeface="Arial"/>
              <a:ea typeface="Calibri"/>
              <a:cs typeface="Times New Roman"/>
            </a:rPr>
            <a:t>Scores in this shaded area indicate that the applicant is not likely to engage in counterproductive behavior.</a:t>
          </a:r>
          <a:endParaRPr lang="en-US" sz="1100">
            <a:effectLst/>
            <a:ea typeface="Calibri"/>
            <a:cs typeface="Times New Roman"/>
          </a:endParaRPr>
        </a:p>
      </xdr:txBody>
    </xdr:sp>
    <xdr:clientData/>
  </xdr:twoCellAnchor>
  <xdr:twoCellAnchor>
    <xdr:from>
      <xdr:col>10</xdr:col>
      <xdr:colOff>97920</xdr:colOff>
      <xdr:row>46</xdr:row>
      <xdr:rowOff>6350</xdr:rowOff>
    </xdr:from>
    <xdr:to>
      <xdr:col>16</xdr:col>
      <xdr:colOff>224573</xdr:colOff>
      <xdr:row>50</xdr:row>
      <xdr:rowOff>45489</xdr:rowOff>
    </xdr:to>
    <xdr:sp macro="" textlink="">
      <xdr:nvSpPr>
        <xdr:cNvPr id="14" name="Text Box 68"/>
        <xdr:cNvSpPr txBox="1"/>
      </xdr:nvSpPr>
      <xdr:spPr>
        <a:xfrm>
          <a:off x="6066458" y="8809528"/>
          <a:ext cx="1822450" cy="803910"/>
        </a:xfrm>
        <a:prstGeom prst="rect">
          <a:avLst/>
        </a:prstGeom>
        <a:solidFill>
          <a:schemeClr val="tx2">
            <a:lumMod val="60000"/>
            <a:lumOff val="40000"/>
          </a:schemeClr>
        </a:solidFill>
        <a:ln>
          <a:noFill/>
        </a:ln>
      </xdr:spPr>
      <xdr:style>
        <a:lnRef idx="0">
          <a:scrgbClr r="0" g="0" b="0"/>
        </a:lnRef>
        <a:fillRef idx="0">
          <a:scrgbClr r="0" g="0" b="0"/>
        </a:fillRef>
        <a:effectRef idx="0">
          <a:scrgbClr r="0" g="0" b="0"/>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0"/>
            </a:spcAft>
          </a:pPr>
          <a:r>
            <a:rPr lang="en-US" sz="800" b="1">
              <a:solidFill>
                <a:srgbClr val="000000"/>
              </a:solidFill>
              <a:effectLst/>
              <a:latin typeface="Arial"/>
              <a:ea typeface="Calibri"/>
              <a:cs typeface="Times New Roman"/>
            </a:rPr>
            <a:t>Serious Concerns</a:t>
          </a:r>
          <a:endParaRPr lang="en-US" sz="1100">
            <a:effectLst/>
            <a:ea typeface="Calibri"/>
            <a:cs typeface="Times New Roman"/>
          </a:endParaRPr>
        </a:p>
        <a:p>
          <a:pPr>
            <a:lnSpc>
              <a:spcPct val="107000"/>
            </a:lnSpc>
            <a:spcAft>
              <a:spcPts val="0"/>
            </a:spcAft>
          </a:pPr>
          <a:r>
            <a:rPr lang="en-US" sz="800">
              <a:solidFill>
                <a:srgbClr val="000000"/>
              </a:solidFill>
              <a:effectLst/>
              <a:latin typeface="Arial"/>
              <a:ea typeface="Calibri"/>
              <a:cs typeface="Times New Roman"/>
            </a:rPr>
            <a:t> </a:t>
          </a:r>
          <a:endParaRPr lang="en-US" sz="1100">
            <a:effectLst/>
            <a:ea typeface="Calibri"/>
            <a:cs typeface="Times New Roman"/>
          </a:endParaRPr>
        </a:p>
        <a:p>
          <a:pPr marR="94615">
            <a:lnSpc>
              <a:spcPct val="107000"/>
            </a:lnSpc>
            <a:spcAft>
              <a:spcPts val="0"/>
            </a:spcAft>
          </a:pPr>
          <a:r>
            <a:rPr lang="en-US" sz="800">
              <a:solidFill>
                <a:srgbClr val="000000"/>
              </a:solidFill>
              <a:effectLst/>
              <a:latin typeface="Arial"/>
              <a:ea typeface="Calibri"/>
              <a:cs typeface="Times New Roman"/>
            </a:rPr>
            <a:t>Scores in this shaded area indicate that the applicant</a:t>
          </a:r>
          <a:endParaRPr lang="en-US" sz="1100">
            <a:effectLst/>
            <a:ea typeface="Calibri"/>
            <a:cs typeface="Times New Roman"/>
          </a:endParaRPr>
        </a:p>
        <a:p>
          <a:pPr>
            <a:lnSpc>
              <a:spcPct val="107000"/>
            </a:lnSpc>
            <a:spcAft>
              <a:spcPts val="0"/>
            </a:spcAft>
          </a:pPr>
          <a:r>
            <a:rPr lang="en-US" sz="800">
              <a:solidFill>
                <a:srgbClr val="000000"/>
              </a:solidFill>
              <a:effectLst/>
              <a:latin typeface="Arial"/>
              <a:ea typeface="Calibri"/>
              <a:cs typeface="Times New Roman"/>
            </a:rPr>
            <a:t>is likely to engage in counter- productive behavior.</a:t>
          </a:r>
          <a:endParaRPr lang="en-US" sz="1100">
            <a:effectLst/>
            <a:ea typeface="Calibri"/>
            <a:cs typeface="Times New Roman"/>
          </a:endParaRPr>
        </a:p>
        <a:p>
          <a:pPr>
            <a:lnSpc>
              <a:spcPct val="107000"/>
            </a:lnSpc>
            <a:spcAft>
              <a:spcPts val="0"/>
            </a:spcAft>
          </a:pPr>
          <a:r>
            <a:rPr lang="en-US" sz="800">
              <a:effectLst/>
              <a:ea typeface="Calibri"/>
              <a:cs typeface="Times New Roman"/>
            </a:rPr>
            <a:t> </a:t>
          </a:r>
          <a:endParaRPr lang="en-US" sz="1100">
            <a:effectLst/>
            <a:ea typeface="Calibri"/>
            <a:cs typeface="Times New Roman"/>
          </a:endParaRPr>
        </a:p>
      </xdr:txBody>
    </xdr:sp>
    <xdr:clientData/>
  </xdr:twoCellAnchor>
  <xdr:twoCellAnchor>
    <xdr:from>
      <xdr:col>3</xdr:col>
      <xdr:colOff>131107</xdr:colOff>
      <xdr:row>46</xdr:row>
      <xdr:rowOff>47915</xdr:rowOff>
    </xdr:from>
    <xdr:to>
      <xdr:col>9</xdr:col>
      <xdr:colOff>223471</xdr:colOff>
      <xdr:row>50</xdr:row>
      <xdr:rowOff>54034</xdr:rowOff>
    </xdr:to>
    <xdr:sp macro="" textlink="">
      <xdr:nvSpPr>
        <xdr:cNvPr id="15" name="Text Box 67"/>
        <xdr:cNvSpPr txBox="1"/>
      </xdr:nvSpPr>
      <xdr:spPr>
        <a:xfrm>
          <a:off x="4121216" y="8851093"/>
          <a:ext cx="1788160" cy="770890"/>
        </a:xfrm>
        <a:prstGeom prst="rect">
          <a:avLst/>
        </a:prstGeom>
        <a:solidFill>
          <a:schemeClr val="tx2">
            <a:lumMod val="20000"/>
            <a:lumOff val="80000"/>
          </a:schemeClr>
        </a:solidFill>
        <a:ln>
          <a:noFill/>
        </a:ln>
      </xdr:spPr>
      <xdr:style>
        <a:lnRef idx="0">
          <a:scrgbClr r="0" g="0" b="0"/>
        </a:lnRef>
        <a:fillRef idx="0">
          <a:scrgbClr r="0" g="0" b="0"/>
        </a:fillRef>
        <a:effectRef idx="0">
          <a:scrgbClr r="0" g="0" b="0"/>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nSpc>
              <a:spcPct val="107000"/>
            </a:lnSpc>
            <a:spcAft>
              <a:spcPts val="0"/>
            </a:spcAft>
          </a:pPr>
          <a:r>
            <a:rPr lang="en-US" sz="800" b="1">
              <a:solidFill>
                <a:srgbClr val="000000"/>
              </a:solidFill>
              <a:effectLst/>
              <a:latin typeface="Arial"/>
              <a:ea typeface="Calibri"/>
              <a:cs typeface="Times New Roman"/>
            </a:rPr>
            <a:t>Concerns</a:t>
          </a:r>
          <a:endParaRPr lang="en-US" sz="1100">
            <a:effectLst/>
            <a:ea typeface="Calibri"/>
            <a:cs typeface="Times New Roman"/>
          </a:endParaRPr>
        </a:p>
        <a:p>
          <a:pPr>
            <a:lnSpc>
              <a:spcPct val="107000"/>
            </a:lnSpc>
            <a:spcAft>
              <a:spcPts val="0"/>
            </a:spcAft>
          </a:pPr>
          <a:r>
            <a:rPr lang="id-ID" sz="800">
              <a:solidFill>
                <a:srgbClr val="000000"/>
              </a:solidFill>
              <a:effectLst/>
              <a:latin typeface="Arial"/>
              <a:ea typeface="Calibri"/>
              <a:cs typeface="Times New Roman"/>
            </a:rPr>
            <a:t> </a:t>
          </a:r>
          <a:endParaRPr lang="en-US" sz="1100">
            <a:effectLst/>
            <a:ea typeface="Calibri"/>
            <a:cs typeface="Times New Roman"/>
          </a:endParaRPr>
        </a:p>
        <a:p>
          <a:pPr>
            <a:lnSpc>
              <a:spcPct val="107000"/>
            </a:lnSpc>
            <a:spcAft>
              <a:spcPts val="0"/>
            </a:spcAft>
          </a:pPr>
          <a:r>
            <a:rPr lang="id-ID" sz="800">
              <a:solidFill>
                <a:srgbClr val="000000"/>
              </a:solidFill>
              <a:effectLst/>
              <a:latin typeface="Arial"/>
              <a:ea typeface="Calibri"/>
              <a:cs typeface="Times New Roman"/>
            </a:rPr>
            <a:t>S</a:t>
          </a:r>
          <a:r>
            <a:rPr lang="en-US" sz="800">
              <a:solidFill>
                <a:srgbClr val="000000"/>
              </a:solidFill>
              <a:effectLst/>
              <a:latin typeface="Arial"/>
              <a:ea typeface="Calibri"/>
              <a:cs typeface="Times New Roman"/>
            </a:rPr>
            <a:t>cores in this shaded area indicate that the applicant may engage in counterproductive behavior.</a:t>
          </a:r>
          <a:endParaRPr lang="en-US" sz="1100">
            <a:effectLst/>
            <a:ea typeface="Calibri"/>
            <a:cs typeface="Times New Roman"/>
          </a:endParaRPr>
        </a:p>
      </xdr:txBody>
    </xdr:sp>
    <xdr:clientData/>
  </xdr:twoCellAnchor>
  <xdr:twoCellAnchor editAs="oneCell">
    <xdr:from>
      <xdr:col>10</xdr:col>
      <xdr:colOff>3</xdr:colOff>
      <xdr:row>0</xdr:row>
      <xdr:rowOff>41564</xdr:rowOff>
    </xdr:from>
    <xdr:to>
      <xdr:col>15</xdr:col>
      <xdr:colOff>57821</xdr:colOff>
      <xdr:row>8</xdr:row>
      <xdr:rowOff>124691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04412" y="41564"/>
          <a:ext cx="1460590" cy="15794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166256</xdr:colOff>
      <xdr:row>0</xdr:row>
      <xdr:rowOff>0</xdr:rowOff>
    </xdr:from>
    <xdr:to>
      <xdr:col>16</xdr:col>
      <xdr:colOff>79057</xdr:colOff>
      <xdr:row>42</xdr:row>
      <xdr:rowOff>166254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95256" y="0"/>
          <a:ext cx="1710429" cy="18495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M166"/>
  <sheetViews>
    <sheetView topLeftCell="B135" zoomScale="70" zoomScaleNormal="70" workbookViewId="0">
      <selection activeCell="H153" sqref="H153"/>
    </sheetView>
  </sheetViews>
  <sheetFormatPr defaultColWidth="8.85546875" defaultRowHeight="15" x14ac:dyDescent="0.25"/>
  <cols>
    <col min="1" max="1" width="4" style="5" hidden="1" customWidth="1"/>
    <col min="2" max="2" width="15" style="2" customWidth="1"/>
    <col min="3" max="3" width="1.85546875" style="1" customWidth="1"/>
    <col min="4" max="4" width="26.7109375" style="5" customWidth="1"/>
    <col min="5" max="11" width="8.85546875" style="1"/>
    <col min="12" max="12" width="34.7109375" style="1" customWidth="1"/>
    <col min="13" max="13" width="4.7109375" style="5" customWidth="1"/>
    <col min="14" max="14" width="4.7109375" style="8" customWidth="1"/>
    <col min="15" max="15" width="3.5703125" style="1" hidden="1" customWidth="1"/>
    <col min="16" max="17" width="3.7109375" style="1" hidden="1" customWidth="1"/>
    <col min="18" max="18" width="8.85546875" style="1" hidden="1" customWidth="1"/>
    <col min="19" max="39" width="8.85546875" style="1"/>
    <col min="40" max="16384" width="8.85546875" style="5"/>
  </cols>
  <sheetData>
    <row r="1" spans="2:14" s="1" customFormat="1" ht="15.75" customHeight="1" x14ac:dyDescent="0.3">
      <c r="B1" s="7" t="s">
        <v>141</v>
      </c>
      <c r="C1" s="7"/>
      <c r="D1" s="7"/>
      <c r="E1" s="84"/>
      <c r="F1" s="84"/>
      <c r="N1" s="9"/>
    </row>
    <row r="2" spans="2:14" s="1" customFormat="1" x14ac:dyDescent="0.3">
      <c r="B2" s="2"/>
      <c r="N2" s="9"/>
    </row>
    <row r="3" spans="2:14" x14ac:dyDescent="0.3">
      <c r="B3" s="2" t="s">
        <v>147</v>
      </c>
      <c r="C3" s="1" t="s">
        <v>143</v>
      </c>
      <c r="D3" s="15">
        <v>44606</v>
      </c>
      <c r="M3" s="1"/>
      <c r="N3" s="9"/>
    </row>
    <row r="4" spans="2:14" x14ac:dyDescent="0.3">
      <c r="B4" s="2" t="s">
        <v>142</v>
      </c>
      <c r="C4" s="1" t="s">
        <v>143</v>
      </c>
      <c r="D4" s="16" t="s">
        <v>158</v>
      </c>
      <c r="M4" s="1"/>
      <c r="N4" s="9"/>
    </row>
    <row r="5" spans="2:14" x14ac:dyDescent="0.3">
      <c r="B5" s="2" t="s">
        <v>144</v>
      </c>
      <c r="C5" s="1" t="s">
        <v>143</v>
      </c>
      <c r="D5" s="16" t="s">
        <v>159</v>
      </c>
      <c r="M5" s="1"/>
      <c r="N5" s="9"/>
    </row>
    <row r="6" spans="2:14" x14ac:dyDescent="0.3">
      <c r="B6" s="2" t="s">
        <v>145</v>
      </c>
      <c r="C6" s="1" t="s">
        <v>143</v>
      </c>
      <c r="D6" s="15">
        <v>36533</v>
      </c>
      <c r="M6" s="1"/>
      <c r="N6" s="9"/>
    </row>
    <row r="7" spans="2:14" x14ac:dyDescent="0.3">
      <c r="B7" s="2" t="s">
        <v>146</v>
      </c>
      <c r="C7" s="1" t="s">
        <v>143</v>
      </c>
      <c r="D7" s="16">
        <v>22</v>
      </c>
      <c r="M7" s="1"/>
      <c r="N7" s="9"/>
    </row>
    <row r="8" spans="2:14" x14ac:dyDescent="0.3">
      <c r="B8" s="2" t="s">
        <v>148</v>
      </c>
      <c r="C8" s="1" t="s">
        <v>143</v>
      </c>
      <c r="D8" s="16" t="s">
        <v>160</v>
      </c>
      <c r="M8" s="1"/>
      <c r="N8" s="9"/>
    </row>
    <row r="9" spans="2:14" s="1" customFormat="1" x14ac:dyDescent="0.3">
      <c r="B9" s="2"/>
      <c r="N9" s="9"/>
    </row>
    <row r="10" spans="2:14" s="1" customFormat="1" x14ac:dyDescent="0.3">
      <c r="B10" s="2" t="s">
        <v>140</v>
      </c>
      <c r="N10" s="9"/>
    </row>
    <row r="11" spans="2:14" s="1" customFormat="1" x14ac:dyDescent="0.3">
      <c r="B11" s="2"/>
      <c r="N11" s="9"/>
    </row>
    <row r="12" spans="2:14" s="1" customFormat="1" x14ac:dyDescent="0.3">
      <c r="B12" s="2" t="s">
        <v>0</v>
      </c>
      <c r="N12" s="9"/>
    </row>
    <row r="13" spans="2:14" s="1" customFormat="1" x14ac:dyDescent="0.3">
      <c r="B13" s="10" t="s">
        <v>203</v>
      </c>
      <c r="N13" s="9"/>
    </row>
    <row r="14" spans="2:14" s="1" customFormat="1" x14ac:dyDescent="0.3">
      <c r="B14" s="11" t="s">
        <v>152</v>
      </c>
      <c r="N14" s="9"/>
    </row>
    <row r="15" spans="2:14" s="1" customFormat="1" x14ac:dyDescent="0.3">
      <c r="B15" s="11" t="s">
        <v>153</v>
      </c>
      <c r="N15" s="9"/>
    </row>
    <row r="16" spans="2:14" s="1" customFormat="1" x14ac:dyDescent="0.3">
      <c r="B16" s="2" t="s">
        <v>154</v>
      </c>
      <c r="N16" s="9"/>
    </row>
    <row r="17" spans="1:17" s="1" customFormat="1" x14ac:dyDescent="0.3">
      <c r="B17" s="2" t="s">
        <v>1</v>
      </c>
      <c r="N17" s="9"/>
    </row>
    <row r="18" spans="1:17" s="1" customFormat="1" x14ac:dyDescent="0.3">
      <c r="B18" s="2"/>
      <c r="N18" s="9"/>
    </row>
    <row r="19" spans="1:17" s="1" customFormat="1" x14ac:dyDescent="0.3">
      <c r="B19" s="2" t="s">
        <v>2</v>
      </c>
      <c r="M19" s="3" t="s">
        <v>150</v>
      </c>
      <c r="N19" s="3" t="s">
        <v>151</v>
      </c>
    </row>
    <row r="20" spans="1:17" ht="15" customHeight="1" x14ac:dyDescent="0.25">
      <c r="A20" s="5">
        <v>1</v>
      </c>
      <c r="B20" s="17" t="s">
        <v>4</v>
      </c>
      <c r="C20" s="18"/>
      <c r="D20" s="18"/>
      <c r="E20" s="18"/>
      <c r="F20" s="18"/>
      <c r="G20" s="18"/>
      <c r="H20" s="18"/>
      <c r="I20" s="18"/>
      <c r="J20" s="18"/>
      <c r="K20" s="18"/>
      <c r="L20" s="19"/>
      <c r="M20" s="6"/>
      <c r="N20" s="6" t="s">
        <v>205</v>
      </c>
      <c r="P20" s="85" t="str">
        <f>IF(M20="X",1,"0")</f>
        <v>0</v>
      </c>
      <c r="Q20" s="85">
        <f>IF(N20="X",1,"0")</f>
        <v>1</v>
      </c>
    </row>
    <row r="21" spans="1:17" ht="15" customHeight="1" x14ac:dyDescent="0.25">
      <c r="A21" s="5">
        <f>A20+1</f>
        <v>2</v>
      </c>
      <c r="B21" s="20" t="s">
        <v>5</v>
      </c>
      <c r="C21" s="21"/>
      <c r="D21" s="21"/>
      <c r="E21" s="21"/>
      <c r="F21" s="21"/>
      <c r="G21" s="21"/>
      <c r="H21" s="21"/>
      <c r="I21" s="21"/>
      <c r="J21" s="21"/>
      <c r="K21" s="21"/>
      <c r="L21" s="22"/>
      <c r="M21" s="6"/>
      <c r="N21" s="6" t="s">
        <v>205</v>
      </c>
      <c r="P21" s="85" t="str">
        <f t="shared" ref="P21:P84" si="0">IF(M21="X",1,"0")</f>
        <v>0</v>
      </c>
      <c r="Q21" s="85">
        <f t="shared" ref="Q21:Q84" si="1">IF(N21="X",1,"0")</f>
        <v>1</v>
      </c>
    </row>
    <row r="22" spans="1:17" ht="15" customHeight="1" x14ac:dyDescent="0.25">
      <c r="A22" s="5">
        <f t="shared" ref="A22:A85" si="2">A21+1</f>
        <v>3</v>
      </c>
      <c r="B22" s="17" t="s">
        <v>6</v>
      </c>
      <c r="C22" s="18"/>
      <c r="D22" s="18"/>
      <c r="E22" s="18"/>
      <c r="F22" s="18"/>
      <c r="G22" s="18"/>
      <c r="H22" s="18"/>
      <c r="I22" s="18"/>
      <c r="J22" s="18"/>
      <c r="K22" s="18"/>
      <c r="L22" s="19"/>
      <c r="M22" s="6"/>
      <c r="N22" s="6" t="s">
        <v>205</v>
      </c>
      <c r="P22" s="85" t="str">
        <f t="shared" si="0"/>
        <v>0</v>
      </c>
      <c r="Q22" s="85">
        <f t="shared" si="1"/>
        <v>1</v>
      </c>
    </row>
    <row r="23" spans="1:17" ht="15" customHeight="1" x14ac:dyDescent="0.25">
      <c r="A23" s="5">
        <f t="shared" si="2"/>
        <v>4</v>
      </c>
      <c r="B23" s="20" t="s">
        <v>7</v>
      </c>
      <c r="C23" s="21"/>
      <c r="D23" s="21"/>
      <c r="E23" s="21"/>
      <c r="F23" s="21"/>
      <c r="G23" s="21"/>
      <c r="H23" s="21"/>
      <c r="I23" s="21"/>
      <c r="J23" s="21"/>
      <c r="K23" s="21"/>
      <c r="L23" s="22"/>
      <c r="M23" s="6"/>
      <c r="N23" s="6" t="s">
        <v>205</v>
      </c>
      <c r="P23" s="85" t="str">
        <f t="shared" si="0"/>
        <v>0</v>
      </c>
      <c r="Q23" s="85">
        <f t="shared" si="1"/>
        <v>1</v>
      </c>
    </row>
    <row r="24" spans="1:17" ht="15" customHeight="1" x14ac:dyDescent="0.25">
      <c r="A24" s="5">
        <f t="shared" si="2"/>
        <v>5</v>
      </c>
      <c r="B24" s="17" t="s">
        <v>8</v>
      </c>
      <c r="C24" s="18"/>
      <c r="D24" s="18"/>
      <c r="E24" s="18"/>
      <c r="F24" s="18"/>
      <c r="G24" s="18"/>
      <c r="H24" s="18"/>
      <c r="I24" s="18"/>
      <c r="J24" s="18"/>
      <c r="K24" s="18"/>
      <c r="L24" s="19"/>
      <c r="M24" s="6"/>
      <c r="N24" s="6" t="s">
        <v>205</v>
      </c>
      <c r="P24" s="85" t="str">
        <f t="shared" si="0"/>
        <v>0</v>
      </c>
      <c r="Q24" s="85">
        <f t="shared" si="1"/>
        <v>1</v>
      </c>
    </row>
    <row r="25" spans="1:17" ht="15" customHeight="1" x14ac:dyDescent="0.25">
      <c r="A25" s="5">
        <f t="shared" si="2"/>
        <v>6</v>
      </c>
      <c r="B25" s="20" t="s">
        <v>9</v>
      </c>
      <c r="C25" s="21"/>
      <c r="D25" s="21"/>
      <c r="E25" s="21"/>
      <c r="F25" s="21"/>
      <c r="G25" s="21"/>
      <c r="H25" s="21"/>
      <c r="I25" s="21"/>
      <c r="J25" s="21"/>
      <c r="K25" s="21"/>
      <c r="L25" s="22"/>
      <c r="M25" s="6"/>
      <c r="N25" s="6" t="s">
        <v>205</v>
      </c>
      <c r="P25" s="85" t="str">
        <f t="shared" si="0"/>
        <v>0</v>
      </c>
      <c r="Q25" s="85">
        <f t="shared" si="1"/>
        <v>1</v>
      </c>
    </row>
    <row r="26" spans="1:17" ht="15" customHeight="1" x14ac:dyDescent="0.25">
      <c r="A26" s="5">
        <f t="shared" si="2"/>
        <v>7</v>
      </c>
      <c r="B26" s="17" t="s">
        <v>10</v>
      </c>
      <c r="C26" s="18"/>
      <c r="D26" s="18"/>
      <c r="E26" s="18"/>
      <c r="F26" s="18"/>
      <c r="G26" s="18"/>
      <c r="H26" s="18"/>
      <c r="I26" s="18"/>
      <c r="J26" s="18"/>
      <c r="K26" s="18"/>
      <c r="L26" s="19"/>
      <c r="M26" s="6"/>
      <c r="N26" s="6" t="s">
        <v>205</v>
      </c>
      <c r="P26" s="85" t="str">
        <f t="shared" si="0"/>
        <v>0</v>
      </c>
      <c r="Q26" s="85">
        <f t="shared" si="1"/>
        <v>1</v>
      </c>
    </row>
    <row r="27" spans="1:17" ht="15" customHeight="1" x14ac:dyDescent="0.25">
      <c r="A27" s="5">
        <f t="shared" si="2"/>
        <v>8</v>
      </c>
      <c r="B27" s="20" t="s">
        <v>11</v>
      </c>
      <c r="C27" s="21"/>
      <c r="D27" s="21"/>
      <c r="E27" s="21"/>
      <c r="F27" s="21"/>
      <c r="G27" s="21"/>
      <c r="H27" s="21"/>
      <c r="I27" s="21"/>
      <c r="J27" s="21"/>
      <c r="K27" s="21"/>
      <c r="L27" s="22"/>
      <c r="M27" s="6"/>
      <c r="N27" s="6" t="s">
        <v>205</v>
      </c>
      <c r="P27" s="85" t="str">
        <f t="shared" si="0"/>
        <v>0</v>
      </c>
      <c r="Q27" s="85">
        <f t="shared" si="1"/>
        <v>1</v>
      </c>
    </row>
    <row r="28" spans="1:17" ht="15" customHeight="1" x14ac:dyDescent="0.25">
      <c r="A28" s="5">
        <f t="shared" si="2"/>
        <v>9</v>
      </c>
      <c r="B28" s="17" t="s">
        <v>12</v>
      </c>
      <c r="C28" s="18"/>
      <c r="D28" s="18"/>
      <c r="E28" s="18"/>
      <c r="F28" s="18"/>
      <c r="G28" s="18"/>
      <c r="H28" s="18"/>
      <c r="I28" s="18"/>
      <c r="J28" s="18"/>
      <c r="K28" s="18"/>
      <c r="L28" s="19"/>
      <c r="M28" s="6"/>
      <c r="N28" s="6" t="s">
        <v>205</v>
      </c>
      <c r="P28" s="85" t="str">
        <f t="shared" si="0"/>
        <v>0</v>
      </c>
      <c r="Q28" s="85">
        <f t="shared" si="1"/>
        <v>1</v>
      </c>
    </row>
    <row r="29" spans="1:17" ht="15" customHeight="1" x14ac:dyDescent="0.25">
      <c r="A29" s="5">
        <f t="shared" si="2"/>
        <v>10</v>
      </c>
      <c r="B29" s="20" t="s">
        <v>13</v>
      </c>
      <c r="C29" s="21"/>
      <c r="D29" s="21"/>
      <c r="E29" s="21"/>
      <c r="F29" s="21"/>
      <c r="G29" s="21"/>
      <c r="H29" s="21"/>
      <c r="I29" s="21"/>
      <c r="J29" s="21"/>
      <c r="K29" s="21"/>
      <c r="L29" s="22"/>
      <c r="M29" s="6"/>
      <c r="N29" s="6" t="s">
        <v>205</v>
      </c>
      <c r="P29" s="85" t="str">
        <f t="shared" si="0"/>
        <v>0</v>
      </c>
      <c r="Q29" s="85">
        <f t="shared" si="1"/>
        <v>1</v>
      </c>
    </row>
    <row r="30" spans="1:17" ht="15" customHeight="1" x14ac:dyDescent="0.25">
      <c r="A30" s="5">
        <f t="shared" si="2"/>
        <v>11</v>
      </c>
      <c r="B30" s="17" t="s">
        <v>14</v>
      </c>
      <c r="C30" s="18"/>
      <c r="D30" s="18"/>
      <c r="E30" s="18"/>
      <c r="F30" s="18"/>
      <c r="G30" s="18"/>
      <c r="H30" s="18"/>
      <c r="I30" s="18"/>
      <c r="J30" s="18"/>
      <c r="K30" s="18"/>
      <c r="L30" s="19"/>
      <c r="M30" s="6"/>
      <c r="N30" s="6" t="s">
        <v>205</v>
      </c>
      <c r="P30" s="85" t="str">
        <f t="shared" si="0"/>
        <v>0</v>
      </c>
      <c r="Q30" s="85">
        <f t="shared" si="1"/>
        <v>1</v>
      </c>
    </row>
    <row r="31" spans="1:17" ht="15" customHeight="1" x14ac:dyDescent="0.25">
      <c r="A31" s="5">
        <f t="shared" si="2"/>
        <v>12</v>
      </c>
      <c r="B31" s="20" t="s">
        <v>15</v>
      </c>
      <c r="C31" s="21"/>
      <c r="D31" s="21"/>
      <c r="E31" s="21"/>
      <c r="F31" s="21"/>
      <c r="G31" s="21"/>
      <c r="H31" s="21"/>
      <c r="I31" s="21"/>
      <c r="J31" s="21"/>
      <c r="K31" s="21"/>
      <c r="L31" s="22"/>
      <c r="M31" s="6"/>
      <c r="N31" s="6" t="s">
        <v>205</v>
      </c>
      <c r="P31" s="85" t="str">
        <f t="shared" si="0"/>
        <v>0</v>
      </c>
      <c r="Q31" s="85">
        <f t="shared" si="1"/>
        <v>1</v>
      </c>
    </row>
    <row r="32" spans="1:17" ht="15" customHeight="1" x14ac:dyDescent="0.25">
      <c r="A32" s="5">
        <f t="shared" si="2"/>
        <v>13</v>
      </c>
      <c r="B32" s="17" t="s">
        <v>16</v>
      </c>
      <c r="C32" s="18"/>
      <c r="D32" s="18"/>
      <c r="E32" s="18"/>
      <c r="F32" s="18"/>
      <c r="G32" s="18"/>
      <c r="H32" s="18"/>
      <c r="I32" s="18"/>
      <c r="J32" s="18"/>
      <c r="K32" s="18"/>
      <c r="L32" s="19"/>
      <c r="M32" s="6"/>
      <c r="N32" s="6" t="s">
        <v>205</v>
      </c>
      <c r="P32" s="85" t="str">
        <f t="shared" si="0"/>
        <v>0</v>
      </c>
      <c r="Q32" s="85">
        <f t="shared" si="1"/>
        <v>1</v>
      </c>
    </row>
    <row r="33" spans="1:17" ht="15" customHeight="1" x14ac:dyDescent="0.25">
      <c r="A33" s="5">
        <f t="shared" si="2"/>
        <v>14</v>
      </c>
      <c r="B33" s="20" t="s">
        <v>17</v>
      </c>
      <c r="C33" s="21"/>
      <c r="D33" s="21"/>
      <c r="E33" s="21"/>
      <c r="F33" s="21"/>
      <c r="G33" s="21"/>
      <c r="H33" s="21"/>
      <c r="I33" s="21"/>
      <c r="J33" s="21"/>
      <c r="K33" s="21"/>
      <c r="L33" s="22"/>
      <c r="M33" s="6"/>
      <c r="N33" s="6" t="s">
        <v>205</v>
      </c>
      <c r="P33" s="85" t="str">
        <f t="shared" si="0"/>
        <v>0</v>
      </c>
      <c r="Q33" s="85">
        <f t="shared" si="1"/>
        <v>1</v>
      </c>
    </row>
    <row r="34" spans="1:17" ht="15" customHeight="1" x14ac:dyDescent="0.25">
      <c r="A34" s="5">
        <f t="shared" si="2"/>
        <v>15</v>
      </c>
      <c r="B34" s="17" t="s">
        <v>18</v>
      </c>
      <c r="C34" s="18"/>
      <c r="D34" s="18"/>
      <c r="E34" s="18"/>
      <c r="F34" s="18"/>
      <c r="G34" s="18"/>
      <c r="H34" s="18"/>
      <c r="I34" s="18"/>
      <c r="J34" s="18"/>
      <c r="K34" s="18"/>
      <c r="L34" s="19"/>
      <c r="M34" s="6"/>
      <c r="N34" s="6" t="s">
        <v>205</v>
      </c>
      <c r="P34" s="85" t="str">
        <f t="shared" si="0"/>
        <v>0</v>
      </c>
      <c r="Q34" s="85">
        <f t="shared" si="1"/>
        <v>1</v>
      </c>
    </row>
    <row r="35" spans="1:17" ht="15" customHeight="1" x14ac:dyDescent="0.25">
      <c r="A35" s="5">
        <f t="shared" si="2"/>
        <v>16</v>
      </c>
      <c r="B35" s="20" t="s">
        <v>19</v>
      </c>
      <c r="C35" s="21"/>
      <c r="D35" s="21"/>
      <c r="E35" s="21"/>
      <c r="F35" s="21"/>
      <c r="G35" s="21"/>
      <c r="H35" s="21"/>
      <c r="I35" s="21"/>
      <c r="J35" s="21"/>
      <c r="K35" s="21"/>
      <c r="L35" s="22"/>
      <c r="M35" s="6"/>
      <c r="N35" s="6" t="s">
        <v>205</v>
      </c>
      <c r="P35" s="85" t="str">
        <f t="shared" si="0"/>
        <v>0</v>
      </c>
      <c r="Q35" s="85">
        <f t="shared" si="1"/>
        <v>1</v>
      </c>
    </row>
    <row r="36" spans="1:17" ht="15" customHeight="1" x14ac:dyDescent="0.25">
      <c r="A36" s="5">
        <f t="shared" si="2"/>
        <v>17</v>
      </c>
      <c r="B36" s="17" t="s">
        <v>20</v>
      </c>
      <c r="C36" s="18"/>
      <c r="D36" s="18"/>
      <c r="E36" s="18"/>
      <c r="F36" s="18"/>
      <c r="G36" s="18"/>
      <c r="H36" s="18"/>
      <c r="I36" s="18"/>
      <c r="J36" s="18"/>
      <c r="K36" s="18"/>
      <c r="L36" s="19"/>
      <c r="M36" s="6"/>
      <c r="N36" s="6" t="s">
        <v>205</v>
      </c>
      <c r="P36" s="85" t="str">
        <f t="shared" si="0"/>
        <v>0</v>
      </c>
      <c r="Q36" s="85">
        <f t="shared" si="1"/>
        <v>1</v>
      </c>
    </row>
    <row r="37" spans="1:17" ht="15" customHeight="1" x14ac:dyDescent="0.25">
      <c r="A37" s="5">
        <f t="shared" si="2"/>
        <v>18</v>
      </c>
      <c r="B37" s="20" t="s">
        <v>21</v>
      </c>
      <c r="C37" s="21"/>
      <c r="D37" s="21"/>
      <c r="E37" s="21"/>
      <c r="F37" s="21"/>
      <c r="G37" s="21"/>
      <c r="H37" s="21"/>
      <c r="I37" s="21"/>
      <c r="J37" s="21"/>
      <c r="K37" s="21"/>
      <c r="L37" s="22"/>
      <c r="M37" s="6"/>
      <c r="N37" s="6" t="s">
        <v>205</v>
      </c>
      <c r="P37" s="85" t="str">
        <f t="shared" si="0"/>
        <v>0</v>
      </c>
      <c r="Q37" s="85">
        <f t="shared" si="1"/>
        <v>1</v>
      </c>
    </row>
    <row r="38" spans="1:17" ht="15" customHeight="1" x14ac:dyDescent="0.25">
      <c r="A38" s="5">
        <f t="shared" si="2"/>
        <v>19</v>
      </c>
      <c r="B38" s="17" t="s">
        <v>22</v>
      </c>
      <c r="C38" s="18"/>
      <c r="D38" s="18"/>
      <c r="E38" s="18"/>
      <c r="F38" s="18"/>
      <c r="G38" s="18"/>
      <c r="H38" s="18"/>
      <c r="I38" s="18"/>
      <c r="J38" s="18"/>
      <c r="K38" s="18"/>
      <c r="L38" s="19"/>
      <c r="M38" s="6"/>
      <c r="N38" s="6" t="s">
        <v>205</v>
      </c>
      <c r="P38" s="85" t="str">
        <f t="shared" si="0"/>
        <v>0</v>
      </c>
      <c r="Q38" s="85">
        <f t="shared" si="1"/>
        <v>1</v>
      </c>
    </row>
    <row r="39" spans="1:17" ht="15" customHeight="1" x14ac:dyDescent="0.25">
      <c r="A39" s="5">
        <f t="shared" si="2"/>
        <v>20</v>
      </c>
      <c r="B39" s="20" t="s">
        <v>23</v>
      </c>
      <c r="C39" s="21"/>
      <c r="D39" s="21"/>
      <c r="E39" s="21"/>
      <c r="F39" s="21"/>
      <c r="G39" s="21"/>
      <c r="H39" s="21"/>
      <c r="I39" s="21"/>
      <c r="J39" s="21"/>
      <c r="K39" s="21"/>
      <c r="L39" s="22"/>
      <c r="M39" s="6"/>
      <c r="N39" s="6" t="s">
        <v>205</v>
      </c>
      <c r="P39" s="85" t="str">
        <f t="shared" si="0"/>
        <v>0</v>
      </c>
      <c r="Q39" s="85">
        <f t="shared" si="1"/>
        <v>1</v>
      </c>
    </row>
    <row r="40" spans="1:17" ht="15" customHeight="1" x14ac:dyDescent="0.25">
      <c r="A40" s="5">
        <f t="shared" si="2"/>
        <v>21</v>
      </c>
      <c r="B40" s="17" t="s">
        <v>24</v>
      </c>
      <c r="C40" s="18"/>
      <c r="D40" s="18"/>
      <c r="E40" s="18"/>
      <c r="F40" s="18"/>
      <c r="G40" s="18"/>
      <c r="H40" s="18"/>
      <c r="I40" s="18"/>
      <c r="J40" s="18"/>
      <c r="K40" s="18"/>
      <c r="L40" s="19"/>
      <c r="M40" s="6"/>
      <c r="N40" s="6" t="s">
        <v>205</v>
      </c>
      <c r="P40" s="85" t="str">
        <f t="shared" si="0"/>
        <v>0</v>
      </c>
      <c r="Q40" s="85">
        <f t="shared" si="1"/>
        <v>1</v>
      </c>
    </row>
    <row r="41" spans="1:17" ht="15" customHeight="1" x14ac:dyDescent="0.25">
      <c r="A41" s="5">
        <f t="shared" si="2"/>
        <v>22</v>
      </c>
      <c r="B41" s="20" t="s">
        <v>25</v>
      </c>
      <c r="C41" s="21"/>
      <c r="D41" s="21"/>
      <c r="E41" s="21"/>
      <c r="F41" s="21"/>
      <c r="G41" s="21"/>
      <c r="H41" s="21"/>
      <c r="I41" s="21"/>
      <c r="J41" s="21"/>
      <c r="K41" s="21"/>
      <c r="L41" s="22"/>
      <c r="M41" s="6"/>
      <c r="N41" s="6" t="s">
        <v>205</v>
      </c>
      <c r="P41" s="85" t="str">
        <f t="shared" si="0"/>
        <v>0</v>
      </c>
      <c r="Q41" s="85">
        <f t="shared" si="1"/>
        <v>1</v>
      </c>
    </row>
    <row r="42" spans="1:17" ht="15" customHeight="1" x14ac:dyDescent="0.25">
      <c r="A42" s="5">
        <f t="shared" si="2"/>
        <v>23</v>
      </c>
      <c r="B42" s="17" t="s">
        <v>26</v>
      </c>
      <c r="C42" s="18"/>
      <c r="D42" s="18"/>
      <c r="E42" s="18"/>
      <c r="F42" s="18"/>
      <c r="G42" s="18"/>
      <c r="H42" s="18"/>
      <c r="I42" s="18"/>
      <c r="J42" s="18"/>
      <c r="K42" s="18"/>
      <c r="L42" s="19"/>
      <c r="M42" s="6"/>
      <c r="N42" s="6" t="s">
        <v>205</v>
      </c>
      <c r="P42" s="85" t="str">
        <f t="shared" si="0"/>
        <v>0</v>
      </c>
      <c r="Q42" s="85">
        <f t="shared" si="1"/>
        <v>1</v>
      </c>
    </row>
    <row r="43" spans="1:17" ht="15" customHeight="1" x14ac:dyDescent="0.25">
      <c r="A43" s="5">
        <f t="shared" si="2"/>
        <v>24</v>
      </c>
      <c r="B43" s="20" t="s">
        <v>27</v>
      </c>
      <c r="C43" s="21"/>
      <c r="D43" s="21"/>
      <c r="E43" s="21"/>
      <c r="F43" s="21"/>
      <c r="G43" s="21"/>
      <c r="H43" s="21"/>
      <c r="I43" s="21"/>
      <c r="J43" s="21"/>
      <c r="K43" s="21"/>
      <c r="L43" s="22"/>
      <c r="M43" s="6"/>
      <c r="N43" s="6" t="s">
        <v>205</v>
      </c>
      <c r="P43" s="85" t="str">
        <f t="shared" si="0"/>
        <v>0</v>
      </c>
      <c r="Q43" s="85">
        <f t="shared" si="1"/>
        <v>1</v>
      </c>
    </row>
    <row r="44" spans="1:17" ht="15" customHeight="1" x14ac:dyDescent="0.25">
      <c r="A44" s="5">
        <f t="shared" si="2"/>
        <v>25</v>
      </c>
      <c r="B44" s="17" t="s">
        <v>28</v>
      </c>
      <c r="C44" s="18"/>
      <c r="D44" s="18"/>
      <c r="E44" s="18"/>
      <c r="F44" s="18"/>
      <c r="G44" s="18"/>
      <c r="H44" s="18"/>
      <c r="I44" s="18"/>
      <c r="J44" s="18"/>
      <c r="K44" s="18"/>
      <c r="L44" s="19"/>
      <c r="M44" s="6"/>
      <c r="N44" s="6" t="s">
        <v>205</v>
      </c>
      <c r="P44" s="85" t="str">
        <f t="shared" si="0"/>
        <v>0</v>
      </c>
      <c r="Q44" s="85">
        <f t="shared" si="1"/>
        <v>1</v>
      </c>
    </row>
    <row r="45" spans="1:17" ht="15" customHeight="1" x14ac:dyDescent="0.25">
      <c r="A45" s="5">
        <f t="shared" si="2"/>
        <v>26</v>
      </c>
      <c r="B45" s="20" t="s">
        <v>29</v>
      </c>
      <c r="C45" s="21"/>
      <c r="D45" s="21"/>
      <c r="E45" s="21"/>
      <c r="F45" s="21"/>
      <c r="G45" s="21"/>
      <c r="H45" s="21"/>
      <c r="I45" s="21"/>
      <c r="J45" s="21"/>
      <c r="K45" s="21"/>
      <c r="L45" s="22"/>
      <c r="M45" s="6"/>
      <c r="N45" s="6" t="s">
        <v>205</v>
      </c>
      <c r="P45" s="85" t="str">
        <f t="shared" si="0"/>
        <v>0</v>
      </c>
      <c r="Q45" s="85">
        <f t="shared" si="1"/>
        <v>1</v>
      </c>
    </row>
    <row r="46" spans="1:17" ht="15" customHeight="1" x14ac:dyDescent="0.25">
      <c r="A46" s="5">
        <f t="shared" si="2"/>
        <v>27</v>
      </c>
      <c r="B46" s="17" t="s">
        <v>30</v>
      </c>
      <c r="C46" s="18"/>
      <c r="D46" s="18"/>
      <c r="E46" s="18"/>
      <c r="F46" s="18"/>
      <c r="G46" s="18"/>
      <c r="H46" s="18"/>
      <c r="I46" s="18"/>
      <c r="J46" s="18"/>
      <c r="K46" s="18"/>
      <c r="L46" s="19"/>
      <c r="M46" s="6"/>
      <c r="N46" s="6" t="s">
        <v>205</v>
      </c>
      <c r="P46" s="85" t="str">
        <f t="shared" si="0"/>
        <v>0</v>
      </c>
      <c r="Q46" s="85">
        <f t="shared" si="1"/>
        <v>1</v>
      </c>
    </row>
    <row r="47" spans="1:17" ht="15" customHeight="1" x14ac:dyDescent="0.25">
      <c r="A47" s="5">
        <f t="shared" si="2"/>
        <v>28</v>
      </c>
      <c r="B47" s="20" t="s">
        <v>31</v>
      </c>
      <c r="C47" s="21"/>
      <c r="D47" s="21"/>
      <c r="E47" s="21"/>
      <c r="F47" s="21"/>
      <c r="G47" s="21"/>
      <c r="H47" s="21"/>
      <c r="I47" s="21"/>
      <c r="J47" s="21"/>
      <c r="K47" s="21"/>
      <c r="L47" s="22"/>
      <c r="M47" s="6"/>
      <c r="N47" s="6" t="s">
        <v>205</v>
      </c>
      <c r="P47" s="85" t="str">
        <f t="shared" si="0"/>
        <v>0</v>
      </c>
      <c r="Q47" s="85">
        <f t="shared" si="1"/>
        <v>1</v>
      </c>
    </row>
    <row r="48" spans="1:17" ht="15" customHeight="1" x14ac:dyDescent="0.25">
      <c r="A48" s="5">
        <f t="shared" si="2"/>
        <v>29</v>
      </c>
      <c r="B48" s="17" t="s">
        <v>32</v>
      </c>
      <c r="C48" s="18"/>
      <c r="D48" s="18"/>
      <c r="E48" s="18"/>
      <c r="F48" s="18"/>
      <c r="G48" s="18"/>
      <c r="H48" s="18"/>
      <c r="I48" s="18"/>
      <c r="J48" s="18"/>
      <c r="K48" s="18"/>
      <c r="L48" s="19"/>
      <c r="M48" s="6"/>
      <c r="N48" s="6" t="s">
        <v>205</v>
      </c>
      <c r="P48" s="85" t="str">
        <f t="shared" si="0"/>
        <v>0</v>
      </c>
      <c r="Q48" s="85">
        <f t="shared" si="1"/>
        <v>1</v>
      </c>
    </row>
    <row r="49" spans="1:17" ht="15" customHeight="1" x14ac:dyDescent="0.25">
      <c r="A49" s="5">
        <f t="shared" si="2"/>
        <v>30</v>
      </c>
      <c r="B49" s="20" t="s">
        <v>33</v>
      </c>
      <c r="C49" s="21"/>
      <c r="D49" s="21"/>
      <c r="E49" s="21"/>
      <c r="F49" s="21"/>
      <c r="G49" s="21"/>
      <c r="H49" s="21"/>
      <c r="I49" s="21"/>
      <c r="J49" s="21"/>
      <c r="K49" s="21"/>
      <c r="L49" s="22"/>
      <c r="M49" s="6"/>
      <c r="N49" s="6" t="s">
        <v>205</v>
      </c>
      <c r="P49" s="85" t="str">
        <f t="shared" si="0"/>
        <v>0</v>
      </c>
      <c r="Q49" s="85">
        <f t="shared" si="1"/>
        <v>1</v>
      </c>
    </row>
    <row r="50" spans="1:17" ht="15" customHeight="1" x14ac:dyDescent="0.25">
      <c r="A50" s="5">
        <f t="shared" si="2"/>
        <v>31</v>
      </c>
      <c r="B50" s="17" t="s">
        <v>34</v>
      </c>
      <c r="C50" s="18"/>
      <c r="D50" s="18"/>
      <c r="E50" s="18"/>
      <c r="F50" s="18"/>
      <c r="G50" s="18"/>
      <c r="H50" s="18"/>
      <c r="I50" s="18"/>
      <c r="J50" s="18"/>
      <c r="K50" s="18"/>
      <c r="L50" s="19"/>
      <c r="M50" s="6"/>
      <c r="N50" s="6" t="s">
        <v>205</v>
      </c>
      <c r="P50" s="85" t="str">
        <f t="shared" si="0"/>
        <v>0</v>
      </c>
      <c r="Q50" s="85">
        <f t="shared" si="1"/>
        <v>1</v>
      </c>
    </row>
    <row r="51" spans="1:17" ht="15" customHeight="1" x14ac:dyDescent="0.25">
      <c r="A51" s="5">
        <f t="shared" si="2"/>
        <v>32</v>
      </c>
      <c r="B51" s="20" t="s">
        <v>35</v>
      </c>
      <c r="C51" s="21"/>
      <c r="D51" s="21"/>
      <c r="E51" s="21"/>
      <c r="F51" s="21"/>
      <c r="G51" s="21"/>
      <c r="H51" s="21"/>
      <c r="I51" s="21"/>
      <c r="J51" s="21"/>
      <c r="K51" s="21"/>
      <c r="L51" s="22"/>
      <c r="M51" s="6"/>
      <c r="N51" s="6" t="s">
        <v>205</v>
      </c>
      <c r="P51" s="85" t="str">
        <f t="shared" si="0"/>
        <v>0</v>
      </c>
      <c r="Q51" s="85">
        <f t="shared" si="1"/>
        <v>1</v>
      </c>
    </row>
    <row r="52" spans="1:17" ht="15" customHeight="1" x14ac:dyDescent="0.25">
      <c r="A52" s="5">
        <f t="shared" si="2"/>
        <v>33</v>
      </c>
      <c r="B52" s="17" t="s">
        <v>155</v>
      </c>
      <c r="C52" s="18"/>
      <c r="D52" s="18"/>
      <c r="E52" s="18"/>
      <c r="F52" s="18"/>
      <c r="G52" s="18"/>
      <c r="H52" s="18"/>
      <c r="I52" s="18"/>
      <c r="J52" s="18"/>
      <c r="K52" s="18"/>
      <c r="L52" s="19"/>
      <c r="M52" s="6"/>
      <c r="N52" s="6" t="s">
        <v>205</v>
      </c>
      <c r="P52" s="85" t="str">
        <f t="shared" si="0"/>
        <v>0</v>
      </c>
      <c r="Q52" s="85">
        <f t="shared" si="1"/>
        <v>1</v>
      </c>
    </row>
    <row r="53" spans="1:17" ht="15" customHeight="1" x14ac:dyDescent="0.25">
      <c r="A53" s="5">
        <f t="shared" si="2"/>
        <v>34</v>
      </c>
      <c r="B53" s="20" t="s">
        <v>36</v>
      </c>
      <c r="C53" s="21"/>
      <c r="D53" s="21"/>
      <c r="E53" s="21"/>
      <c r="F53" s="21"/>
      <c r="G53" s="21"/>
      <c r="H53" s="21"/>
      <c r="I53" s="21"/>
      <c r="J53" s="21"/>
      <c r="K53" s="21"/>
      <c r="L53" s="22"/>
      <c r="M53" s="6"/>
      <c r="N53" s="6" t="s">
        <v>205</v>
      </c>
      <c r="P53" s="85" t="str">
        <f t="shared" si="0"/>
        <v>0</v>
      </c>
      <c r="Q53" s="85">
        <f t="shared" si="1"/>
        <v>1</v>
      </c>
    </row>
    <row r="54" spans="1:17" ht="15" customHeight="1" x14ac:dyDescent="0.25">
      <c r="A54" s="5">
        <f t="shared" si="2"/>
        <v>35</v>
      </c>
      <c r="B54" s="17" t="s">
        <v>37</v>
      </c>
      <c r="C54" s="18"/>
      <c r="D54" s="18"/>
      <c r="E54" s="18"/>
      <c r="F54" s="18"/>
      <c r="G54" s="18"/>
      <c r="H54" s="18"/>
      <c r="I54" s="18"/>
      <c r="J54" s="18"/>
      <c r="K54" s="18"/>
      <c r="L54" s="19"/>
      <c r="M54" s="6"/>
      <c r="N54" s="6" t="s">
        <v>205</v>
      </c>
      <c r="P54" s="85" t="str">
        <f t="shared" si="0"/>
        <v>0</v>
      </c>
      <c r="Q54" s="85">
        <f t="shared" si="1"/>
        <v>1</v>
      </c>
    </row>
    <row r="55" spans="1:17" ht="15" customHeight="1" x14ac:dyDescent="0.25">
      <c r="A55" s="5">
        <f t="shared" si="2"/>
        <v>36</v>
      </c>
      <c r="B55" s="20" t="s">
        <v>38</v>
      </c>
      <c r="C55" s="21"/>
      <c r="D55" s="21"/>
      <c r="E55" s="21"/>
      <c r="F55" s="21"/>
      <c r="G55" s="21"/>
      <c r="H55" s="21"/>
      <c r="I55" s="21"/>
      <c r="J55" s="21"/>
      <c r="K55" s="21"/>
      <c r="L55" s="22"/>
      <c r="M55" s="6"/>
      <c r="N55" s="6" t="s">
        <v>205</v>
      </c>
      <c r="P55" s="85" t="str">
        <f t="shared" si="0"/>
        <v>0</v>
      </c>
      <c r="Q55" s="85">
        <f t="shared" si="1"/>
        <v>1</v>
      </c>
    </row>
    <row r="56" spans="1:17" ht="15" customHeight="1" x14ac:dyDescent="0.25">
      <c r="A56" s="5">
        <f t="shared" si="2"/>
        <v>37</v>
      </c>
      <c r="B56" s="17" t="s">
        <v>39</v>
      </c>
      <c r="C56" s="18"/>
      <c r="D56" s="18"/>
      <c r="E56" s="18"/>
      <c r="F56" s="18"/>
      <c r="G56" s="18"/>
      <c r="H56" s="18"/>
      <c r="I56" s="18"/>
      <c r="J56" s="18"/>
      <c r="K56" s="18"/>
      <c r="L56" s="19"/>
      <c r="M56" s="6"/>
      <c r="N56" s="6" t="s">
        <v>205</v>
      </c>
      <c r="P56" s="85" t="str">
        <f t="shared" si="0"/>
        <v>0</v>
      </c>
      <c r="Q56" s="85">
        <f t="shared" si="1"/>
        <v>1</v>
      </c>
    </row>
    <row r="57" spans="1:17" ht="15" customHeight="1" x14ac:dyDescent="0.25">
      <c r="A57" s="5">
        <f t="shared" si="2"/>
        <v>38</v>
      </c>
      <c r="B57" s="20" t="s">
        <v>40</v>
      </c>
      <c r="C57" s="21"/>
      <c r="D57" s="21"/>
      <c r="E57" s="21"/>
      <c r="F57" s="21"/>
      <c r="G57" s="21"/>
      <c r="H57" s="21"/>
      <c r="I57" s="21"/>
      <c r="J57" s="21"/>
      <c r="K57" s="21"/>
      <c r="L57" s="22"/>
      <c r="M57" s="6"/>
      <c r="N57" s="6" t="s">
        <v>205</v>
      </c>
      <c r="P57" s="85" t="str">
        <f t="shared" si="0"/>
        <v>0</v>
      </c>
      <c r="Q57" s="85">
        <f t="shared" si="1"/>
        <v>1</v>
      </c>
    </row>
    <row r="58" spans="1:17" ht="15" customHeight="1" x14ac:dyDescent="0.25">
      <c r="A58" s="5">
        <f t="shared" si="2"/>
        <v>39</v>
      </c>
      <c r="B58" s="17" t="s">
        <v>41</v>
      </c>
      <c r="C58" s="18"/>
      <c r="D58" s="18"/>
      <c r="E58" s="18"/>
      <c r="F58" s="18"/>
      <c r="G58" s="18"/>
      <c r="H58" s="18"/>
      <c r="I58" s="18"/>
      <c r="J58" s="18"/>
      <c r="K58" s="18"/>
      <c r="L58" s="19"/>
      <c r="M58" s="6"/>
      <c r="N58" s="6" t="s">
        <v>205</v>
      </c>
      <c r="P58" s="85" t="str">
        <f t="shared" si="0"/>
        <v>0</v>
      </c>
      <c r="Q58" s="85">
        <f t="shared" si="1"/>
        <v>1</v>
      </c>
    </row>
    <row r="59" spans="1:17" ht="15" customHeight="1" x14ac:dyDescent="0.25">
      <c r="A59" s="5">
        <f t="shared" si="2"/>
        <v>40</v>
      </c>
      <c r="B59" s="20" t="s">
        <v>42</v>
      </c>
      <c r="C59" s="21"/>
      <c r="D59" s="21"/>
      <c r="E59" s="21"/>
      <c r="F59" s="21"/>
      <c r="G59" s="21"/>
      <c r="H59" s="21"/>
      <c r="I59" s="21"/>
      <c r="J59" s="21"/>
      <c r="K59" s="21"/>
      <c r="L59" s="22"/>
      <c r="M59" s="6"/>
      <c r="N59" s="6" t="s">
        <v>205</v>
      </c>
      <c r="P59" s="85" t="str">
        <f t="shared" si="0"/>
        <v>0</v>
      </c>
      <c r="Q59" s="85">
        <f t="shared" si="1"/>
        <v>1</v>
      </c>
    </row>
    <row r="60" spans="1:17" ht="15" customHeight="1" x14ac:dyDescent="0.25">
      <c r="A60" s="5">
        <f t="shared" si="2"/>
        <v>41</v>
      </c>
      <c r="B60" s="17" t="s">
        <v>43</v>
      </c>
      <c r="C60" s="18"/>
      <c r="D60" s="18"/>
      <c r="E60" s="18"/>
      <c r="F60" s="18"/>
      <c r="G60" s="18"/>
      <c r="H60" s="18"/>
      <c r="I60" s="18"/>
      <c r="J60" s="18"/>
      <c r="K60" s="18"/>
      <c r="L60" s="19"/>
      <c r="M60" s="6"/>
      <c r="N60" s="6" t="s">
        <v>205</v>
      </c>
      <c r="P60" s="85" t="str">
        <f t="shared" si="0"/>
        <v>0</v>
      </c>
      <c r="Q60" s="85">
        <f t="shared" si="1"/>
        <v>1</v>
      </c>
    </row>
    <row r="61" spans="1:17" ht="15" customHeight="1" x14ac:dyDescent="0.25">
      <c r="A61" s="5">
        <f t="shared" si="2"/>
        <v>42</v>
      </c>
      <c r="B61" s="20" t="s">
        <v>44</v>
      </c>
      <c r="C61" s="21"/>
      <c r="D61" s="21"/>
      <c r="E61" s="21"/>
      <c r="F61" s="21"/>
      <c r="G61" s="21"/>
      <c r="H61" s="21"/>
      <c r="I61" s="21"/>
      <c r="J61" s="21"/>
      <c r="K61" s="21"/>
      <c r="L61" s="22"/>
      <c r="M61" s="6"/>
      <c r="N61" s="6" t="s">
        <v>205</v>
      </c>
      <c r="P61" s="85" t="str">
        <f t="shared" si="0"/>
        <v>0</v>
      </c>
      <c r="Q61" s="85">
        <f t="shared" si="1"/>
        <v>1</v>
      </c>
    </row>
    <row r="62" spans="1:17" ht="15" customHeight="1" x14ac:dyDescent="0.25">
      <c r="A62" s="5">
        <f t="shared" si="2"/>
        <v>43</v>
      </c>
      <c r="B62" s="17" t="s">
        <v>45</v>
      </c>
      <c r="C62" s="18"/>
      <c r="D62" s="18"/>
      <c r="E62" s="18"/>
      <c r="F62" s="18"/>
      <c r="G62" s="18"/>
      <c r="H62" s="18"/>
      <c r="I62" s="18"/>
      <c r="J62" s="18"/>
      <c r="K62" s="18"/>
      <c r="L62" s="19"/>
      <c r="M62" s="6"/>
      <c r="N62" s="6" t="s">
        <v>205</v>
      </c>
      <c r="P62" s="85" t="str">
        <f t="shared" si="0"/>
        <v>0</v>
      </c>
      <c r="Q62" s="85">
        <f t="shared" si="1"/>
        <v>1</v>
      </c>
    </row>
    <row r="63" spans="1:17" ht="15" customHeight="1" x14ac:dyDescent="0.25">
      <c r="A63" s="5">
        <f t="shared" si="2"/>
        <v>44</v>
      </c>
      <c r="B63" s="20" t="s">
        <v>46</v>
      </c>
      <c r="C63" s="21"/>
      <c r="D63" s="21"/>
      <c r="E63" s="21"/>
      <c r="F63" s="21"/>
      <c r="G63" s="21"/>
      <c r="H63" s="21"/>
      <c r="I63" s="21"/>
      <c r="J63" s="21"/>
      <c r="K63" s="21"/>
      <c r="L63" s="22"/>
      <c r="M63" s="6"/>
      <c r="N63" s="6" t="s">
        <v>205</v>
      </c>
      <c r="P63" s="85" t="str">
        <f t="shared" si="0"/>
        <v>0</v>
      </c>
      <c r="Q63" s="85">
        <f t="shared" si="1"/>
        <v>1</v>
      </c>
    </row>
    <row r="64" spans="1:17" ht="15" customHeight="1" x14ac:dyDescent="0.25">
      <c r="A64" s="5">
        <f t="shared" si="2"/>
        <v>45</v>
      </c>
      <c r="B64" s="17" t="s">
        <v>47</v>
      </c>
      <c r="C64" s="18"/>
      <c r="D64" s="18"/>
      <c r="E64" s="18"/>
      <c r="F64" s="18"/>
      <c r="G64" s="18"/>
      <c r="H64" s="18"/>
      <c r="I64" s="18"/>
      <c r="J64" s="18"/>
      <c r="K64" s="18"/>
      <c r="L64" s="19"/>
      <c r="M64" s="6"/>
      <c r="N64" s="6" t="s">
        <v>205</v>
      </c>
      <c r="P64" s="85" t="str">
        <f t="shared" si="0"/>
        <v>0</v>
      </c>
      <c r="Q64" s="85">
        <f t="shared" si="1"/>
        <v>1</v>
      </c>
    </row>
    <row r="65" spans="1:17" ht="15" customHeight="1" x14ac:dyDescent="0.25">
      <c r="A65" s="5">
        <f t="shared" si="2"/>
        <v>46</v>
      </c>
      <c r="B65" s="20" t="s">
        <v>48</v>
      </c>
      <c r="C65" s="21"/>
      <c r="D65" s="21"/>
      <c r="E65" s="21"/>
      <c r="F65" s="21"/>
      <c r="G65" s="21"/>
      <c r="H65" s="21"/>
      <c r="I65" s="21"/>
      <c r="J65" s="21"/>
      <c r="K65" s="21"/>
      <c r="L65" s="22"/>
      <c r="M65" s="6"/>
      <c r="N65" s="6" t="s">
        <v>205</v>
      </c>
      <c r="P65" s="85" t="str">
        <f t="shared" si="0"/>
        <v>0</v>
      </c>
      <c r="Q65" s="85">
        <f t="shared" si="1"/>
        <v>1</v>
      </c>
    </row>
    <row r="66" spans="1:17" ht="15" customHeight="1" x14ac:dyDescent="0.25">
      <c r="A66" s="5">
        <f t="shared" si="2"/>
        <v>47</v>
      </c>
      <c r="B66" s="17" t="s">
        <v>49</v>
      </c>
      <c r="C66" s="18"/>
      <c r="D66" s="18"/>
      <c r="E66" s="18"/>
      <c r="F66" s="18"/>
      <c r="G66" s="18"/>
      <c r="H66" s="18"/>
      <c r="I66" s="18"/>
      <c r="J66" s="18"/>
      <c r="K66" s="18"/>
      <c r="L66" s="19"/>
      <c r="M66" s="6"/>
      <c r="N66" s="6" t="s">
        <v>205</v>
      </c>
      <c r="P66" s="85" t="str">
        <f t="shared" si="0"/>
        <v>0</v>
      </c>
      <c r="Q66" s="85">
        <f t="shared" si="1"/>
        <v>1</v>
      </c>
    </row>
    <row r="67" spans="1:17" ht="15" customHeight="1" x14ac:dyDescent="0.25">
      <c r="A67" s="5">
        <f t="shared" si="2"/>
        <v>48</v>
      </c>
      <c r="B67" s="20" t="s">
        <v>50</v>
      </c>
      <c r="C67" s="21"/>
      <c r="D67" s="21"/>
      <c r="E67" s="21"/>
      <c r="F67" s="21"/>
      <c r="G67" s="21"/>
      <c r="H67" s="21"/>
      <c r="I67" s="21"/>
      <c r="J67" s="21"/>
      <c r="K67" s="21"/>
      <c r="L67" s="22"/>
      <c r="M67" s="6"/>
      <c r="N67" s="6" t="s">
        <v>205</v>
      </c>
      <c r="P67" s="85" t="str">
        <f t="shared" si="0"/>
        <v>0</v>
      </c>
      <c r="Q67" s="85">
        <f t="shared" si="1"/>
        <v>1</v>
      </c>
    </row>
    <row r="68" spans="1:17" ht="15" customHeight="1" x14ac:dyDescent="0.25">
      <c r="A68" s="5">
        <f t="shared" si="2"/>
        <v>49</v>
      </c>
      <c r="B68" s="17" t="s">
        <v>51</v>
      </c>
      <c r="C68" s="18"/>
      <c r="D68" s="18"/>
      <c r="E68" s="18"/>
      <c r="F68" s="18"/>
      <c r="G68" s="18"/>
      <c r="H68" s="18"/>
      <c r="I68" s="18"/>
      <c r="J68" s="18"/>
      <c r="K68" s="18"/>
      <c r="L68" s="19"/>
      <c r="M68" s="6"/>
      <c r="N68" s="6" t="s">
        <v>205</v>
      </c>
      <c r="P68" s="85" t="str">
        <f t="shared" si="0"/>
        <v>0</v>
      </c>
      <c r="Q68" s="85">
        <f t="shared" si="1"/>
        <v>1</v>
      </c>
    </row>
    <row r="69" spans="1:17" ht="15" customHeight="1" x14ac:dyDescent="0.25">
      <c r="A69" s="5">
        <f t="shared" si="2"/>
        <v>50</v>
      </c>
      <c r="B69" s="20" t="s">
        <v>52</v>
      </c>
      <c r="C69" s="21"/>
      <c r="D69" s="21"/>
      <c r="E69" s="21"/>
      <c r="F69" s="21"/>
      <c r="G69" s="21"/>
      <c r="H69" s="21"/>
      <c r="I69" s="21"/>
      <c r="J69" s="21"/>
      <c r="K69" s="21"/>
      <c r="L69" s="22"/>
      <c r="M69" s="6"/>
      <c r="N69" s="6" t="s">
        <v>205</v>
      </c>
      <c r="P69" s="85" t="str">
        <f t="shared" si="0"/>
        <v>0</v>
      </c>
      <c r="Q69" s="85">
        <f t="shared" si="1"/>
        <v>1</v>
      </c>
    </row>
    <row r="70" spans="1:17" ht="15" customHeight="1" x14ac:dyDescent="0.25">
      <c r="A70" s="5">
        <f t="shared" si="2"/>
        <v>51</v>
      </c>
      <c r="B70" s="17" t="s">
        <v>53</v>
      </c>
      <c r="C70" s="18"/>
      <c r="D70" s="18"/>
      <c r="E70" s="18"/>
      <c r="F70" s="18"/>
      <c r="G70" s="18"/>
      <c r="H70" s="18"/>
      <c r="I70" s="18"/>
      <c r="J70" s="18"/>
      <c r="K70" s="18"/>
      <c r="L70" s="19"/>
      <c r="M70" s="6"/>
      <c r="N70" s="6" t="s">
        <v>205</v>
      </c>
      <c r="P70" s="85" t="str">
        <f t="shared" si="0"/>
        <v>0</v>
      </c>
      <c r="Q70" s="85">
        <f t="shared" si="1"/>
        <v>1</v>
      </c>
    </row>
    <row r="71" spans="1:17" ht="15" customHeight="1" x14ac:dyDescent="0.25">
      <c r="A71" s="5">
        <f t="shared" si="2"/>
        <v>52</v>
      </c>
      <c r="B71" s="20" t="s">
        <v>54</v>
      </c>
      <c r="C71" s="21"/>
      <c r="D71" s="21"/>
      <c r="E71" s="21"/>
      <c r="F71" s="21"/>
      <c r="G71" s="21"/>
      <c r="H71" s="21"/>
      <c r="I71" s="21"/>
      <c r="J71" s="21"/>
      <c r="K71" s="21"/>
      <c r="L71" s="22"/>
      <c r="M71" s="6"/>
      <c r="N71" s="6" t="s">
        <v>205</v>
      </c>
      <c r="P71" s="85" t="str">
        <f t="shared" si="0"/>
        <v>0</v>
      </c>
      <c r="Q71" s="85">
        <f t="shared" si="1"/>
        <v>1</v>
      </c>
    </row>
    <row r="72" spans="1:17" ht="15" customHeight="1" x14ac:dyDescent="0.25">
      <c r="A72" s="5">
        <f t="shared" si="2"/>
        <v>53</v>
      </c>
      <c r="B72" s="17" t="s">
        <v>55</v>
      </c>
      <c r="C72" s="18"/>
      <c r="D72" s="18"/>
      <c r="E72" s="18"/>
      <c r="F72" s="18"/>
      <c r="G72" s="18"/>
      <c r="H72" s="18"/>
      <c r="I72" s="18"/>
      <c r="J72" s="18"/>
      <c r="K72" s="18"/>
      <c r="L72" s="19"/>
      <c r="M72" s="6"/>
      <c r="N72" s="6" t="s">
        <v>205</v>
      </c>
      <c r="P72" s="85" t="str">
        <f t="shared" si="0"/>
        <v>0</v>
      </c>
      <c r="Q72" s="85">
        <f t="shared" si="1"/>
        <v>1</v>
      </c>
    </row>
    <row r="73" spans="1:17" ht="15" customHeight="1" x14ac:dyDescent="0.25">
      <c r="A73" s="5">
        <f t="shared" si="2"/>
        <v>54</v>
      </c>
      <c r="B73" s="20" t="s">
        <v>56</v>
      </c>
      <c r="C73" s="21"/>
      <c r="D73" s="21"/>
      <c r="E73" s="21"/>
      <c r="F73" s="21"/>
      <c r="G73" s="21"/>
      <c r="H73" s="21"/>
      <c r="I73" s="21"/>
      <c r="J73" s="21"/>
      <c r="K73" s="21"/>
      <c r="L73" s="22"/>
      <c r="M73" s="6"/>
      <c r="N73" s="6" t="s">
        <v>205</v>
      </c>
      <c r="P73" s="85" t="str">
        <f t="shared" si="0"/>
        <v>0</v>
      </c>
      <c r="Q73" s="85">
        <f t="shared" si="1"/>
        <v>1</v>
      </c>
    </row>
    <row r="74" spans="1:17" ht="15" customHeight="1" x14ac:dyDescent="0.25">
      <c r="A74" s="5">
        <f t="shared" si="2"/>
        <v>55</v>
      </c>
      <c r="B74" s="17" t="s">
        <v>57</v>
      </c>
      <c r="C74" s="18"/>
      <c r="D74" s="18"/>
      <c r="E74" s="18"/>
      <c r="F74" s="18"/>
      <c r="G74" s="18"/>
      <c r="H74" s="18"/>
      <c r="I74" s="18"/>
      <c r="J74" s="18"/>
      <c r="K74" s="18"/>
      <c r="L74" s="19"/>
      <c r="M74" s="6"/>
      <c r="N74" s="6" t="s">
        <v>205</v>
      </c>
      <c r="P74" s="85" t="str">
        <f t="shared" si="0"/>
        <v>0</v>
      </c>
      <c r="Q74" s="85">
        <f t="shared" si="1"/>
        <v>1</v>
      </c>
    </row>
    <row r="75" spans="1:17" ht="15" customHeight="1" x14ac:dyDescent="0.25">
      <c r="A75" s="5">
        <f t="shared" si="2"/>
        <v>56</v>
      </c>
      <c r="B75" s="20" t="s">
        <v>58</v>
      </c>
      <c r="C75" s="21"/>
      <c r="D75" s="21"/>
      <c r="E75" s="21"/>
      <c r="F75" s="21"/>
      <c r="G75" s="21"/>
      <c r="H75" s="21"/>
      <c r="I75" s="21"/>
      <c r="J75" s="21"/>
      <c r="K75" s="21"/>
      <c r="L75" s="22"/>
      <c r="M75" s="6"/>
      <c r="N75" s="6" t="s">
        <v>205</v>
      </c>
      <c r="P75" s="85" t="str">
        <f t="shared" si="0"/>
        <v>0</v>
      </c>
      <c r="Q75" s="85">
        <f t="shared" si="1"/>
        <v>1</v>
      </c>
    </row>
    <row r="76" spans="1:17" ht="15" customHeight="1" x14ac:dyDescent="0.25">
      <c r="A76" s="5">
        <f t="shared" si="2"/>
        <v>57</v>
      </c>
      <c r="B76" s="17" t="s">
        <v>59</v>
      </c>
      <c r="C76" s="18"/>
      <c r="D76" s="18"/>
      <c r="E76" s="18"/>
      <c r="F76" s="18"/>
      <c r="G76" s="18"/>
      <c r="H76" s="18"/>
      <c r="I76" s="18"/>
      <c r="J76" s="18"/>
      <c r="K76" s="18"/>
      <c r="L76" s="19"/>
      <c r="M76" s="6"/>
      <c r="N76" s="6" t="s">
        <v>205</v>
      </c>
      <c r="P76" s="85" t="str">
        <f t="shared" si="0"/>
        <v>0</v>
      </c>
      <c r="Q76" s="85">
        <f t="shared" si="1"/>
        <v>1</v>
      </c>
    </row>
    <row r="77" spans="1:17" ht="15" customHeight="1" x14ac:dyDescent="0.25">
      <c r="A77" s="5">
        <f t="shared" si="2"/>
        <v>58</v>
      </c>
      <c r="B77" s="20" t="s">
        <v>60</v>
      </c>
      <c r="C77" s="21"/>
      <c r="D77" s="21"/>
      <c r="E77" s="21"/>
      <c r="F77" s="21"/>
      <c r="G77" s="21"/>
      <c r="H77" s="21"/>
      <c r="I77" s="21"/>
      <c r="J77" s="21"/>
      <c r="K77" s="21"/>
      <c r="L77" s="22"/>
      <c r="M77" s="6"/>
      <c r="N77" s="6" t="s">
        <v>205</v>
      </c>
      <c r="P77" s="85" t="str">
        <f t="shared" si="0"/>
        <v>0</v>
      </c>
      <c r="Q77" s="85">
        <f t="shared" si="1"/>
        <v>1</v>
      </c>
    </row>
    <row r="78" spans="1:17" ht="15" customHeight="1" x14ac:dyDescent="0.25">
      <c r="A78" s="5">
        <f t="shared" si="2"/>
        <v>59</v>
      </c>
      <c r="B78" s="17" t="s">
        <v>61</v>
      </c>
      <c r="C78" s="18"/>
      <c r="D78" s="18"/>
      <c r="E78" s="18"/>
      <c r="F78" s="18"/>
      <c r="G78" s="18"/>
      <c r="H78" s="18"/>
      <c r="I78" s="18"/>
      <c r="J78" s="18"/>
      <c r="K78" s="18"/>
      <c r="L78" s="19"/>
      <c r="M78" s="6"/>
      <c r="N78" s="6" t="s">
        <v>205</v>
      </c>
      <c r="P78" s="85" t="str">
        <f t="shared" si="0"/>
        <v>0</v>
      </c>
      <c r="Q78" s="85">
        <f t="shared" si="1"/>
        <v>1</v>
      </c>
    </row>
    <row r="79" spans="1:17" ht="15" customHeight="1" x14ac:dyDescent="0.25">
      <c r="A79" s="5">
        <f t="shared" si="2"/>
        <v>60</v>
      </c>
      <c r="B79" s="20" t="s">
        <v>62</v>
      </c>
      <c r="C79" s="21"/>
      <c r="D79" s="21"/>
      <c r="E79" s="21"/>
      <c r="F79" s="21"/>
      <c r="G79" s="21"/>
      <c r="H79" s="21"/>
      <c r="I79" s="21"/>
      <c r="J79" s="21"/>
      <c r="K79" s="21"/>
      <c r="L79" s="22"/>
      <c r="M79" s="6"/>
      <c r="N79" s="6" t="s">
        <v>205</v>
      </c>
      <c r="P79" s="85" t="str">
        <f t="shared" si="0"/>
        <v>0</v>
      </c>
      <c r="Q79" s="85">
        <f t="shared" si="1"/>
        <v>1</v>
      </c>
    </row>
    <row r="80" spans="1:17" ht="15" customHeight="1" x14ac:dyDescent="0.25">
      <c r="A80" s="5">
        <f t="shared" si="2"/>
        <v>61</v>
      </c>
      <c r="B80" s="17" t="s">
        <v>63</v>
      </c>
      <c r="C80" s="18"/>
      <c r="D80" s="18"/>
      <c r="E80" s="18"/>
      <c r="F80" s="18"/>
      <c r="G80" s="18"/>
      <c r="H80" s="18"/>
      <c r="I80" s="18"/>
      <c r="J80" s="18"/>
      <c r="K80" s="18"/>
      <c r="L80" s="19"/>
      <c r="M80" s="6"/>
      <c r="N80" s="6" t="s">
        <v>205</v>
      </c>
      <c r="P80" s="85" t="str">
        <f t="shared" si="0"/>
        <v>0</v>
      </c>
      <c r="Q80" s="85">
        <f t="shared" si="1"/>
        <v>1</v>
      </c>
    </row>
    <row r="81" spans="1:17" ht="15" customHeight="1" x14ac:dyDescent="0.25">
      <c r="A81" s="5">
        <f t="shared" si="2"/>
        <v>62</v>
      </c>
      <c r="B81" s="20" t="s">
        <v>64</v>
      </c>
      <c r="C81" s="21"/>
      <c r="D81" s="21"/>
      <c r="E81" s="21"/>
      <c r="F81" s="21"/>
      <c r="G81" s="21"/>
      <c r="H81" s="21"/>
      <c r="I81" s="21"/>
      <c r="J81" s="21"/>
      <c r="K81" s="21"/>
      <c r="L81" s="22"/>
      <c r="M81" s="6"/>
      <c r="N81" s="6" t="s">
        <v>205</v>
      </c>
      <c r="P81" s="85" t="str">
        <f t="shared" si="0"/>
        <v>0</v>
      </c>
      <c r="Q81" s="85">
        <f t="shared" si="1"/>
        <v>1</v>
      </c>
    </row>
    <row r="82" spans="1:17" ht="15" customHeight="1" x14ac:dyDescent="0.25">
      <c r="A82" s="5">
        <f t="shared" si="2"/>
        <v>63</v>
      </c>
      <c r="B82" s="17" t="s">
        <v>65</v>
      </c>
      <c r="C82" s="18"/>
      <c r="D82" s="18"/>
      <c r="E82" s="18"/>
      <c r="F82" s="18"/>
      <c r="G82" s="18"/>
      <c r="H82" s="18"/>
      <c r="I82" s="18"/>
      <c r="J82" s="18"/>
      <c r="K82" s="18"/>
      <c r="L82" s="19"/>
      <c r="M82" s="6"/>
      <c r="N82" s="6" t="s">
        <v>205</v>
      </c>
      <c r="P82" s="85" t="str">
        <f t="shared" si="0"/>
        <v>0</v>
      </c>
      <c r="Q82" s="85">
        <f t="shared" si="1"/>
        <v>1</v>
      </c>
    </row>
    <row r="83" spans="1:17" ht="15" customHeight="1" x14ac:dyDescent="0.25">
      <c r="A83" s="5">
        <f t="shared" si="2"/>
        <v>64</v>
      </c>
      <c r="B83" s="20" t="s">
        <v>66</v>
      </c>
      <c r="C83" s="21"/>
      <c r="D83" s="21"/>
      <c r="E83" s="21"/>
      <c r="F83" s="21"/>
      <c r="G83" s="21"/>
      <c r="H83" s="21"/>
      <c r="I83" s="21"/>
      <c r="J83" s="21"/>
      <c r="K83" s="21"/>
      <c r="L83" s="22"/>
      <c r="M83" s="6"/>
      <c r="N83" s="6" t="s">
        <v>205</v>
      </c>
      <c r="P83" s="85" t="str">
        <f t="shared" si="0"/>
        <v>0</v>
      </c>
      <c r="Q83" s="85">
        <f t="shared" si="1"/>
        <v>1</v>
      </c>
    </row>
    <row r="84" spans="1:17" ht="15" customHeight="1" x14ac:dyDescent="0.25">
      <c r="A84" s="5">
        <f t="shared" si="2"/>
        <v>65</v>
      </c>
      <c r="B84" s="17" t="s">
        <v>67</v>
      </c>
      <c r="C84" s="18"/>
      <c r="D84" s="18"/>
      <c r="E84" s="18"/>
      <c r="F84" s="18"/>
      <c r="G84" s="18"/>
      <c r="H84" s="18"/>
      <c r="I84" s="18"/>
      <c r="J84" s="18"/>
      <c r="K84" s="18"/>
      <c r="L84" s="19"/>
      <c r="M84" s="6"/>
      <c r="N84" s="6" t="s">
        <v>205</v>
      </c>
      <c r="P84" s="85" t="str">
        <f t="shared" si="0"/>
        <v>0</v>
      </c>
      <c r="Q84" s="85">
        <f t="shared" si="1"/>
        <v>1</v>
      </c>
    </row>
    <row r="85" spans="1:17" ht="15" customHeight="1" x14ac:dyDescent="0.25">
      <c r="A85" s="5">
        <f t="shared" si="2"/>
        <v>66</v>
      </c>
      <c r="B85" s="20" t="s">
        <v>68</v>
      </c>
      <c r="C85" s="21"/>
      <c r="D85" s="21"/>
      <c r="E85" s="21"/>
      <c r="F85" s="21"/>
      <c r="G85" s="21"/>
      <c r="H85" s="21"/>
      <c r="I85" s="21"/>
      <c r="J85" s="21"/>
      <c r="K85" s="21"/>
      <c r="L85" s="22"/>
      <c r="M85" s="6"/>
      <c r="N85" s="6" t="s">
        <v>205</v>
      </c>
      <c r="P85" s="85" t="str">
        <f t="shared" ref="P85:P148" si="3">IF(M85="X",1,"0")</f>
        <v>0</v>
      </c>
      <c r="Q85" s="85">
        <f t="shared" ref="Q85:Q148" si="4">IF(N85="X",1,"0")</f>
        <v>1</v>
      </c>
    </row>
    <row r="86" spans="1:17" ht="15" customHeight="1" x14ac:dyDescent="0.25">
      <c r="A86" s="5">
        <f t="shared" ref="A86:A149" si="5">A85+1</f>
        <v>67</v>
      </c>
      <c r="B86" s="17" t="s">
        <v>69</v>
      </c>
      <c r="C86" s="18"/>
      <c r="D86" s="18"/>
      <c r="E86" s="18"/>
      <c r="F86" s="18"/>
      <c r="G86" s="18"/>
      <c r="H86" s="18"/>
      <c r="I86" s="18"/>
      <c r="J86" s="18"/>
      <c r="K86" s="18"/>
      <c r="L86" s="19"/>
      <c r="M86" s="6"/>
      <c r="N86" s="6" t="s">
        <v>205</v>
      </c>
      <c r="P86" s="85" t="str">
        <f t="shared" si="3"/>
        <v>0</v>
      </c>
      <c r="Q86" s="85">
        <f t="shared" si="4"/>
        <v>1</v>
      </c>
    </row>
    <row r="87" spans="1:17" ht="15" customHeight="1" x14ac:dyDescent="0.25">
      <c r="A87" s="5">
        <f t="shared" si="5"/>
        <v>68</v>
      </c>
      <c r="B87" s="20" t="s">
        <v>70</v>
      </c>
      <c r="C87" s="21"/>
      <c r="D87" s="21"/>
      <c r="E87" s="21"/>
      <c r="F87" s="21"/>
      <c r="G87" s="21"/>
      <c r="H87" s="21"/>
      <c r="I87" s="21"/>
      <c r="J87" s="21"/>
      <c r="K87" s="21"/>
      <c r="L87" s="22"/>
      <c r="M87" s="6"/>
      <c r="N87" s="6" t="s">
        <v>205</v>
      </c>
      <c r="P87" s="85" t="str">
        <f t="shared" si="3"/>
        <v>0</v>
      </c>
      <c r="Q87" s="85">
        <f t="shared" si="4"/>
        <v>1</v>
      </c>
    </row>
    <row r="88" spans="1:17" ht="15" customHeight="1" x14ac:dyDescent="0.25">
      <c r="A88" s="5">
        <f t="shared" si="5"/>
        <v>69</v>
      </c>
      <c r="B88" s="17" t="s">
        <v>71</v>
      </c>
      <c r="C88" s="18"/>
      <c r="D88" s="18"/>
      <c r="E88" s="18"/>
      <c r="F88" s="18"/>
      <c r="G88" s="18"/>
      <c r="H88" s="18"/>
      <c r="I88" s="18"/>
      <c r="J88" s="18"/>
      <c r="K88" s="18"/>
      <c r="L88" s="19"/>
      <c r="M88" s="6"/>
      <c r="N88" s="6" t="s">
        <v>205</v>
      </c>
      <c r="P88" s="85" t="str">
        <f t="shared" si="3"/>
        <v>0</v>
      </c>
      <c r="Q88" s="85">
        <f t="shared" si="4"/>
        <v>1</v>
      </c>
    </row>
    <row r="89" spans="1:17" ht="15" customHeight="1" x14ac:dyDescent="0.25">
      <c r="A89" s="5">
        <f t="shared" si="5"/>
        <v>70</v>
      </c>
      <c r="B89" s="20" t="s">
        <v>72</v>
      </c>
      <c r="C89" s="21"/>
      <c r="D89" s="21"/>
      <c r="E89" s="21"/>
      <c r="F89" s="21"/>
      <c r="G89" s="21"/>
      <c r="H89" s="21"/>
      <c r="I89" s="21"/>
      <c r="J89" s="21"/>
      <c r="K89" s="21"/>
      <c r="L89" s="22"/>
      <c r="M89" s="6"/>
      <c r="N89" s="6" t="s">
        <v>205</v>
      </c>
      <c r="P89" s="85" t="str">
        <f t="shared" si="3"/>
        <v>0</v>
      </c>
      <c r="Q89" s="85">
        <f t="shared" si="4"/>
        <v>1</v>
      </c>
    </row>
    <row r="90" spans="1:17" ht="15" customHeight="1" x14ac:dyDescent="0.25">
      <c r="A90" s="5">
        <f t="shared" si="5"/>
        <v>71</v>
      </c>
      <c r="B90" s="17" t="s">
        <v>73</v>
      </c>
      <c r="C90" s="18"/>
      <c r="D90" s="18"/>
      <c r="E90" s="18"/>
      <c r="F90" s="18"/>
      <c r="G90" s="18"/>
      <c r="H90" s="18"/>
      <c r="I90" s="18"/>
      <c r="J90" s="18"/>
      <c r="K90" s="18"/>
      <c r="L90" s="19"/>
      <c r="M90" s="6"/>
      <c r="N90" s="6" t="s">
        <v>205</v>
      </c>
      <c r="P90" s="85" t="str">
        <f t="shared" si="3"/>
        <v>0</v>
      </c>
      <c r="Q90" s="85">
        <f t="shared" si="4"/>
        <v>1</v>
      </c>
    </row>
    <row r="91" spans="1:17" ht="15" customHeight="1" x14ac:dyDescent="0.25">
      <c r="A91" s="5">
        <f t="shared" si="5"/>
        <v>72</v>
      </c>
      <c r="B91" s="20" t="s">
        <v>74</v>
      </c>
      <c r="C91" s="21"/>
      <c r="D91" s="21"/>
      <c r="E91" s="21"/>
      <c r="F91" s="21"/>
      <c r="G91" s="21"/>
      <c r="H91" s="21"/>
      <c r="I91" s="21"/>
      <c r="J91" s="21"/>
      <c r="K91" s="21"/>
      <c r="L91" s="22"/>
      <c r="M91" s="6"/>
      <c r="N91" s="6" t="s">
        <v>205</v>
      </c>
      <c r="P91" s="85" t="str">
        <f t="shared" si="3"/>
        <v>0</v>
      </c>
      <c r="Q91" s="85">
        <f t="shared" si="4"/>
        <v>1</v>
      </c>
    </row>
    <row r="92" spans="1:17" ht="15" customHeight="1" x14ac:dyDescent="0.25">
      <c r="A92" s="5">
        <f t="shared" si="5"/>
        <v>73</v>
      </c>
      <c r="B92" s="17" t="s">
        <v>75</v>
      </c>
      <c r="C92" s="18"/>
      <c r="D92" s="18"/>
      <c r="E92" s="18"/>
      <c r="F92" s="18"/>
      <c r="G92" s="18"/>
      <c r="H92" s="18"/>
      <c r="I92" s="18"/>
      <c r="J92" s="18"/>
      <c r="K92" s="18"/>
      <c r="L92" s="19"/>
      <c r="M92" s="6"/>
      <c r="N92" s="6" t="s">
        <v>205</v>
      </c>
      <c r="P92" s="85" t="str">
        <f t="shared" si="3"/>
        <v>0</v>
      </c>
      <c r="Q92" s="85">
        <f t="shared" si="4"/>
        <v>1</v>
      </c>
    </row>
    <row r="93" spans="1:17" ht="15" customHeight="1" x14ac:dyDescent="0.25">
      <c r="A93" s="5">
        <f t="shared" si="5"/>
        <v>74</v>
      </c>
      <c r="B93" s="20" t="s">
        <v>76</v>
      </c>
      <c r="C93" s="21"/>
      <c r="D93" s="21"/>
      <c r="E93" s="21"/>
      <c r="F93" s="21"/>
      <c r="G93" s="21"/>
      <c r="H93" s="21"/>
      <c r="I93" s="21"/>
      <c r="J93" s="21"/>
      <c r="K93" s="21"/>
      <c r="L93" s="22"/>
      <c r="M93" s="6"/>
      <c r="N93" s="6" t="s">
        <v>205</v>
      </c>
      <c r="P93" s="85" t="str">
        <f t="shared" si="3"/>
        <v>0</v>
      </c>
      <c r="Q93" s="85">
        <f t="shared" si="4"/>
        <v>1</v>
      </c>
    </row>
    <row r="94" spans="1:17" ht="15" customHeight="1" x14ac:dyDescent="0.25">
      <c r="A94" s="5">
        <f t="shared" si="5"/>
        <v>75</v>
      </c>
      <c r="B94" s="17" t="s">
        <v>77</v>
      </c>
      <c r="C94" s="18"/>
      <c r="D94" s="18"/>
      <c r="E94" s="18"/>
      <c r="F94" s="18"/>
      <c r="G94" s="18"/>
      <c r="H94" s="18"/>
      <c r="I94" s="18"/>
      <c r="J94" s="18"/>
      <c r="K94" s="18"/>
      <c r="L94" s="19"/>
      <c r="M94" s="6"/>
      <c r="N94" s="6" t="s">
        <v>205</v>
      </c>
      <c r="P94" s="85" t="str">
        <f t="shared" si="3"/>
        <v>0</v>
      </c>
      <c r="Q94" s="85">
        <f t="shared" si="4"/>
        <v>1</v>
      </c>
    </row>
    <row r="95" spans="1:17" ht="15" customHeight="1" x14ac:dyDescent="0.25">
      <c r="A95" s="5">
        <f t="shared" si="5"/>
        <v>76</v>
      </c>
      <c r="B95" s="20" t="s">
        <v>78</v>
      </c>
      <c r="C95" s="21"/>
      <c r="D95" s="21"/>
      <c r="E95" s="21"/>
      <c r="F95" s="21"/>
      <c r="G95" s="21"/>
      <c r="H95" s="21"/>
      <c r="I95" s="21"/>
      <c r="J95" s="21"/>
      <c r="K95" s="21"/>
      <c r="L95" s="22"/>
      <c r="M95" s="6"/>
      <c r="N95" s="6" t="s">
        <v>205</v>
      </c>
      <c r="P95" s="85" t="str">
        <f t="shared" si="3"/>
        <v>0</v>
      </c>
      <c r="Q95" s="85">
        <f t="shared" si="4"/>
        <v>1</v>
      </c>
    </row>
    <row r="96" spans="1:17" ht="15" customHeight="1" x14ac:dyDescent="0.25">
      <c r="A96" s="5">
        <f t="shared" si="5"/>
        <v>77</v>
      </c>
      <c r="B96" s="17" t="s">
        <v>79</v>
      </c>
      <c r="C96" s="18"/>
      <c r="D96" s="18"/>
      <c r="E96" s="18"/>
      <c r="F96" s="18"/>
      <c r="G96" s="18"/>
      <c r="H96" s="18"/>
      <c r="I96" s="18"/>
      <c r="J96" s="18"/>
      <c r="K96" s="18"/>
      <c r="L96" s="19"/>
      <c r="M96" s="6"/>
      <c r="N96" s="6" t="s">
        <v>205</v>
      </c>
      <c r="P96" s="85" t="str">
        <f t="shared" si="3"/>
        <v>0</v>
      </c>
      <c r="Q96" s="85">
        <f t="shared" si="4"/>
        <v>1</v>
      </c>
    </row>
    <row r="97" spans="1:17" ht="15" customHeight="1" x14ac:dyDescent="0.25">
      <c r="A97" s="5">
        <f t="shared" si="5"/>
        <v>78</v>
      </c>
      <c r="B97" s="20" t="s">
        <v>80</v>
      </c>
      <c r="C97" s="21"/>
      <c r="D97" s="21"/>
      <c r="E97" s="21"/>
      <c r="F97" s="21"/>
      <c r="G97" s="21"/>
      <c r="H97" s="21"/>
      <c r="I97" s="21"/>
      <c r="J97" s="21"/>
      <c r="K97" s="21"/>
      <c r="L97" s="22"/>
      <c r="M97" s="6"/>
      <c r="N97" s="6" t="s">
        <v>205</v>
      </c>
      <c r="P97" s="85" t="str">
        <f t="shared" si="3"/>
        <v>0</v>
      </c>
      <c r="Q97" s="85">
        <f t="shared" si="4"/>
        <v>1</v>
      </c>
    </row>
    <row r="98" spans="1:17" ht="15" customHeight="1" x14ac:dyDescent="0.25">
      <c r="A98" s="5">
        <f t="shared" si="5"/>
        <v>79</v>
      </c>
      <c r="B98" s="17" t="s">
        <v>81</v>
      </c>
      <c r="C98" s="18"/>
      <c r="D98" s="18"/>
      <c r="E98" s="18"/>
      <c r="F98" s="18"/>
      <c r="G98" s="18"/>
      <c r="H98" s="18"/>
      <c r="I98" s="18"/>
      <c r="J98" s="18"/>
      <c r="K98" s="18"/>
      <c r="L98" s="19"/>
      <c r="M98" s="6"/>
      <c r="N98" s="6" t="s">
        <v>205</v>
      </c>
      <c r="P98" s="85" t="str">
        <f t="shared" si="3"/>
        <v>0</v>
      </c>
      <c r="Q98" s="85">
        <f t="shared" si="4"/>
        <v>1</v>
      </c>
    </row>
    <row r="99" spans="1:17" ht="15" customHeight="1" x14ac:dyDescent="0.25">
      <c r="A99" s="5">
        <f t="shared" si="5"/>
        <v>80</v>
      </c>
      <c r="B99" s="20" t="s">
        <v>82</v>
      </c>
      <c r="C99" s="21"/>
      <c r="D99" s="21"/>
      <c r="E99" s="21"/>
      <c r="F99" s="21"/>
      <c r="G99" s="21"/>
      <c r="H99" s="21"/>
      <c r="I99" s="21"/>
      <c r="J99" s="21"/>
      <c r="K99" s="21"/>
      <c r="L99" s="22"/>
      <c r="M99" s="6"/>
      <c r="N99" s="6" t="s">
        <v>205</v>
      </c>
      <c r="P99" s="85" t="str">
        <f t="shared" si="3"/>
        <v>0</v>
      </c>
      <c r="Q99" s="85">
        <f t="shared" si="4"/>
        <v>1</v>
      </c>
    </row>
    <row r="100" spans="1:17" ht="15" customHeight="1" x14ac:dyDescent="0.25">
      <c r="A100" s="5">
        <f t="shared" si="5"/>
        <v>81</v>
      </c>
      <c r="B100" s="17" t="s">
        <v>83</v>
      </c>
      <c r="C100" s="18"/>
      <c r="D100" s="18"/>
      <c r="E100" s="18"/>
      <c r="F100" s="18"/>
      <c r="G100" s="18"/>
      <c r="H100" s="18"/>
      <c r="I100" s="18"/>
      <c r="J100" s="18"/>
      <c r="K100" s="18"/>
      <c r="L100" s="19"/>
      <c r="M100" s="6"/>
      <c r="N100" s="6" t="s">
        <v>205</v>
      </c>
      <c r="P100" s="85" t="str">
        <f t="shared" si="3"/>
        <v>0</v>
      </c>
      <c r="Q100" s="85">
        <f t="shared" si="4"/>
        <v>1</v>
      </c>
    </row>
    <row r="101" spans="1:17" ht="15" customHeight="1" x14ac:dyDescent="0.25">
      <c r="A101" s="5">
        <f t="shared" si="5"/>
        <v>82</v>
      </c>
      <c r="B101" s="20" t="s">
        <v>84</v>
      </c>
      <c r="C101" s="21"/>
      <c r="D101" s="21"/>
      <c r="E101" s="21"/>
      <c r="F101" s="21"/>
      <c r="G101" s="21"/>
      <c r="H101" s="21"/>
      <c r="I101" s="21"/>
      <c r="J101" s="21"/>
      <c r="K101" s="21"/>
      <c r="L101" s="22"/>
      <c r="M101" s="6"/>
      <c r="N101" s="6" t="s">
        <v>205</v>
      </c>
      <c r="P101" s="85" t="str">
        <f t="shared" si="3"/>
        <v>0</v>
      </c>
      <c r="Q101" s="85">
        <f t="shared" si="4"/>
        <v>1</v>
      </c>
    </row>
    <row r="102" spans="1:17" ht="15" customHeight="1" x14ac:dyDescent="0.25">
      <c r="A102" s="5">
        <f t="shared" si="5"/>
        <v>83</v>
      </c>
      <c r="B102" s="17" t="s">
        <v>85</v>
      </c>
      <c r="C102" s="18"/>
      <c r="D102" s="18"/>
      <c r="E102" s="18"/>
      <c r="F102" s="18"/>
      <c r="G102" s="18"/>
      <c r="H102" s="18"/>
      <c r="I102" s="18"/>
      <c r="J102" s="18"/>
      <c r="K102" s="18"/>
      <c r="L102" s="19"/>
      <c r="M102" s="6"/>
      <c r="N102" s="6" t="s">
        <v>205</v>
      </c>
      <c r="P102" s="85" t="str">
        <f t="shared" si="3"/>
        <v>0</v>
      </c>
      <c r="Q102" s="85">
        <f t="shared" si="4"/>
        <v>1</v>
      </c>
    </row>
    <row r="103" spans="1:17" ht="15" customHeight="1" x14ac:dyDescent="0.25">
      <c r="A103" s="5">
        <f t="shared" si="5"/>
        <v>84</v>
      </c>
      <c r="B103" s="20" t="s">
        <v>86</v>
      </c>
      <c r="C103" s="21"/>
      <c r="D103" s="21"/>
      <c r="E103" s="21"/>
      <c r="F103" s="21"/>
      <c r="G103" s="21"/>
      <c r="H103" s="21"/>
      <c r="I103" s="21"/>
      <c r="J103" s="21"/>
      <c r="K103" s="21"/>
      <c r="L103" s="22"/>
      <c r="M103" s="6"/>
      <c r="N103" s="6" t="s">
        <v>205</v>
      </c>
      <c r="P103" s="85" t="str">
        <f t="shared" si="3"/>
        <v>0</v>
      </c>
      <c r="Q103" s="85">
        <f t="shared" si="4"/>
        <v>1</v>
      </c>
    </row>
    <row r="104" spans="1:17" ht="15" customHeight="1" x14ac:dyDescent="0.25">
      <c r="A104" s="5">
        <f t="shared" si="5"/>
        <v>85</v>
      </c>
      <c r="B104" s="17" t="s">
        <v>156</v>
      </c>
      <c r="C104" s="18"/>
      <c r="D104" s="18"/>
      <c r="E104" s="18"/>
      <c r="F104" s="18"/>
      <c r="G104" s="18"/>
      <c r="H104" s="18"/>
      <c r="I104" s="18"/>
      <c r="J104" s="18"/>
      <c r="K104" s="18"/>
      <c r="L104" s="19"/>
      <c r="M104" s="6"/>
      <c r="N104" s="6" t="s">
        <v>205</v>
      </c>
      <c r="P104" s="85" t="str">
        <f t="shared" si="3"/>
        <v>0</v>
      </c>
      <c r="Q104" s="85">
        <f t="shared" si="4"/>
        <v>1</v>
      </c>
    </row>
    <row r="105" spans="1:17" ht="15" customHeight="1" x14ac:dyDescent="0.25">
      <c r="A105" s="5">
        <f t="shared" si="5"/>
        <v>86</v>
      </c>
      <c r="B105" s="20" t="s">
        <v>87</v>
      </c>
      <c r="C105" s="21"/>
      <c r="D105" s="21"/>
      <c r="E105" s="21"/>
      <c r="F105" s="21"/>
      <c r="G105" s="21"/>
      <c r="H105" s="21"/>
      <c r="I105" s="21"/>
      <c r="J105" s="21"/>
      <c r="K105" s="21"/>
      <c r="L105" s="22"/>
      <c r="M105" s="6"/>
      <c r="N105" s="6" t="s">
        <v>205</v>
      </c>
      <c r="P105" s="85" t="str">
        <f t="shared" si="3"/>
        <v>0</v>
      </c>
      <c r="Q105" s="85">
        <f t="shared" si="4"/>
        <v>1</v>
      </c>
    </row>
    <row r="106" spans="1:17" ht="15" customHeight="1" x14ac:dyDescent="0.25">
      <c r="A106" s="5">
        <f t="shared" si="5"/>
        <v>87</v>
      </c>
      <c r="B106" s="17" t="s">
        <v>88</v>
      </c>
      <c r="C106" s="18"/>
      <c r="D106" s="18"/>
      <c r="E106" s="18"/>
      <c r="F106" s="18"/>
      <c r="G106" s="18"/>
      <c r="H106" s="18"/>
      <c r="I106" s="18"/>
      <c r="J106" s="18"/>
      <c r="K106" s="18"/>
      <c r="L106" s="19"/>
      <c r="M106" s="6"/>
      <c r="N106" s="6" t="s">
        <v>205</v>
      </c>
      <c r="P106" s="85" t="str">
        <f t="shared" si="3"/>
        <v>0</v>
      </c>
      <c r="Q106" s="85">
        <f t="shared" si="4"/>
        <v>1</v>
      </c>
    </row>
    <row r="107" spans="1:17" ht="15" customHeight="1" x14ac:dyDescent="0.25">
      <c r="A107" s="5">
        <f t="shared" si="5"/>
        <v>88</v>
      </c>
      <c r="B107" s="20" t="s">
        <v>89</v>
      </c>
      <c r="C107" s="21"/>
      <c r="D107" s="21"/>
      <c r="E107" s="21"/>
      <c r="F107" s="21"/>
      <c r="G107" s="21"/>
      <c r="H107" s="21"/>
      <c r="I107" s="21"/>
      <c r="J107" s="21"/>
      <c r="K107" s="21"/>
      <c r="L107" s="22"/>
      <c r="M107" s="6"/>
      <c r="N107" s="6" t="s">
        <v>205</v>
      </c>
      <c r="P107" s="85" t="str">
        <f t="shared" si="3"/>
        <v>0</v>
      </c>
      <c r="Q107" s="85">
        <f t="shared" si="4"/>
        <v>1</v>
      </c>
    </row>
    <row r="108" spans="1:17" ht="15" customHeight="1" x14ac:dyDescent="0.25">
      <c r="A108" s="5">
        <f t="shared" si="5"/>
        <v>89</v>
      </c>
      <c r="B108" s="17" t="s">
        <v>90</v>
      </c>
      <c r="C108" s="18"/>
      <c r="D108" s="18"/>
      <c r="E108" s="18"/>
      <c r="F108" s="18"/>
      <c r="G108" s="18"/>
      <c r="H108" s="18"/>
      <c r="I108" s="18"/>
      <c r="J108" s="18"/>
      <c r="K108" s="18"/>
      <c r="L108" s="19"/>
      <c r="M108" s="6"/>
      <c r="N108" s="6" t="s">
        <v>205</v>
      </c>
      <c r="P108" s="85" t="str">
        <f t="shared" si="3"/>
        <v>0</v>
      </c>
      <c r="Q108" s="85">
        <f t="shared" si="4"/>
        <v>1</v>
      </c>
    </row>
    <row r="109" spans="1:17" ht="15" customHeight="1" x14ac:dyDescent="0.25">
      <c r="A109" s="5">
        <f t="shared" si="5"/>
        <v>90</v>
      </c>
      <c r="B109" s="20" t="s">
        <v>91</v>
      </c>
      <c r="C109" s="21"/>
      <c r="D109" s="21"/>
      <c r="E109" s="21"/>
      <c r="F109" s="21"/>
      <c r="G109" s="21"/>
      <c r="H109" s="21"/>
      <c r="I109" s="21"/>
      <c r="J109" s="21"/>
      <c r="K109" s="21"/>
      <c r="L109" s="22"/>
      <c r="M109" s="6"/>
      <c r="N109" s="6" t="s">
        <v>205</v>
      </c>
      <c r="P109" s="85" t="str">
        <f t="shared" si="3"/>
        <v>0</v>
      </c>
      <c r="Q109" s="85">
        <f t="shared" si="4"/>
        <v>1</v>
      </c>
    </row>
    <row r="110" spans="1:17" ht="15" customHeight="1" x14ac:dyDescent="0.25">
      <c r="A110" s="5">
        <f t="shared" si="5"/>
        <v>91</v>
      </c>
      <c r="B110" s="17" t="s">
        <v>92</v>
      </c>
      <c r="C110" s="18"/>
      <c r="D110" s="18"/>
      <c r="E110" s="18"/>
      <c r="F110" s="18"/>
      <c r="G110" s="18"/>
      <c r="H110" s="18"/>
      <c r="I110" s="18"/>
      <c r="J110" s="18"/>
      <c r="K110" s="18"/>
      <c r="L110" s="19"/>
      <c r="M110" s="6"/>
      <c r="N110" s="6" t="s">
        <v>205</v>
      </c>
      <c r="P110" s="85" t="str">
        <f t="shared" si="3"/>
        <v>0</v>
      </c>
      <c r="Q110" s="85">
        <f t="shared" si="4"/>
        <v>1</v>
      </c>
    </row>
    <row r="111" spans="1:17" ht="15" customHeight="1" x14ac:dyDescent="0.25">
      <c r="A111" s="5">
        <f t="shared" si="5"/>
        <v>92</v>
      </c>
      <c r="B111" s="20" t="s">
        <v>93</v>
      </c>
      <c r="C111" s="21"/>
      <c r="D111" s="21"/>
      <c r="E111" s="21"/>
      <c r="F111" s="21"/>
      <c r="G111" s="21"/>
      <c r="H111" s="21"/>
      <c r="I111" s="21"/>
      <c r="J111" s="21"/>
      <c r="K111" s="21"/>
      <c r="L111" s="22"/>
      <c r="M111" s="6"/>
      <c r="N111" s="6" t="s">
        <v>205</v>
      </c>
      <c r="P111" s="85" t="str">
        <f t="shared" si="3"/>
        <v>0</v>
      </c>
      <c r="Q111" s="85">
        <f t="shared" si="4"/>
        <v>1</v>
      </c>
    </row>
    <row r="112" spans="1:17" ht="15" customHeight="1" x14ac:dyDescent="0.25">
      <c r="A112" s="5">
        <f t="shared" si="5"/>
        <v>93</v>
      </c>
      <c r="B112" s="17" t="s">
        <v>94</v>
      </c>
      <c r="C112" s="18"/>
      <c r="D112" s="18"/>
      <c r="E112" s="18"/>
      <c r="F112" s="18"/>
      <c r="G112" s="18"/>
      <c r="H112" s="18"/>
      <c r="I112" s="18"/>
      <c r="J112" s="18"/>
      <c r="K112" s="18"/>
      <c r="L112" s="19"/>
      <c r="M112" s="6"/>
      <c r="N112" s="6" t="s">
        <v>205</v>
      </c>
      <c r="P112" s="85" t="str">
        <f t="shared" si="3"/>
        <v>0</v>
      </c>
      <c r="Q112" s="85">
        <f t="shared" si="4"/>
        <v>1</v>
      </c>
    </row>
    <row r="113" spans="1:17" ht="15" customHeight="1" x14ac:dyDescent="0.25">
      <c r="A113" s="5">
        <f t="shared" si="5"/>
        <v>94</v>
      </c>
      <c r="B113" s="20" t="s">
        <v>95</v>
      </c>
      <c r="C113" s="21"/>
      <c r="D113" s="21"/>
      <c r="E113" s="21"/>
      <c r="F113" s="21"/>
      <c r="G113" s="21"/>
      <c r="H113" s="21"/>
      <c r="I113" s="21"/>
      <c r="J113" s="21"/>
      <c r="K113" s="21"/>
      <c r="L113" s="22"/>
      <c r="M113" s="6"/>
      <c r="N113" s="6" t="s">
        <v>205</v>
      </c>
      <c r="P113" s="85" t="str">
        <f t="shared" si="3"/>
        <v>0</v>
      </c>
      <c r="Q113" s="85">
        <f t="shared" si="4"/>
        <v>1</v>
      </c>
    </row>
    <row r="114" spans="1:17" ht="15" customHeight="1" x14ac:dyDescent="0.25">
      <c r="A114" s="5">
        <f t="shared" si="5"/>
        <v>95</v>
      </c>
      <c r="B114" s="17" t="s">
        <v>96</v>
      </c>
      <c r="C114" s="18"/>
      <c r="D114" s="18"/>
      <c r="E114" s="18"/>
      <c r="F114" s="18"/>
      <c r="G114" s="18"/>
      <c r="H114" s="18"/>
      <c r="I114" s="18"/>
      <c r="J114" s="18"/>
      <c r="K114" s="18"/>
      <c r="L114" s="19"/>
      <c r="M114" s="6"/>
      <c r="N114" s="6" t="s">
        <v>205</v>
      </c>
      <c r="P114" s="85" t="str">
        <f t="shared" si="3"/>
        <v>0</v>
      </c>
      <c r="Q114" s="85">
        <f t="shared" si="4"/>
        <v>1</v>
      </c>
    </row>
    <row r="115" spans="1:17" ht="15" customHeight="1" x14ac:dyDescent="0.25">
      <c r="A115" s="5">
        <f t="shared" si="5"/>
        <v>96</v>
      </c>
      <c r="B115" s="20" t="s">
        <v>97</v>
      </c>
      <c r="C115" s="21"/>
      <c r="D115" s="21"/>
      <c r="E115" s="21"/>
      <c r="F115" s="21"/>
      <c r="G115" s="21"/>
      <c r="H115" s="21"/>
      <c r="I115" s="21"/>
      <c r="J115" s="21"/>
      <c r="K115" s="21"/>
      <c r="L115" s="22"/>
      <c r="M115" s="6"/>
      <c r="N115" s="6" t="s">
        <v>205</v>
      </c>
      <c r="P115" s="85" t="str">
        <f t="shared" si="3"/>
        <v>0</v>
      </c>
      <c r="Q115" s="85">
        <f t="shared" si="4"/>
        <v>1</v>
      </c>
    </row>
    <row r="116" spans="1:17" ht="15" customHeight="1" x14ac:dyDescent="0.25">
      <c r="A116" s="5">
        <f t="shared" si="5"/>
        <v>97</v>
      </c>
      <c r="B116" s="17" t="s">
        <v>98</v>
      </c>
      <c r="C116" s="18"/>
      <c r="D116" s="18"/>
      <c r="E116" s="18"/>
      <c r="F116" s="18"/>
      <c r="G116" s="18"/>
      <c r="H116" s="18"/>
      <c r="I116" s="18"/>
      <c r="J116" s="18"/>
      <c r="K116" s="18"/>
      <c r="L116" s="19"/>
      <c r="M116" s="6"/>
      <c r="N116" s="6" t="s">
        <v>205</v>
      </c>
      <c r="P116" s="85" t="str">
        <f t="shared" si="3"/>
        <v>0</v>
      </c>
      <c r="Q116" s="85">
        <f t="shared" si="4"/>
        <v>1</v>
      </c>
    </row>
    <row r="117" spans="1:17" ht="15" customHeight="1" x14ac:dyDescent="0.25">
      <c r="A117" s="5">
        <f t="shared" si="5"/>
        <v>98</v>
      </c>
      <c r="B117" s="20" t="s">
        <v>99</v>
      </c>
      <c r="C117" s="21"/>
      <c r="D117" s="21"/>
      <c r="E117" s="21"/>
      <c r="F117" s="21"/>
      <c r="G117" s="21"/>
      <c r="H117" s="21"/>
      <c r="I117" s="21"/>
      <c r="J117" s="21"/>
      <c r="K117" s="21"/>
      <c r="L117" s="22"/>
      <c r="M117" s="6"/>
      <c r="N117" s="6" t="s">
        <v>205</v>
      </c>
      <c r="P117" s="85" t="str">
        <f t="shared" si="3"/>
        <v>0</v>
      </c>
      <c r="Q117" s="85">
        <f t="shared" si="4"/>
        <v>1</v>
      </c>
    </row>
    <row r="118" spans="1:17" ht="15" customHeight="1" x14ac:dyDescent="0.25">
      <c r="A118" s="5">
        <f t="shared" si="5"/>
        <v>99</v>
      </c>
      <c r="B118" s="17" t="s">
        <v>100</v>
      </c>
      <c r="C118" s="18"/>
      <c r="D118" s="18"/>
      <c r="E118" s="18"/>
      <c r="F118" s="18"/>
      <c r="G118" s="18"/>
      <c r="H118" s="18"/>
      <c r="I118" s="18"/>
      <c r="J118" s="18"/>
      <c r="K118" s="18"/>
      <c r="L118" s="19"/>
      <c r="M118" s="6"/>
      <c r="N118" s="6" t="s">
        <v>205</v>
      </c>
      <c r="P118" s="85" t="str">
        <f t="shared" si="3"/>
        <v>0</v>
      </c>
      <c r="Q118" s="85">
        <f t="shared" si="4"/>
        <v>1</v>
      </c>
    </row>
    <row r="119" spans="1:17" ht="15" customHeight="1" x14ac:dyDescent="0.25">
      <c r="A119" s="5">
        <f t="shared" si="5"/>
        <v>100</v>
      </c>
      <c r="B119" s="20" t="s">
        <v>101</v>
      </c>
      <c r="C119" s="21"/>
      <c r="D119" s="21"/>
      <c r="E119" s="21"/>
      <c r="F119" s="21"/>
      <c r="G119" s="21"/>
      <c r="H119" s="21"/>
      <c r="I119" s="21"/>
      <c r="J119" s="21"/>
      <c r="K119" s="21"/>
      <c r="L119" s="22"/>
      <c r="M119" s="6"/>
      <c r="N119" s="6" t="s">
        <v>205</v>
      </c>
      <c r="P119" s="85" t="str">
        <f t="shared" si="3"/>
        <v>0</v>
      </c>
      <c r="Q119" s="85">
        <f t="shared" si="4"/>
        <v>1</v>
      </c>
    </row>
    <row r="120" spans="1:17" ht="15" customHeight="1" x14ac:dyDescent="0.25">
      <c r="A120" s="5">
        <f t="shared" si="5"/>
        <v>101</v>
      </c>
      <c r="B120" s="17" t="s">
        <v>102</v>
      </c>
      <c r="C120" s="18"/>
      <c r="D120" s="18"/>
      <c r="E120" s="18"/>
      <c r="F120" s="18"/>
      <c r="G120" s="18"/>
      <c r="H120" s="18"/>
      <c r="I120" s="18"/>
      <c r="J120" s="18"/>
      <c r="K120" s="18"/>
      <c r="L120" s="19"/>
      <c r="M120" s="6"/>
      <c r="N120" s="6" t="s">
        <v>205</v>
      </c>
      <c r="P120" s="85" t="str">
        <f t="shared" si="3"/>
        <v>0</v>
      </c>
      <c r="Q120" s="85">
        <f t="shared" si="4"/>
        <v>1</v>
      </c>
    </row>
    <row r="121" spans="1:17" ht="15" customHeight="1" x14ac:dyDescent="0.25">
      <c r="A121" s="5">
        <f t="shared" si="5"/>
        <v>102</v>
      </c>
      <c r="B121" s="20" t="s">
        <v>103</v>
      </c>
      <c r="C121" s="21"/>
      <c r="D121" s="21"/>
      <c r="E121" s="21"/>
      <c r="F121" s="21"/>
      <c r="G121" s="21"/>
      <c r="H121" s="21"/>
      <c r="I121" s="21"/>
      <c r="J121" s="21"/>
      <c r="K121" s="21"/>
      <c r="L121" s="22"/>
      <c r="M121" s="6"/>
      <c r="N121" s="6" t="s">
        <v>205</v>
      </c>
      <c r="P121" s="85" t="str">
        <f t="shared" si="3"/>
        <v>0</v>
      </c>
      <c r="Q121" s="85">
        <f t="shared" si="4"/>
        <v>1</v>
      </c>
    </row>
    <row r="122" spans="1:17" ht="15" customHeight="1" x14ac:dyDescent="0.25">
      <c r="A122" s="5">
        <f t="shared" si="5"/>
        <v>103</v>
      </c>
      <c r="B122" s="17" t="s">
        <v>104</v>
      </c>
      <c r="C122" s="18"/>
      <c r="D122" s="18"/>
      <c r="E122" s="18"/>
      <c r="F122" s="18"/>
      <c r="G122" s="18"/>
      <c r="H122" s="18"/>
      <c r="I122" s="18"/>
      <c r="J122" s="18"/>
      <c r="K122" s="18"/>
      <c r="L122" s="19"/>
      <c r="M122" s="6"/>
      <c r="N122" s="6" t="s">
        <v>205</v>
      </c>
      <c r="P122" s="85" t="str">
        <f t="shared" si="3"/>
        <v>0</v>
      </c>
      <c r="Q122" s="85">
        <f t="shared" si="4"/>
        <v>1</v>
      </c>
    </row>
    <row r="123" spans="1:17" ht="15" customHeight="1" x14ac:dyDescent="0.25">
      <c r="A123" s="5">
        <f t="shared" si="5"/>
        <v>104</v>
      </c>
      <c r="B123" s="20" t="s">
        <v>105</v>
      </c>
      <c r="C123" s="21"/>
      <c r="D123" s="21"/>
      <c r="E123" s="21"/>
      <c r="F123" s="21"/>
      <c r="G123" s="21"/>
      <c r="H123" s="21"/>
      <c r="I123" s="21"/>
      <c r="J123" s="21"/>
      <c r="K123" s="21"/>
      <c r="L123" s="22"/>
      <c r="M123" s="6"/>
      <c r="N123" s="6" t="s">
        <v>205</v>
      </c>
      <c r="P123" s="85" t="str">
        <f t="shared" si="3"/>
        <v>0</v>
      </c>
      <c r="Q123" s="85">
        <f t="shared" si="4"/>
        <v>1</v>
      </c>
    </row>
    <row r="124" spans="1:17" ht="15" customHeight="1" x14ac:dyDescent="0.25">
      <c r="A124" s="5">
        <f t="shared" si="5"/>
        <v>105</v>
      </c>
      <c r="B124" s="17" t="s">
        <v>106</v>
      </c>
      <c r="C124" s="18"/>
      <c r="D124" s="18"/>
      <c r="E124" s="18"/>
      <c r="F124" s="18"/>
      <c r="G124" s="18"/>
      <c r="H124" s="18"/>
      <c r="I124" s="18"/>
      <c r="J124" s="18"/>
      <c r="K124" s="18"/>
      <c r="L124" s="19"/>
      <c r="M124" s="6"/>
      <c r="N124" s="6" t="s">
        <v>205</v>
      </c>
      <c r="P124" s="85" t="str">
        <f t="shared" si="3"/>
        <v>0</v>
      </c>
      <c r="Q124" s="85">
        <f t="shared" si="4"/>
        <v>1</v>
      </c>
    </row>
    <row r="125" spans="1:17" ht="15" customHeight="1" x14ac:dyDescent="0.25">
      <c r="A125" s="5">
        <f t="shared" si="5"/>
        <v>106</v>
      </c>
      <c r="B125" s="20" t="s">
        <v>107</v>
      </c>
      <c r="C125" s="21"/>
      <c r="D125" s="21"/>
      <c r="E125" s="21"/>
      <c r="F125" s="21"/>
      <c r="G125" s="21"/>
      <c r="H125" s="21"/>
      <c r="I125" s="21"/>
      <c r="J125" s="21"/>
      <c r="K125" s="21"/>
      <c r="L125" s="22"/>
      <c r="M125" s="6"/>
      <c r="N125" s="6" t="s">
        <v>205</v>
      </c>
      <c r="P125" s="85" t="str">
        <f t="shared" si="3"/>
        <v>0</v>
      </c>
      <c r="Q125" s="85">
        <f t="shared" si="4"/>
        <v>1</v>
      </c>
    </row>
    <row r="126" spans="1:17" ht="15" customHeight="1" x14ac:dyDescent="0.25">
      <c r="A126" s="5">
        <f t="shared" si="5"/>
        <v>107</v>
      </c>
      <c r="B126" s="17" t="s">
        <v>108</v>
      </c>
      <c r="C126" s="18"/>
      <c r="D126" s="18"/>
      <c r="E126" s="18"/>
      <c r="F126" s="18"/>
      <c r="G126" s="18"/>
      <c r="H126" s="18"/>
      <c r="I126" s="18"/>
      <c r="J126" s="18"/>
      <c r="K126" s="18"/>
      <c r="L126" s="19"/>
      <c r="M126" s="6"/>
      <c r="N126" s="6" t="s">
        <v>205</v>
      </c>
      <c r="P126" s="85" t="str">
        <f t="shared" si="3"/>
        <v>0</v>
      </c>
      <c r="Q126" s="85">
        <f t="shared" si="4"/>
        <v>1</v>
      </c>
    </row>
    <row r="127" spans="1:17" ht="15" customHeight="1" x14ac:dyDescent="0.25">
      <c r="A127" s="5">
        <f t="shared" si="5"/>
        <v>108</v>
      </c>
      <c r="B127" s="20" t="s">
        <v>109</v>
      </c>
      <c r="C127" s="21"/>
      <c r="D127" s="21"/>
      <c r="E127" s="21"/>
      <c r="F127" s="21"/>
      <c r="G127" s="21"/>
      <c r="H127" s="21"/>
      <c r="I127" s="21"/>
      <c r="J127" s="21"/>
      <c r="K127" s="21"/>
      <c r="L127" s="22"/>
      <c r="M127" s="6"/>
      <c r="N127" s="6" t="s">
        <v>205</v>
      </c>
      <c r="P127" s="85" t="str">
        <f t="shared" si="3"/>
        <v>0</v>
      </c>
      <c r="Q127" s="85">
        <f t="shared" si="4"/>
        <v>1</v>
      </c>
    </row>
    <row r="128" spans="1:17" ht="15" customHeight="1" x14ac:dyDescent="0.25">
      <c r="A128" s="5">
        <f t="shared" si="5"/>
        <v>109</v>
      </c>
      <c r="B128" s="17" t="s">
        <v>110</v>
      </c>
      <c r="C128" s="18"/>
      <c r="D128" s="18"/>
      <c r="E128" s="18"/>
      <c r="F128" s="18"/>
      <c r="G128" s="18"/>
      <c r="H128" s="18"/>
      <c r="I128" s="18"/>
      <c r="J128" s="18"/>
      <c r="K128" s="18"/>
      <c r="L128" s="19"/>
      <c r="M128" s="6"/>
      <c r="N128" s="6" t="s">
        <v>205</v>
      </c>
      <c r="P128" s="85" t="str">
        <f t="shared" si="3"/>
        <v>0</v>
      </c>
      <c r="Q128" s="85">
        <f t="shared" si="4"/>
        <v>1</v>
      </c>
    </row>
    <row r="129" spans="1:17" ht="15" customHeight="1" x14ac:dyDescent="0.25">
      <c r="A129" s="5">
        <f t="shared" si="5"/>
        <v>110</v>
      </c>
      <c r="B129" s="20" t="s">
        <v>111</v>
      </c>
      <c r="C129" s="21"/>
      <c r="D129" s="21"/>
      <c r="E129" s="21"/>
      <c r="F129" s="21"/>
      <c r="G129" s="21"/>
      <c r="H129" s="21"/>
      <c r="I129" s="21"/>
      <c r="J129" s="21"/>
      <c r="K129" s="21"/>
      <c r="L129" s="22"/>
      <c r="M129" s="6"/>
      <c r="N129" s="6" t="s">
        <v>205</v>
      </c>
      <c r="P129" s="85" t="str">
        <f t="shared" si="3"/>
        <v>0</v>
      </c>
      <c r="Q129" s="85">
        <f t="shared" si="4"/>
        <v>1</v>
      </c>
    </row>
    <row r="130" spans="1:17" ht="15" customHeight="1" x14ac:dyDescent="0.25">
      <c r="A130" s="5">
        <f t="shared" si="5"/>
        <v>111</v>
      </c>
      <c r="B130" s="17" t="s">
        <v>112</v>
      </c>
      <c r="C130" s="18"/>
      <c r="D130" s="18"/>
      <c r="E130" s="18"/>
      <c r="F130" s="18"/>
      <c r="G130" s="18"/>
      <c r="H130" s="18"/>
      <c r="I130" s="18"/>
      <c r="J130" s="18"/>
      <c r="K130" s="18"/>
      <c r="L130" s="19"/>
      <c r="M130" s="6"/>
      <c r="N130" s="6" t="s">
        <v>205</v>
      </c>
      <c r="P130" s="85" t="str">
        <f t="shared" si="3"/>
        <v>0</v>
      </c>
      <c r="Q130" s="85">
        <f t="shared" si="4"/>
        <v>1</v>
      </c>
    </row>
    <row r="131" spans="1:17" ht="15" customHeight="1" x14ac:dyDescent="0.25">
      <c r="A131" s="5">
        <f t="shared" si="5"/>
        <v>112</v>
      </c>
      <c r="B131" s="20" t="s">
        <v>113</v>
      </c>
      <c r="C131" s="21"/>
      <c r="D131" s="21"/>
      <c r="E131" s="21"/>
      <c r="F131" s="21"/>
      <c r="G131" s="21"/>
      <c r="H131" s="21"/>
      <c r="I131" s="21"/>
      <c r="J131" s="21"/>
      <c r="K131" s="21"/>
      <c r="L131" s="22"/>
      <c r="M131" s="6"/>
      <c r="N131" s="6" t="s">
        <v>205</v>
      </c>
      <c r="P131" s="85" t="str">
        <f t="shared" si="3"/>
        <v>0</v>
      </c>
      <c r="Q131" s="85">
        <f t="shared" si="4"/>
        <v>1</v>
      </c>
    </row>
    <row r="132" spans="1:17" ht="15" customHeight="1" x14ac:dyDescent="0.25">
      <c r="A132" s="5">
        <f t="shared" si="5"/>
        <v>113</v>
      </c>
      <c r="B132" s="17" t="s">
        <v>114</v>
      </c>
      <c r="C132" s="18"/>
      <c r="D132" s="18"/>
      <c r="E132" s="18"/>
      <c r="F132" s="18"/>
      <c r="G132" s="18"/>
      <c r="H132" s="18"/>
      <c r="I132" s="18"/>
      <c r="J132" s="18"/>
      <c r="K132" s="18"/>
      <c r="L132" s="19"/>
      <c r="M132" s="6"/>
      <c r="N132" s="6" t="s">
        <v>205</v>
      </c>
      <c r="P132" s="85" t="str">
        <f t="shared" si="3"/>
        <v>0</v>
      </c>
      <c r="Q132" s="85">
        <f t="shared" si="4"/>
        <v>1</v>
      </c>
    </row>
    <row r="133" spans="1:17" ht="15" customHeight="1" x14ac:dyDescent="0.25">
      <c r="A133" s="5">
        <f t="shared" si="5"/>
        <v>114</v>
      </c>
      <c r="B133" s="20" t="s">
        <v>115</v>
      </c>
      <c r="C133" s="21"/>
      <c r="D133" s="21"/>
      <c r="E133" s="21"/>
      <c r="F133" s="21"/>
      <c r="G133" s="21"/>
      <c r="H133" s="21"/>
      <c r="I133" s="21"/>
      <c r="J133" s="21"/>
      <c r="K133" s="21"/>
      <c r="L133" s="22"/>
      <c r="M133" s="6"/>
      <c r="N133" s="6" t="s">
        <v>205</v>
      </c>
      <c r="P133" s="85" t="str">
        <f t="shared" si="3"/>
        <v>0</v>
      </c>
      <c r="Q133" s="85">
        <f t="shared" si="4"/>
        <v>1</v>
      </c>
    </row>
    <row r="134" spans="1:17" ht="15" customHeight="1" x14ac:dyDescent="0.25">
      <c r="A134" s="5">
        <f t="shared" si="5"/>
        <v>115</v>
      </c>
      <c r="B134" s="17" t="s">
        <v>116</v>
      </c>
      <c r="C134" s="18"/>
      <c r="D134" s="18"/>
      <c r="E134" s="18"/>
      <c r="F134" s="18"/>
      <c r="G134" s="18"/>
      <c r="H134" s="18"/>
      <c r="I134" s="18"/>
      <c r="J134" s="18"/>
      <c r="K134" s="18"/>
      <c r="L134" s="19"/>
      <c r="M134" s="6"/>
      <c r="N134" s="6" t="s">
        <v>205</v>
      </c>
      <c r="P134" s="85" t="str">
        <f t="shared" si="3"/>
        <v>0</v>
      </c>
      <c r="Q134" s="85">
        <f t="shared" si="4"/>
        <v>1</v>
      </c>
    </row>
    <row r="135" spans="1:17" ht="15" customHeight="1" x14ac:dyDescent="0.25">
      <c r="A135" s="5">
        <f t="shared" si="5"/>
        <v>116</v>
      </c>
      <c r="B135" s="20" t="s">
        <v>117</v>
      </c>
      <c r="C135" s="21"/>
      <c r="D135" s="21"/>
      <c r="E135" s="21"/>
      <c r="F135" s="21"/>
      <c r="G135" s="21"/>
      <c r="H135" s="21"/>
      <c r="I135" s="21"/>
      <c r="J135" s="21"/>
      <c r="K135" s="21"/>
      <c r="L135" s="22"/>
      <c r="M135" s="6"/>
      <c r="N135" s="6" t="s">
        <v>205</v>
      </c>
      <c r="P135" s="85" t="str">
        <f t="shared" si="3"/>
        <v>0</v>
      </c>
      <c r="Q135" s="85">
        <f t="shared" si="4"/>
        <v>1</v>
      </c>
    </row>
    <row r="136" spans="1:17" ht="15" customHeight="1" x14ac:dyDescent="0.25">
      <c r="A136" s="5">
        <f t="shared" si="5"/>
        <v>117</v>
      </c>
      <c r="B136" s="17" t="s">
        <v>118</v>
      </c>
      <c r="C136" s="18"/>
      <c r="D136" s="18"/>
      <c r="E136" s="18"/>
      <c r="F136" s="18"/>
      <c r="G136" s="18"/>
      <c r="H136" s="18"/>
      <c r="I136" s="18"/>
      <c r="J136" s="18"/>
      <c r="K136" s="18"/>
      <c r="L136" s="19"/>
      <c r="M136" s="6"/>
      <c r="N136" s="6" t="s">
        <v>205</v>
      </c>
      <c r="P136" s="85" t="str">
        <f t="shared" si="3"/>
        <v>0</v>
      </c>
      <c r="Q136" s="85">
        <f t="shared" si="4"/>
        <v>1</v>
      </c>
    </row>
    <row r="137" spans="1:17" ht="15" customHeight="1" x14ac:dyDescent="0.25">
      <c r="A137" s="5">
        <f t="shared" si="5"/>
        <v>118</v>
      </c>
      <c r="B137" s="20" t="s">
        <v>119</v>
      </c>
      <c r="C137" s="21"/>
      <c r="D137" s="21"/>
      <c r="E137" s="21"/>
      <c r="F137" s="21"/>
      <c r="G137" s="21"/>
      <c r="H137" s="21"/>
      <c r="I137" s="21"/>
      <c r="J137" s="21"/>
      <c r="K137" s="21"/>
      <c r="L137" s="22"/>
      <c r="M137" s="6"/>
      <c r="N137" s="6" t="s">
        <v>205</v>
      </c>
      <c r="P137" s="85" t="str">
        <f t="shared" si="3"/>
        <v>0</v>
      </c>
      <c r="Q137" s="85">
        <f t="shared" si="4"/>
        <v>1</v>
      </c>
    </row>
    <row r="138" spans="1:17" ht="15" customHeight="1" x14ac:dyDescent="0.25">
      <c r="A138" s="5">
        <f t="shared" si="5"/>
        <v>119</v>
      </c>
      <c r="B138" s="17" t="s">
        <v>120</v>
      </c>
      <c r="C138" s="18"/>
      <c r="D138" s="18"/>
      <c r="E138" s="18"/>
      <c r="F138" s="18"/>
      <c r="G138" s="18"/>
      <c r="H138" s="18"/>
      <c r="I138" s="18"/>
      <c r="J138" s="18"/>
      <c r="K138" s="18"/>
      <c r="L138" s="19"/>
      <c r="M138" s="6"/>
      <c r="N138" s="6" t="s">
        <v>205</v>
      </c>
      <c r="P138" s="85" t="str">
        <f t="shared" si="3"/>
        <v>0</v>
      </c>
      <c r="Q138" s="85">
        <f t="shared" si="4"/>
        <v>1</v>
      </c>
    </row>
    <row r="139" spans="1:17" ht="15" customHeight="1" x14ac:dyDescent="0.25">
      <c r="A139" s="5">
        <f t="shared" si="5"/>
        <v>120</v>
      </c>
      <c r="B139" s="20" t="s">
        <v>121</v>
      </c>
      <c r="C139" s="21"/>
      <c r="D139" s="21"/>
      <c r="E139" s="21"/>
      <c r="F139" s="21"/>
      <c r="G139" s="21"/>
      <c r="H139" s="21"/>
      <c r="I139" s="21"/>
      <c r="J139" s="21"/>
      <c r="K139" s="21"/>
      <c r="L139" s="22"/>
      <c r="M139" s="6"/>
      <c r="N139" s="6" t="s">
        <v>205</v>
      </c>
      <c r="P139" s="85" t="str">
        <f t="shared" si="3"/>
        <v>0</v>
      </c>
      <c r="Q139" s="85">
        <f t="shared" si="4"/>
        <v>1</v>
      </c>
    </row>
    <row r="140" spans="1:17" ht="15" customHeight="1" x14ac:dyDescent="0.25">
      <c r="A140" s="5">
        <f t="shared" si="5"/>
        <v>121</v>
      </c>
      <c r="B140" s="17" t="s">
        <v>122</v>
      </c>
      <c r="C140" s="18"/>
      <c r="D140" s="18"/>
      <c r="E140" s="18"/>
      <c r="F140" s="18"/>
      <c r="G140" s="18"/>
      <c r="H140" s="18"/>
      <c r="I140" s="18"/>
      <c r="J140" s="18"/>
      <c r="K140" s="18"/>
      <c r="L140" s="19"/>
      <c r="M140" s="6"/>
      <c r="N140" s="6" t="s">
        <v>205</v>
      </c>
      <c r="P140" s="85" t="str">
        <f t="shared" si="3"/>
        <v>0</v>
      </c>
      <c r="Q140" s="85">
        <f t="shared" si="4"/>
        <v>1</v>
      </c>
    </row>
    <row r="141" spans="1:17" ht="15" customHeight="1" x14ac:dyDescent="0.25">
      <c r="A141" s="5">
        <f t="shared" si="5"/>
        <v>122</v>
      </c>
      <c r="B141" s="20" t="s">
        <v>123</v>
      </c>
      <c r="C141" s="21"/>
      <c r="D141" s="21"/>
      <c r="E141" s="21"/>
      <c r="F141" s="21"/>
      <c r="G141" s="21"/>
      <c r="H141" s="21"/>
      <c r="I141" s="21"/>
      <c r="J141" s="21"/>
      <c r="K141" s="21"/>
      <c r="L141" s="22"/>
      <c r="M141" s="6"/>
      <c r="N141" s="6" t="s">
        <v>205</v>
      </c>
      <c r="P141" s="85" t="str">
        <f t="shared" si="3"/>
        <v>0</v>
      </c>
      <c r="Q141" s="85">
        <f t="shared" si="4"/>
        <v>1</v>
      </c>
    </row>
    <row r="142" spans="1:17" ht="15" customHeight="1" x14ac:dyDescent="0.25">
      <c r="A142" s="5">
        <f t="shared" si="5"/>
        <v>123</v>
      </c>
      <c r="B142" s="17" t="s">
        <v>124</v>
      </c>
      <c r="C142" s="18"/>
      <c r="D142" s="18"/>
      <c r="E142" s="18"/>
      <c r="F142" s="18"/>
      <c r="G142" s="18"/>
      <c r="H142" s="18"/>
      <c r="I142" s="18"/>
      <c r="J142" s="18"/>
      <c r="K142" s="18"/>
      <c r="L142" s="19"/>
      <c r="M142" s="6"/>
      <c r="N142" s="6" t="s">
        <v>205</v>
      </c>
      <c r="P142" s="85" t="str">
        <f t="shared" si="3"/>
        <v>0</v>
      </c>
      <c r="Q142" s="85">
        <f t="shared" si="4"/>
        <v>1</v>
      </c>
    </row>
    <row r="143" spans="1:17" ht="15" customHeight="1" x14ac:dyDescent="0.25">
      <c r="A143" s="5">
        <f t="shared" si="5"/>
        <v>124</v>
      </c>
      <c r="B143" s="20" t="s">
        <v>125</v>
      </c>
      <c r="C143" s="21"/>
      <c r="D143" s="21"/>
      <c r="E143" s="21"/>
      <c r="F143" s="21"/>
      <c r="G143" s="21"/>
      <c r="H143" s="21"/>
      <c r="I143" s="21"/>
      <c r="J143" s="21"/>
      <c r="K143" s="21"/>
      <c r="L143" s="22"/>
      <c r="M143" s="6"/>
      <c r="N143" s="6" t="s">
        <v>205</v>
      </c>
      <c r="P143" s="85" t="str">
        <f t="shared" si="3"/>
        <v>0</v>
      </c>
      <c r="Q143" s="85">
        <f t="shared" si="4"/>
        <v>1</v>
      </c>
    </row>
    <row r="144" spans="1:17" ht="15" customHeight="1" x14ac:dyDescent="0.25">
      <c r="A144" s="5">
        <f t="shared" si="5"/>
        <v>125</v>
      </c>
      <c r="B144" s="17" t="s">
        <v>126</v>
      </c>
      <c r="C144" s="18"/>
      <c r="D144" s="18"/>
      <c r="E144" s="18"/>
      <c r="F144" s="18"/>
      <c r="G144" s="18"/>
      <c r="H144" s="18"/>
      <c r="I144" s="18"/>
      <c r="J144" s="18"/>
      <c r="K144" s="18"/>
      <c r="L144" s="19"/>
      <c r="M144" s="6"/>
      <c r="N144" s="6" t="s">
        <v>205</v>
      </c>
      <c r="P144" s="85" t="str">
        <f t="shared" si="3"/>
        <v>0</v>
      </c>
      <c r="Q144" s="85">
        <f t="shared" si="4"/>
        <v>1</v>
      </c>
    </row>
    <row r="145" spans="1:17" ht="15" customHeight="1" x14ac:dyDescent="0.25">
      <c r="A145" s="5">
        <f t="shared" si="5"/>
        <v>126</v>
      </c>
      <c r="B145" s="20" t="s">
        <v>127</v>
      </c>
      <c r="C145" s="21"/>
      <c r="D145" s="21"/>
      <c r="E145" s="21"/>
      <c r="F145" s="21"/>
      <c r="G145" s="21"/>
      <c r="H145" s="21"/>
      <c r="I145" s="21"/>
      <c r="J145" s="21"/>
      <c r="K145" s="21"/>
      <c r="L145" s="22"/>
      <c r="M145" s="6"/>
      <c r="N145" s="6" t="s">
        <v>205</v>
      </c>
      <c r="P145" s="85" t="str">
        <f t="shared" si="3"/>
        <v>0</v>
      </c>
      <c r="Q145" s="85">
        <f t="shared" si="4"/>
        <v>1</v>
      </c>
    </row>
    <row r="146" spans="1:17" ht="15" customHeight="1" x14ac:dyDescent="0.25">
      <c r="A146" s="5">
        <f t="shared" si="5"/>
        <v>127</v>
      </c>
      <c r="B146" s="17" t="s">
        <v>128</v>
      </c>
      <c r="C146" s="18"/>
      <c r="D146" s="18"/>
      <c r="E146" s="18"/>
      <c r="F146" s="18"/>
      <c r="G146" s="18"/>
      <c r="H146" s="18"/>
      <c r="I146" s="18"/>
      <c r="J146" s="18"/>
      <c r="K146" s="18"/>
      <c r="L146" s="19"/>
      <c r="M146" s="6"/>
      <c r="N146" s="6" t="s">
        <v>205</v>
      </c>
      <c r="P146" s="85" t="str">
        <f t="shared" si="3"/>
        <v>0</v>
      </c>
      <c r="Q146" s="85">
        <f t="shared" si="4"/>
        <v>1</v>
      </c>
    </row>
    <row r="147" spans="1:17" ht="15" customHeight="1" x14ac:dyDescent="0.25">
      <c r="A147" s="5">
        <f t="shared" si="5"/>
        <v>128</v>
      </c>
      <c r="B147" s="20" t="s">
        <v>129</v>
      </c>
      <c r="C147" s="21"/>
      <c r="D147" s="21"/>
      <c r="E147" s="21"/>
      <c r="F147" s="21"/>
      <c r="G147" s="21"/>
      <c r="H147" s="21"/>
      <c r="I147" s="21"/>
      <c r="J147" s="21"/>
      <c r="K147" s="21"/>
      <c r="L147" s="22"/>
      <c r="M147" s="6"/>
      <c r="N147" s="6" t="s">
        <v>205</v>
      </c>
      <c r="P147" s="85" t="str">
        <f t="shared" si="3"/>
        <v>0</v>
      </c>
      <c r="Q147" s="85">
        <f t="shared" si="4"/>
        <v>1</v>
      </c>
    </row>
    <row r="148" spans="1:17" ht="15" customHeight="1" x14ac:dyDescent="0.25">
      <c r="A148" s="5">
        <f t="shared" si="5"/>
        <v>129</v>
      </c>
      <c r="B148" s="17" t="s">
        <v>130</v>
      </c>
      <c r="C148" s="18"/>
      <c r="D148" s="18"/>
      <c r="E148" s="18"/>
      <c r="F148" s="18"/>
      <c r="G148" s="18"/>
      <c r="H148" s="18"/>
      <c r="I148" s="18"/>
      <c r="J148" s="18"/>
      <c r="K148" s="18"/>
      <c r="L148" s="19"/>
      <c r="M148" s="6"/>
      <c r="N148" s="6" t="s">
        <v>205</v>
      </c>
      <c r="P148" s="85" t="str">
        <f t="shared" si="3"/>
        <v>0</v>
      </c>
      <c r="Q148" s="85">
        <f t="shared" si="4"/>
        <v>1</v>
      </c>
    </row>
    <row r="149" spans="1:17" ht="15" customHeight="1" x14ac:dyDescent="0.25">
      <c r="A149" s="5">
        <f t="shared" si="5"/>
        <v>130</v>
      </c>
      <c r="B149" s="20" t="s">
        <v>131</v>
      </c>
      <c r="C149" s="21"/>
      <c r="D149" s="21"/>
      <c r="E149" s="21"/>
      <c r="F149" s="21"/>
      <c r="G149" s="21"/>
      <c r="H149" s="21"/>
      <c r="I149" s="21"/>
      <c r="J149" s="21"/>
      <c r="K149" s="21"/>
      <c r="L149" s="22"/>
      <c r="M149" s="6"/>
      <c r="N149" s="6" t="s">
        <v>205</v>
      </c>
      <c r="P149" s="85" t="str">
        <f t="shared" ref="P149:P159" si="6">IF(M149="X",1,"0")</f>
        <v>0</v>
      </c>
      <c r="Q149" s="85">
        <f t="shared" ref="Q149:Q159" si="7">IF(N149="X",1,"0")</f>
        <v>1</v>
      </c>
    </row>
    <row r="150" spans="1:17" ht="15" customHeight="1" x14ac:dyDescent="0.25">
      <c r="A150" s="5">
        <f t="shared" ref="A150:A159" si="8">A149+1</f>
        <v>131</v>
      </c>
      <c r="B150" s="17" t="s">
        <v>132</v>
      </c>
      <c r="C150" s="18"/>
      <c r="D150" s="18"/>
      <c r="E150" s="18"/>
      <c r="F150" s="18"/>
      <c r="G150" s="18"/>
      <c r="H150" s="18"/>
      <c r="I150" s="18"/>
      <c r="J150" s="18"/>
      <c r="K150" s="18"/>
      <c r="L150" s="19"/>
      <c r="M150" s="6"/>
      <c r="N150" s="6" t="s">
        <v>205</v>
      </c>
      <c r="P150" s="85" t="str">
        <f t="shared" si="6"/>
        <v>0</v>
      </c>
      <c r="Q150" s="85">
        <f t="shared" si="7"/>
        <v>1</v>
      </c>
    </row>
    <row r="151" spans="1:17" ht="15" customHeight="1" x14ac:dyDescent="0.3">
      <c r="A151" s="5">
        <f t="shared" si="8"/>
        <v>132</v>
      </c>
      <c r="B151" s="20" t="s">
        <v>3</v>
      </c>
      <c r="C151" s="21"/>
      <c r="D151" s="21"/>
      <c r="E151" s="21"/>
      <c r="F151" s="21"/>
      <c r="G151" s="21"/>
      <c r="H151" s="21"/>
      <c r="I151" s="21"/>
      <c r="J151" s="21"/>
      <c r="K151" s="21"/>
      <c r="L151" s="22"/>
      <c r="M151" s="6"/>
      <c r="N151" s="6" t="s">
        <v>205</v>
      </c>
      <c r="P151" s="85" t="str">
        <f t="shared" si="6"/>
        <v>0</v>
      </c>
      <c r="Q151" s="85">
        <f t="shared" si="7"/>
        <v>1</v>
      </c>
    </row>
    <row r="152" spans="1:17" ht="15" customHeight="1" x14ac:dyDescent="0.25">
      <c r="A152" s="5">
        <f t="shared" si="8"/>
        <v>133</v>
      </c>
      <c r="B152" s="17" t="s">
        <v>133</v>
      </c>
      <c r="C152" s="18"/>
      <c r="D152" s="18"/>
      <c r="E152" s="18"/>
      <c r="F152" s="18"/>
      <c r="G152" s="18"/>
      <c r="H152" s="18"/>
      <c r="I152" s="18"/>
      <c r="J152" s="18"/>
      <c r="K152" s="18"/>
      <c r="L152" s="19"/>
      <c r="M152" s="6"/>
      <c r="N152" s="6" t="s">
        <v>205</v>
      </c>
      <c r="P152" s="85" t="str">
        <f t="shared" si="6"/>
        <v>0</v>
      </c>
      <c r="Q152" s="85">
        <f t="shared" si="7"/>
        <v>1</v>
      </c>
    </row>
    <row r="153" spans="1:17" ht="15" customHeight="1" x14ac:dyDescent="0.3">
      <c r="A153" s="5">
        <f t="shared" si="8"/>
        <v>134</v>
      </c>
      <c r="B153" s="20" t="s">
        <v>139</v>
      </c>
      <c r="C153" s="21"/>
      <c r="D153" s="21"/>
      <c r="E153" s="21"/>
      <c r="F153" s="21"/>
      <c r="G153" s="21"/>
      <c r="H153" s="21"/>
      <c r="I153" s="21"/>
      <c r="J153" s="21"/>
      <c r="K153" s="21"/>
      <c r="L153" s="22"/>
      <c r="M153" s="6"/>
      <c r="N153" s="6" t="s">
        <v>205</v>
      </c>
      <c r="P153" s="85" t="str">
        <f t="shared" si="6"/>
        <v>0</v>
      </c>
      <c r="Q153" s="85">
        <f t="shared" si="7"/>
        <v>1</v>
      </c>
    </row>
    <row r="154" spans="1:17" ht="15" customHeight="1" x14ac:dyDescent="0.25">
      <c r="A154" s="5">
        <f t="shared" si="8"/>
        <v>135</v>
      </c>
      <c r="B154" s="17" t="s">
        <v>134</v>
      </c>
      <c r="C154" s="18"/>
      <c r="D154" s="18"/>
      <c r="E154" s="18"/>
      <c r="F154" s="18"/>
      <c r="G154" s="18"/>
      <c r="H154" s="18"/>
      <c r="I154" s="18"/>
      <c r="J154" s="18"/>
      <c r="K154" s="18"/>
      <c r="L154" s="19"/>
      <c r="M154" s="6"/>
      <c r="N154" s="6" t="s">
        <v>205</v>
      </c>
      <c r="P154" s="85" t="str">
        <f t="shared" si="6"/>
        <v>0</v>
      </c>
      <c r="Q154" s="85">
        <f t="shared" si="7"/>
        <v>1</v>
      </c>
    </row>
    <row r="155" spans="1:17" ht="15" customHeight="1" x14ac:dyDescent="0.25">
      <c r="A155" s="5">
        <f t="shared" si="8"/>
        <v>136</v>
      </c>
      <c r="B155" s="20" t="s">
        <v>135</v>
      </c>
      <c r="C155" s="21"/>
      <c r="D155" s="21"/>
      <c r="E155" s="21"/>
      <c r="F155" s="21"/>
      <c r="G155" s="21"/>
      <c r="H155" s="21"/>
      <c r="I155" s="21"/>
      <c r="J155" s="21"/>
      <c r="K155" s="21"/>
      <c r="L155" s="22"/>
      <c r="M155" s="6"/>
      <c r="N155" s="6" t="s">
        <v>205</v>
      </c>
      <c r="P155" s="85" t="str">
        <f t="shared" si="6"/>
        <v>0</v>
      </c>
      <c r="Q155" s="85">
        <f t="shared" si="7"/>
        <v>1</v>
      </c>
    </row>
    <row r="156" spans="1:17" ht="15" customHeight="1" x14ac:dyDescent="0.25">
      <c r="A156" s="5">
        <f t="shared" si="8"/>
        <v>137</v>
      </c>
      <c r="B156" s="17" t="s">
        <v>136</v>
      </c>
      <c r="C156" s="18"/>
      <c r="D156" s="18"/>
      <c r="E156" s="18"/>
      <c r="F156" s="18"/>
      <c r="G156" s="18"/>
      <c r="H156" s="18"/>
      <c r="I156" s="18"/>
      <c r="J156" s="18"/>
      <c r="K156" s="18"/>
      <c r="L156" s="19"/>
      <c r="M156" s="6"/>
      <c r="N156" s="6" t="s">
        <v>205</v>
      </c>
      <c r="P156" s="85" t="str">
        <f t="shared" si="6"/>
        <v>0</v>
      </c>
      <c r="Q156" s="85">
        <f t="shared" si="7"/>
        <v>1</v>
      </c>
    </row>
    <row r="157" spans="1:17" ht="15" customHeight="1" x14ac:dyDescent="0.25">
      <c r="A157" s="5">
        <f t="shared" si="8"/>
        <v>138</v>
      </c>
      <c r="B157" s="20" t="s">
        <v>137</v>
      </c>
      <c r="C157" s="21"/>
      <c r="D157" s="21"/>
      <c r="E157" s="21"/>
      <c r="F157" s="21"/>
      <c r="G157" s="21"/>
      <c r="H157" s="21"/>
      <c r="I157" s="21"/>
      <c r="J157" s="21"/>
      <c r="K157" s="21"/>
      <c r="L157" s="22"/>
      <c r="M157" s="6"/>
      <c r="N157" s="6" t="s">
        <v>205</v>
      </c>
      <c r="P157" s="85" t="str">
        <f t="shared" si="6"/>
        <v>0</v>
      </c>
      <c r="Q157" s="85">
        <f t="shared" si="7"/>
        <v>1</v>
      </c>
    </row>
    <row r="158" spans="1:17" ht="15" customHeight="1" x14ac:dyDescent="0.25">
      <c r="A158" s="5">
        <f t="shared" si="8"/>
        <v>139</v>
      </c>
      <c r="B158" s="17" t="s">
        <v>138</v>
      </c>
      <c r="C158" s="18"/>
      <c r="D158" s="18"/>
      <c r="E158" s="18"/>
      <c r="F158" s="18"/>
      <c r="G158" s="18"/>
      <c r="H158" s="18"/>
      <c r="I158" s="18"/>
      <c r="J158" s="18"/>
      <c r="K158" s="18"/>
      <c r="L158" s="19"/>
      <c r="M158" s="6"/>
      <c r="N158" s="6" t="s">
        <v>205</v>
      </c>
      <c r="P158" s="85" t="str">
        <f t="shared" si="6"/>
        <v>0</v>
      </c>
      <c r="Q158" s="85">
        <f t="shared" si="7"/>
        <v>1</v>
      </c>
    </row>
    <row r="159" spans="1:17" ht="15" customHeight="1" x14ac:dyDescent="0.3">
      <c r="A159" s="5">
        <f t="shared" si="8"/>
        <v>140</v>
      </c>
      <c r="B159" s="25" t="s">
        <v>157</v>
      </c>
      <c r="C159" s="26"/>
      <c r="D159" s="26"/>
      <c r="E159" s="26"/>
      <c r="F159" s="26"/>
      <c r="G159" s="26"/>
      <c r="H159" s="26"/>
      <c r="I159" s="26"/>
      <c r="J159" s="26"/>
      <c r="K159" s="26"/>
      <c r="L159" s="27"/>
      <c r="M159" s="6"/>
      <c r="N159" s="6" t="s">
        <v>205</v>
      </c>
      <c r="P159" s="85" t="str">
        <f t="shared" si="6"/>
        <v>0</v>
      </c>
      <c r="Q159" s="85">
        <f t="shared" si="7"/>
        <v>1</v>
      </c>
    </row>
    <row r="160" spans="1:17" s="1" customFormat="1" x14ac:dyDescent="0.3">
      <c r="B160" s="2"/>
      <c r="C160" s="4"/>
      <c r="D160" s="4"/>
      <c r="E160" s="4"/>
      <c r="F160" s="4"/>
      <c r="G160" s="4"/>
      <c r="H160" s="4"/>
      <c r="I160" s="4"/>
      <c r="J160" s="4"/>
      <c r="K160" s="23"/>
      <c r="L160" s="13" t="s">
        <v>162</v>
      </c>
      <c r="M160" s="12"/>
      <c r="N160" s="14">
        <f>Q160</f>
        <v>140</v>
      </c>
      <c r="P160" s="72"/>
      <c r="Q160" s="73">
        <f>SUM(P20:Q159)</f>
        <v>140</v>
      </c>
    </row>
    <row r="161" spans="2:14" s="1" customFormat="1" ht="15" customHeight="1" x14ac:dyDescent="0.3">
      <c r="B161" s="2"/>
      <c r="C161" s="4"/>
      <c r="D161" s="4"/>
      <c r="E161" s="4"/>
      <c r="F161" s="4"/>
      <c r="G161" s="4"/>
      <c r="H161" s="4"/>
      <c r="I161" s="4"/>
      <c r="J161" s="4"/>
      <c r="K161" s="24"/>
      <c r="L161" s="83" t="str">
        <f>IF(AND(N160=140),"Wah hebat, pass 140","Waduh cek lagi, tidak sama 140 !!")</f>
        <v>Wah hebat, pass 140</v>
      </c>
      <c r="M161" s="83"/>
      <c r="N161" s="83"/>
    </row>
    <row r="162" spans="2:14" s="1" customFormat="1" ht="15" customHeight="1" x14ac:dyDescent="0.3">
      <c r="B162" s="28" t="s">
        <v>149</v>
      </c>
      <c r="C162" s="28"/>
      <c r="D162" s="28"/>
      <c r="E162" s="28"/>
      <c r="F162" s="28"/>
      <c r="G162" s="28"/>
      <c r="H162" s="28"/>
      <c r="I162" s="28"/>
      <c r="J162" s="28"/>
      <c r="K162" s="28"/>
      <c r="L162" s="28"/>
      <c r="M162" s="28"/>
      <c r="N162" s="28"/>
    </row>
    <row r="163" spans="2:14" s="1" customFormat="1" x14ac:dyDescent="0.3">
      <c r="B163" s="2"/>
      <c r="N163" s="9"/>
    </row>
    <row r="164" spans="2:14" s="1" customFormat="1" x14ac:dyDescent="0.25">
      <c r="B164" s="2"/>
      <c r="N164" s="9"/>
    </row>
    <row r="165" spans="2:14" s="1" customFormat="1" x14ac:dyDescent="0.25">
      <c r="B165" s="2"/>
      <c r="N165" s="9"/>
    </row>
    <row r="166" spans="2:14" s="1" customFormat="1" x14ac:dyDescent="0.25">
      <c r="B166" s="2"/>
      <c r="N166" s="9"/>
    </row>
  </sheetData>
  <sheetProtection password="C53D" sheet="1" objects="1" scenarios="1"/>
  <pageMargins left="0.70866141732283472" right="0.70866141732283472" top="0.74803149606299213" bottom="0.74803149606299213" header="0.31496062992125984" footer="0.31496062992125984"/>
  <pageSetup paperSize="9" scale="70" orientation="landscape" r:id="rId1"/>
  <rowBreaks count="3" manualBreakCount="3">
    <brk id="42" min="1" max="13" man="1"/>
    <brk id="83" min="1" max="13" man="1"/>
    <brk id="123" min="1"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S58"/>
  <sheetViews>
    <sheetView topLeftCell="B1" zoomScale="80" zoomScaleNormal="80" workbookViewId="0">
      <selection activeCell="B1" sqref="A1:XFD1048576"/>
    </sheetView>
  </sheetViews>
  <sheetFormatPr defaultColWidth="3.7109375" defaultRowHeight="15" x14ac:dyDescent="0.25"/>
  <cols>
    <col min="1" max="1" width="3.7109375" style="50"/>
    <col min="2" max="2" width="21.28515625" style="50" bestFit="1" customWidth="1"/>
    <col min="3" max="3" width="3.7109375" style="50"/>
    <col min="4" max="4" width="3.42578125" style="50" customWidth="1"/>
    <col min="5" max="43" width="3.7109375" style="50"/>
    <col min="44" max="44" width="5.28515625" style="50" bestFit="1" customWidth="1"/>
    <col min="45" max="45" width="21.28515625" style="50" bestFit="1" customWidth="1"/>
    <col min="46" max="16384" width="3.7109375" style="50"/>
  </cols>
  <sheetData>
    <row r="1" spans="1:45" x14ac:dyDescent="0.25">
      <c r="A1" s="34"/>
      <c r="B1" s="52" t="s">
        <v>194</v>
      </c>
      <c r="C1" s="29"/>
      <c r="D1" s="29"/>
      <c r="E1" s="29"/>
      <c r="F1" s="29"/>
      <c r="G1" s="29"/>
      <c r="H1" s="29"/>
      <c r="I1" s="53"/>
      <c r="R1" s="52" t="s">
        <v>204</v>
      </c>
      <c r="S1" s="52"/>
      <c r="T1" s="52"/>
    </row>
    <row r="2" spans="1:45" x14ac:dyDescent="0.3">
      <c r="A2" s="54"/>
      <c r="B2" s="4"/>
      <c r="C2" s="4"/>
      <c r="D2" s="4"/>
      <c r="E2" s="4"/>
      <c r="F2" s="4"/>
      <c r="G2" s="4"/>
      <c r="H2" s="4"/>
    </row>
    <row r="3" spans="1:45" x14ac:dyDescent="0.3">
      <c r="A3" s="54"/>
      <c r="B3" s="4" t="str">
        <f>Interpretasi!A3</f>
        <v>Tanggal isi</v>
      </c>
      <c r="C3" s="54" t="str">
        <f>Interpretasi!B3</f>
        <v>:</v>
      </c>
      <c r="D3" s="115">
        <f>Interpretasi!C3</f>
        <v>44606</v>
      </c>
      <c r="E3" s="115"/>
      <c r="F3" s="115"/>
      <c r="G3" s="115"/>
      <c r="H3" s="115"/>
      <c r="I3" s="115"/>
      <c r="J3" s="115"/>
      <c r="K3" s="115"/>
    </row>
    <row r="4" spans="1:45" x14ac:dyDescent="0.3">
      <c r="A4" s="54"/>
      <c r="B4" s="4" t="str">
        <f>Interpretasi!A4</f>
        <v>Nama</v>
      </c>
      <c r="C4" s="54" t="str">
        <f>Interpretasi!B4</f>
        <v>:</v>
      </c>
      <c r="D4" s="115" t="str">
        <f>Interpretasi!C4</f>
        <v>TES</v>
      </c>
      <c r="E4" s="116"/>
      <c r="F4" s="116"/>
      <c r="G4" s="116"/>
      <c r="H4" s="116"/>
      <c r="I4" s="116"/>
      <c r="J4" s="116"/>
      <c r="K4" s="116"/>
    </row>
    <row r="5" spans="1:45" x14ac:dyDescent="0.3">
      <c r="A5" s="54"/>
      <c r="B5" s="4" t="str">
        <f>Interpretasi!A5</f>
        <v>Jenis Kelamin</v>
      </c>
      <c r="C5" s="54" t="str">
        <f>Interpretasi!B5</f>
        <v>:</v>
      </c>
      <c r="D5" s="115" t="str">
        <f>Interpretasi!C5</f>
        <v>LAKI</v>
      </c>
      <c r="E5" s="116"/>
      <c r="F5" s="116"/>
      <c r="G5" s="116"/>
      <c r="H5" s="116"/>
      <c r="I5" s="116"/>
      <c r="J5" s="116"/>
      <c r="K5" s="116"/>
    </row>
    <row r="6" spans="1:45" x14ac:dyDescent="0.3">
      <c r="A6" s="54"/>
      <c r="B6" s="4" t="str">
        <f>Interpretasi!A6</f>
        <v>Tanggal Lahir</v>
      </c>
      <c r="C6" s="54" t="str">
        <f>Interpretasi!B6</f>
        <v>:</v>
      </c>
      <c r="D6" s="115">
        <f>Interpretasi!C6</f>
        <v>36533</v>
      </c>
      <c r="E6" s="116"/>
      <c r="F6" s="116"/>
      <c r="G6" s="116"/>
      <c r="H6" s="116"/>
      <c r="I6" s="116"/>
      <c r="J6" s="116"/>
      <c r="K6" s="116"/>
    </row>
    <row r="7" spans="1:45" x14ac:dyDescent="0.3">
      <c r="A7" s="54"/>
      <c r="B7" s="4" t="str">
        <f>Interpretasi!A7</f>
        <v>Usia</v>
      </c>
      <c r="C7" s="54" t="str">
        <f>Interpretasi!B7</f>
        <v>:</v>
      </c>
      <c r="D7" s="115">
        <f>Interpretasi!C7</f>
        <v>22</v>
      </c>
      <c r="E7" s="116"/>
      <c r="F7" s="116"/>
      <c r="G7" s="116"/>
      <c r="H7" s="116"/>
      <c r="I7" s="116"/>
      <c r="J7" s="116"/>
      <c r="K7" s="116"/>
    </row>
    <row r="8" spans="1:45" x14ac:dyDescent="0.3">
      <c r="A8" s="54"/>
      <c r="B8" s="4" t="str">
        <f>Interpretasi!A8</f>
        <v>Pendidikan</v>
      </c>
      <c r="C8" s="54" t="str">
        <f>Interpretasi!B8</f>
        <v>:</v>
      </c>
      <c r="D8" s="115" t="str">
        <f>Interpretasi!C8</f>
        <v>smu</v>
      </c>
      <c r="E8" s="116"/>
      <c r="F8" s="116"/>
      <c r="G8" s="116"/>
      <c r="H8" s="116"/>
      <c r="I8" s="116"/>
      <c r="J8" s="116"/>
      <c r="K8" s="116"/>
    </row>
    <row r="10" spans="1:45" x14ac:dyDescent="0.3">
      <c r="B10" s="55" t="s">
        <v>177</v>
      </c>
      <c r="C10" s="96">
        <v>0</v>
      </c>
      <c r="D10" s="96"/>
      <c r="E10" s="96">
        <f>C10+1</f>
        <v>1</v>
      </c>
      <c r="F10" s="96"/>
      <c r="G10" s="96">
        <f t="shared" ref="G10" si="0">E10+1</f>
        <v>2</v>
      </c>
      <c r="H10" s="96"/>
      <c r="I10" s="96">
        <f t="shared" ref="I10" si="1">G10+1</f>
        <v>3</v>
      </c>
      <c r="J10" s="96"/>
      <c r="K10" s="96">
        <f t="shared" ref="K10" si="2">I10+1</f>
        <v>4</v>
      </c>
      <c r="L10" s="96"/>
      <c r="M10" s="96">
        <f t="shared" ref="M10" si="3">K10+1</f>
        <v>5</v>
      </c>
      <c r="N10" s="96"/>
      <c r="O10" s="96">
        <f t="shared" ref="O10" si="4">M10+1</f>
        <v>6</v>
      </c>
      <c r="P10" s="96"/>
      <c r="Q10" s="96">
        <f t="shared" ref="Q10" si="5">O10+1</f>
        <v>7</v>
      </c>
      <c r="R10" s="96"/>
      <c r="S10" s="96">
        <f t="shared" ref="S10" si="6">Q10+1</f>
        <v>8</v>
      </c>
      <c r="T10" s="96"/>
      <c r="U10" s="96">
        <f>S10+1</f>
        <v>9</v>
      </c>
      <c r="V10" s="96"/>
      <c r="W10" s="96">
        <f t="shared" ref="W10" si="7">U10+1</f>
        <v>10</v>
      </c>
      <c r="X10" s="96"/>
      <c r="Y10" s="96">
        <f t="shared" ref="Y10" si="8">W10+1</f>
        <v>11</v>
      </c>
      <c r="Z10" s="96"/>
      <c r="AA10" s="96">
        <f t="shared" ref="AA10" si="9">Y10+1</f>
        <v>12</v>
      </c>
      <c r="AB10" s="96"/>
      <c r="AC10" s="96">
        <f t="shared" ref="AC10" si="10">AA10+1</f>
        <v>13</v>
      </c>
      <c r="AD10" s="96"/>
      <c r="AE10" s="96">
        <f t="shared" ref="AE10" si="11">AC10+1</f>
        <v>14</v>
      </c>
      <c r="AF10" s="96"/>
      <c r="AG10" s="94">
        <f t="shared" ref="AG10" si="12">AE10+1</f>
        <v>15</v>
      </c>
      <c r="AH10" s="94"/>
      <c r="AI10" s="94">
        <f t="shared" ref="AI10" si="13">AG10+1</f>
        <v>16</v>
      </c>
      <c r="AJ10" s="94"/>
      <c r="AK10" s="95">
        <f t="shared" ref="AK10" si="14">AI10+1</f>
        <v>17</v>
      </c>
      <c r="AL10" s="95"/>
      <c r="AM10" s="95">
        <f t="shared" ref="AM10" si="15">AK10+1</f>
        <v>18</v>
      </c>
      <c r="AN10" s="95"/>
      <c r="AO10" s="95">
        <f t="shared" ref="AO10" si="16">AM10+1</f>
        <v>19</v>
      </c>
      <c r="AP10" s="95"/>
      <c r="AQ10" s="95">
        <f t="shared" ref="AQ10" si="17">AO10+1</f>
        <v>20</v>
      </c>
      <c r="AR10" s="95"/>
      <c r="AS10" s="55" t="s">
        <v>177</v>
      </c>
    </row>
    <row r="11" spans="1:45" x14ac:dyDescent="0.3">
      <c r="B11" s="55" t="s">
        <v>178</v>
      </c>
      <c r="C11" s="111" t="str">
        <f>IF(Interpretasi!K52=0,"X","-")</f>
        <v>-</v>
      </c>
      <c r="D11" s="112"/>
      <c r="E11" s="111" t="str">
        <f>IF(Interpretasi!K52=1,"X","-")</f>
        <v>-</v>
      </c>
      <c r="F11" s="112"/>
      <c r="G11" s="111" t="str">
        <f>IF(Interpretasi!K52=2,"X","-")</f>
        <v>-</v>
      </c>
      <c r="H11" s="112"/>
      <c r="I11" s="111" t="str">
        <f>IF(Interpretasi!K52=3,"X","-")</f>
        <v>-</v>
      </c>
      <c r="J11" s="112"/>
      <c r="K11" s="111" t="str">
        <f>IF(Interpretasi!K52=4,"X","-")</f>
        <v>-</v>
      </c>
      <c r="L11" s="112"/>
      <c r="M11" s="111" t="str">
        <f>IF(Interpretasi!K52=5,"X","-")</f>
        <v>X</v>
      </c>
      <c r="N11" s="112"/>
      <c r="O11" s="111" t="str">
        <f>IF(Interpretasi!K52=6,"X","-")</f>
        <v>-</v>
      </c>
      <c r="P11" s="112"/>
      <c r="Q11" s="111" t="str">
        <f>IF(Interpretasi!K52=7,"X","-")</f>
        <v>-</v>
      </c>
      <c r="R11" s="112"/>
      <c r="S11" s="111" t="str">
        <f>IF(Interpretasi!K52=8,"X","-")</f>
        <v>-</v>
      </c>
      <c r="T11" s="112"/>
      <c r="U11" s="111" t="str">
        <f>IF(Interpretasi!K52=9,"X","-")</f>
        <v>-</v>
      </c>
      <c r="V11" s="112"/>
      <c r="W11" s="111" t="str">
        <f>IF(Interpretasi!K52=10,"X","-")</f>
        <v>-</v>
      </c>
      <c r="X11" s="112"/>
      <c r="Y11" s="111" t="str">
        <f>IF(Interpretasi!K52=11,"X","-")</f>
        <v>-</v>
      </c>
      <c r="Z11" s="112"/>
      <c r="AA11" s="111" t="str">
        <f>IF(Interpretasi!K52=12,"X","-")</f>
        <v>-</v>
      </c>
      <c r="AB11" s="112"/>
      <c r="AC11" s="111" t="str">
        <f>IF(Interpretasi!K52=13,"X","-")</f>
        <v>-</v>
      </c>
      <c r="AD11" s="112"/>
      <c r="AE11" s="96" t="str">
        <f>IF(Interpretasi!K52=14,"X","-")</f>
        <v>-</v>
      </c>
      <c r="AF11" s="96"/>
      <c r="AG11" s="94" t="str">
        <f>IF(Interpretasi!K52=15,"X","-")</f>
        <v>-</v>
      </c>
      <c r="AH11" s="94"/>
      <c r="AI11" s="113" t="str">
        <f>IF(Interpretasi!K52=16,"X","-")</f>
        <v>-</v>
      </c>
      <c r="AJ11" s="114"/>
      <c r="AK11" s="109" t="str">
        <f>IF(Interpretasi!K52=17,"X","-")</f>
        <v>-</v>
      </c>
      <c r="AL11" s="110"/>
      <c r="AM11" s="109" t="str">
        <f>IF(Interpretasi!K52=18,"X","-")</f>
        <v>-</v>
      </c>
      <c r="AN11" s="110"/>
      <c r="AO11" s="109" t="str">
        <f>IF(Interpretasi!K52=19,"X","-")</f>
        <v>-</v>
      </c>
      <c r="AP11" s="110"/>
      <c r="AQ11" s="109" t="str">
        <f>IF(Interpretasi!K52=20,"X","-")</f>
        <v>-</v>
      </c>
      <c r="AR11" s="110"/>
      <c r="AS11" s="55" t="s">
        <v>178</v>
      </c>
    </row>
    <row r="13" spans="1:45" ht="15" customHeight="1" x14ac:dyDescent="0.25">
      <c r="B13" s="55" t="s">
        <v>179</v>
      </c>
      <c r="C13" s="96" t="s">
        <v>181</v>
      </c>
      <c r="D13" s="96"/>
      <c r="E13" s="96"/>
      <c r="F13" s="96"/>
      <c r="G13" s="96"/>
      <c r="H13" s="96"/>
      <c r="I13" s="96" t="s">
        <v>182</v>
      </c>
      <c r="J13" s="96"/>
      <c r="K13" s="96"/>
      <c r="L13" s="96"/>
      <c r="M13" s="96"/>
      <c r="N13" s="96"/>
      <c r="O13" s="96" t="s">
        <v>183</v>
      </c>
      <c r="P13" s="96"/>
      <c r="Q13" s="96"/>
      <c r="R13" s="96"/>
      <c r="S13" s="96"/>
      <c r="T13" s="96"/>
      <c r="U13" s="96" t="s">
        <v>184</v>
      </c>
      <c r="V13" s="96"/>
      <c r="W13" s="96"/>
      <c r="X13" s="96"/>
      <c r="Y13" s="96"/>
      <c r="Z13" s="96"/>
      <c r="AA13" s="96"/>
      <c r="AB13" s="96"/>
      <c r="AC13" s="96" t="s">
        <v>185</v>
      </c>
      <c r="AD13" s="96"/>
      <c r="AE13" s="96"/>
      <c r="AF13" s="96"/>
      <c r="AG13" s="96"/>
      <c r="AH13" s="96"/>
      <c r="AI13" s="96"/>
      <c r="AJ13" s="96"/>
      <c r="AK13" s="96" t="s">
        <v>186</v>
      </c>
      <c r="AL13" s="96"/>
      <c r="AM13" s="96"/>
      <c r="AN13" s="96"/>
      <c r="AO13" s="96"/>
      <c r="AP13" s="96"/>
      <c r="AQ13" s="96"/>
      <c r="AR13" s="96"/>
      <c r="AS13" s="55" t="s">
        <v>179</v>
      </c>
    </row>
    <row r="14" spans="1:45" ht="15.75" customHeight="1" x14ac:dyDescent="0.25">
      <c r="A14" s="56"/>
      <c r="B14" s="55" t="s">
        <v>180</v>
      </c>
      <c r="C14" s="96"/>
      <c r="D14" s="96"/>
      <c r="E14" s="96"/>
      <c r="F14" s="96"/>
      <c r="G14" s="96"/>
      <c r="H14" s="96"/>
      <c r="I14" s="96"/>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55" t="s">
        <v>180</v>
      </c>
    </row>
    <row r="15" spans="1:45" x14ac:dyDescent="0.3">
      <c r="A15" s="56"/>
      <c r="B15" s="86">
        <v>20</v>
      </c>
      <c r="C15" s="108" t="str">
        <f>IF(Interpretasi!K46=20,"X","-")</f>
        <v>-</v>
      </c>
      <c r="D15" s="108"/>
      <c r="E15" s="108"/>
      <c r="F15" s="108"/>
      <c r="G15" s="108"/>
      <c r="H15" s="108"/>
      <c r="I15" s="108" t="str">
        <f>IF(Interpretasi!K47=20,"X","-")</f>
        <v>-</v>
      </c>
      <c r="J15" s="108"/>
      <c r="K15" s="108"/>
      <c r="L15" s="108"/>
      <c r="M15" s="108"/>
      <c r="N15" s="108"/>
      <c r="O15" s="108" t="str">
        <f>IF(Interpretasi!K48=20,"X","-")</f>
        <v>-</v>
      </c>
      <c r="P15" s="108"/>
      <c r="Q15" s="108"/>
      <c r="R15" s="108"/>
      <c r="S15" s="108"/>
      <c r="T15" s="108"/>
      <c r="U15" s="108" t="str">
        <f>IF(Interpretasi!K49=20,"X","-")</f>
        <v>-</v>
      </c>
      <c r="V15" s="108"/>
      <c r="W15" s="108"/>
      <c r="X15" s="108"/>
      <c r="Y15" s="108"/>
      <c r="Z15" s="108"/>
      <c r="AA15" s="108"/>
      <c r="AB15" s="108"/>
      <c r="AC15" s="108" t="str">
        <f>IF(Interpretasi!K50=20,"X","-")</f>
        <v>-</v>
      </c>
      <c r="AD15" s="108"/>
      <c r="AE15" s="108"/>
      <c r="AF15" s="108"/>
      <c r="AG15" s="108"/>
      <c r="AH15" s="108"/>
      <c r="AI15" s="108"/>
      <c r="AJ15" s="108"/>
      <c r="AK15" s="108" t="str">
        <f>IF(Interpretasi!K51=20,"X","-")</f>
        <v>-</v>
      </c>
      <c r="AL15" s="108"/>
      <c r="AM15" s="108"/>
      <c r="AN15" s="108"/>
      <c r="AO15" s="108"/>
      <c r="AP15" s="108"/>
      <c r="AQ15" s="108"/>
      <c r="AR15" s="108"/>
      <c r="AS15" s="86">
        <v>20</v>
      </c>
    </row>
    <row r="16" spans="1:45" x14ac:dyDescent="0.3">
      <c r="A16" s="56"/>
      <c r="B16" s="86">
        <f>B15-1</f>
        <v>19</v>
      </c>
      <c r="C16" s="108" t="str">
        <f>IF(Interpretasi!K46=19,"X","-")</f>
        <v>-</v>
      </c>
      <c r="D16" s="108"/>
      <c r="E16" s="108"/>
      <c r="F16" s="108"/>
      <c r="G16" s="108"/>
      <c r="H16" s="108"/>
      <c r="I16" s="108" t="str">
        <f>IF(Interpretasi!K47=19,"X","-")</f>
        <v>-</v>
      </c>
      <c r="J16" s="108"/>
      <c r="K16" s="108"/>
      <c r="L16" s="108"/>
      <c r="M16" s="108"/>
      <c r="N16" s="108"/>
      <c r="O16" s="108" t="str">
        <f>IF(Interpretasi!K48=19,"X","-")</f>
        <v>-</v>
      </c>
      <c r="P16" s="108"/>
      <c r="Q16" s="108"/>
      <c r="R16" s="108"/>
      <c r="S16" s="108"/>
      <c r="T16" s="108"/>
      <c r="U16" s="108" t="str">
        <f>IF(Interpretasi!K49=19,"X","-")</f>
        <v>-</v>
      </c>
      <c r="V16" s="108"/>
      <c r="W16" s="108"/>
      <c r="X16" s="108"/>
      <c r="Y16" s="108"/>
      <c r="Z16" s="108"/>
      <c r="AA16" s="108"/>
      <c r="AB16" s="108"/>
      <c r="AC16" s="108" t="str">
        <f>IF(Interpretasi!K50=19,"X","-")</f>
        <v>-</v>
      </c>
      <c r="AD16" s="108"/>
      <c r="AE16" s="108"/>
      <c r="AF16" s="108"/>
      <c r="AG16" s="108"/>
      <c r="AH16" s="108"/>
      <c r="AI16" s="108"/>
      <c r="AJ16" s="108"/>
      <c r="AK16" s="108" t="str">
        <f>IF(Interpretasi!K51=19,"X","-")</f>
        <v>-</v>
      </c>
      <c r="AL16" s="108"/>
      <c r="AM16" s="108"/>
      <c r="AN16" s="108"/>
      <c r="AO16" s="108"/>
      <c r="AP16" s="108"/>
      <c r="AQ16" s="108"/>
      <c r="AR16" s="108"/>
      <c r="AS16" s="86">
        <f>AS15-1</f>
        <v>19</v>
      </c>
    </row>
    <row r="17" spans="1:45" x14ac:dyDescent="0.3">
      <c r="A17" s="56"/>
      <c r="B17" s="86">
        <f t="shared" ref="B17:B35" si="18">B16-1</f>
        <v>18</v>
      </c>
      <c r="C17" s="108" t="str">
        <f>IF(Interpretasi!K46=18,"X","-")</f>
        <v>-</v>
      </c>
      <c r="D17" s="108"/>
      <c r="E17" s="108"/>
      <c r="F17" s="108"/>
      <c r="G17" s="108"/>
      <c r="H17" s="108"/>
      <c r="I17" s="108" t="str">
        <f>IF(Interpretasi!K47=18,"X","-")</f>
        <v>-</v>
      </c>
      <c r="J17" s="108"/>
      <c r="K17" s="108"/>
      <c r="L17" s="108"/>
      <c r="M17" s="108"/>
      <c r="N17" s="108"/>
      <c r="O17" s="108" t="str">
        <f>IF(Interpretasi!K48=18,"X","-")</f>
        <v>-</v>
      </c>
      <c r="P17" s="108"/>
      <c r="Q17" s="108"/>
      <c r="R17" s="108"/>
      <c r="S17" s="108"/>
      <c r="T17" s="108"/>
      <c r="U17" s="108" t="str">
        <f>IF(Interpretasi!K49=18,"X","-")</f>
        <v>-</v>
      </c>
      <c r="V17" s="108"/>
      <c r="W17" s="108"/>
      <c r="X17" s="108"/>
      <c r="Y17" s="108"/>
      <c r="Z17" s="108"/>
      <c r="AA17" s="108"/>
      <c r="AB17" s="108"/>
      <c r="AC17" s="108" t="str">
        <f>IF(Interpretasi!K50=18,"X","-")</f>
        <v>-</v>
      </c>
      <c r="AD17" s="108"/>
      <c r="AE17" s="108"/>
      <c r="AF17" s="108"/>
      <c r="AG17" s="108"/>
      <c r="AH17" s="108"/>
      <c r="AI17" s="108"/>
      <c r="AJ17" s="108"/>
      <c r="AK17" s="108" t="str">
        <f>IF(Interpretasi!K51=18,"X","-")</f>
        <v>-</v>
      </c>
      <c r="AL17" s="108"/>
      <c r="AM17" s="108"/>
      <c r="AN17" s="108"/>
      <c r="AO17" s="108"/>
      <c r="AP17" s="108"/>
      <c r="AQ17" s="108"/>
      <c r="AR17" s="108"/>
      <c r="AS17" s="86">
        <f t="shared" ref="AS17:AS35" si="19">AS16-1</f>
        <v>18</v>
      </c>
    </row>
    <row r="18" spans="1:45" x14ac:dyDescent="0.3">
      <c r="A18" s="56"/>
      <c r="B18" s="86">
        <f t="shared" si="18"/>
        <v>17</v>
      </c>
      <c r="C18" s="108" t="str">
        <f>IF(Interpretasi!K46=17,"X","-")</f>
        <v>-</v>
      </c>
      <c r="D18" s="108"/>
      <c r="E18" s="108"/>
      <c r="F18" s="108"/>
      <c r="G18" s="108"/>
      <c r="H18" s="108"/>
      <c r="I18" s="108" t="str">
        <f>IF(Interpretasi!K47=17,"X","-")</f>
        <v>-</v>
      </c>
      <c r="J18" s="108"/>
      <c r="K18" s="108"/>
      <c r="L18" s="108"/>
      <c r="M18" s="108"/>
      <c r="N18" s="108"/>
      <c r="O18" s="108" t="str">
        <f>IF(Interpretasi!K48=17,"X","-")</f>
        <v>-</v>
      </c>
      <c r="P18" s="108"/>
      <c r="Q18" s="108"/>
      <c r="R18" s="108"/>
      <c r="S18" s="108"/>
      <c r="T18" s="108"/>
      <c r="U18" s="108" t="str">
        <f>IF(Interpretasi!K49=17,"X","-")</f>
        <v>-</v>
      </c>
      <c r="V18" s="108"/>
      <c r="W18" s="108"/>
      <c r="X18" s="108"/>
      <c r="Y18" s="108"/>
      <c r="Z18" s="108"/>
      <c r="AA18" s="108"/>
      <c r="AB18" s="108"/>
      <c r="AC18" s="108" t="str">
        <f>IF(Interpretasi!K50=17,"X","-")</f>
        <v>-</v>
      </c>
      <c r="AD18" s="108"/>
      <c r="AE18" s="108"/>
      <c r="AF18" s="108"/>
      <c r="AG18" s="108"/>
      <c r="AH18" s="108"/>
      <c r="AI18" s="108"/>
      <c r="AJ18" s="108"/>
      <c r="AK18" s="108" t="str">
        <f>IF(Interpretasi!K51=17,"X","-")</f>
        <v>-</v>
      </c>
      <c r="AL18" s="108"/>
      <c r="AM18" s="108"/>
      <c r="AN18" s="108"/>
      <c r="AO18" s="108"/>
      <c r="AP18" s="108"/>
      <c r="AQ18" s="108"/>
      <c r="AR18" s="108"/>
      <c r="AS18" s="86">
        <f t="shared" si="19"/>
        <v>17</v>
      </c>
    </row>
    <row r="19" spans="1:45" x14ac:dyDescent="0.3">
      <c r="A19" s="56"/>
      <c r="B19" s="86">
        <f t="shared" si="18"/>
        <v>16</v>
      </c>
      <c r="C19" s="108" t="str">
        <f>IF(Interpretasi!K46=16,"X","-")</f>
        <v>-</v>
      </c>
      <c r="D19" s="108"/>
      <c r="E19" s="108"/>
      <c r="F19" s="108"/>
      <c r="G19" s="108"/>
      <c r="H19" s="108"/>
      <c r="I19" s="108" t="str">
        <f>IF(Interpretasi!K47=16,"X","-")</f>
        <v>-</v>
      </c>
      <c r="J19" s="108"/>
      <c r="K19" s="108"/>
      <c r="L19" s="108"/>
      <c r="M19" s="108"/>
      <c r="N19" s="108"/>
      <c r="O19" s="108" t="str">
        <f>IF(Interpretasi!K48=16,"X","-")</f>
        <v>-</v>
      </c>
      <c r="P19" s="108"/>
      <c r="Q19" s="108"/>
      <c r="R19" s="108"/>
      <c r="S19" s="108"/>
      <c r="T19" s="108"/>
      <c r="U19" s="108" t="str">
        <f>IF(Interpretasi!K49=16,"X","-")</f>
        <v>-</v>
      </c>
      <c r="V19" s="108"/>
      <c r="W19" s="108"/>
      <c r="X19" s="108"/>
      <c r="Y19" s="108"/>
      <c r="Z19" s="108"/>
      <c r="AA19" s="108"/>
      <c r="AB19" s="108"/>
      <c r="AC19" s="108" t="str">
        <f>IF(Interpretasi!K50=16,"X","-")</f>
        <v>-</v>
      </c>
      <c r="AD19" s="108"/>
      <c r="AE19" s="108"/>
      <c r="AF19" s="108"/>
      <c r="AG19" s="108"/>
      <c r="AH19" s="108"/>
      <c r="AI19" s="108"/>
      <c r="AJ19" s="108"/>
      <c r="AK19" s="108" t="str">
        <f>IF(Interpretasi!K51=16,"X","-")</f>
        <v>-</v>
      </c>
      <c r="AL19" s="108"/>
      <c r="AM19" s="108"/>
      <c r="AN19" s="108"/>
      <c r="AO19" s="108"/>
      <c r="AP19" s="108"/>
      <c r="AQ19" s="108"/>
      <c r="AR19" s="108"/>
      <c r="AS19" s="86">
        <f t="shared" si="19"/>
        <v>16</v>
      </c>
    </row>
    <row r="20" spans="1:45" x14ac:dyDescent="0.3">
      <c r="A20" s="56"/>
      <c r="B20" s="86">
        <f t="shared" si="18"/>
        <v>15</v>
      </c>
      <c r="C20" s="108" t="str">
        <f>IF(Interpretasi!K46=15,"X","-")</f>
        <v>X</v>
      </c>
      <c r="D20" s="108"/>
      <c r="E20" s="108"/>
      <c r="F20" s="108"/>
      <c r="G20" s="108"/>
      <c r="H20" s="108"/>
      <c r="I20" s="108" t="str">
        <f>IF(Interpretasi!K47=15,"X","-")</f>
        <v>-</v>
      </c>
      <c r="J20" s="108"/>
      <c r="K20" s="108"/>
      <c r="L20" s="108"/>
      <c r="M20" s="108"/>
      <c r="N20" s="108"/>
      <c r="O20" s="108" t="str">
        <f>IF(Interpretasi!K48=15,"X","-")</f>
        <v>-</v>
      </c>
      <c r="P20" s="108"/>
      <c r="Q20" s="108"/>
      <c r="R20" s="108"/>
      <c r="S20" s="108"/>
      <c r="T20" s="108"/>
      <c r="U20" s="108" t="str">
        <f>IF(Interpretasi!K49=15,"X","-")</f>
        <v>-</v>
      </c>
      <c r="V20" s="108"/>
      <c r="W20" s="108"/>
      <c r="X20" s="108"/>
      <c r="Y20" s="108"/>
      <c r="Z20" s="108"/>
      <c r="AA20" s="108"/>
      <c r="AB20" s="108"/>
      <c r="AC20" s="108" t="str">
        <f>IF(Interpretasi!K50=15,"X","-")</f>
        <v>-</v>
      </c>
      <c r="AD20" s="108"/>
      <c r="AE20" s="108"/>
      <c r="AF20" s="108"/>
      <c r="AG20" s="108"/>
      <c r="AH20" s="108"/>
      <c r="AI20" s="108"/>
      <c r="AJ20" s="108"/>
      <c r="AK20" s="108" t="str">
        <f>IF(Interpretasi!K51=15,"X","-")</f>
        <v>-</v>
      </c>
      <c r="AL20" s="108"/>
      <c r="AM20" s="108"/>
      <c r="AN20" s="108"/>
      <c r="AO20" s="108"/>
      <c r="AP20" s="108"/>
      <c r="AQ20" s="108"/>
      <c r="AR20" s="108"/>
      <c r="AS20" s="86">
        <f t="shared" si="19"/>
        <v>15</v>
      </c>
    </row>
    <row r="21" spans="1:45" x14ac:dyDescent="0.3">
      <c r="A21" s="56"/>
      <c r="B21" s="86">
        <f t="shared" si="18"/>
        <v>14</v>
      </c>
      <c r="C21" s="108" t="str">
        <f>IF(Interpretasi!K46=14,"X","-")</f>
        <v>-</v>
      </c>
      <c r="D21" s="108"/>
      <c r="E21" s="108"/>
      <c r="F21" s="108"/>
      <c r="G21" s="108"/>
      <c r="H21" s="108"/>
      <c r="I21" s="108" t="str">
        <f>IF(Interpretasi!K47=14,"X","-")</f>
        <v>-</v>
      </c>
      <c r="J21" s="108"/>
      <c r="K21" s="108"/>
      <c r="L21" s="108"/>
      <c r="M21" s="108"/>
      <c r="N21" s="108"/>
      <c r="O21" s="108" t="str">
        <f>IF(Interpretasi!K48=14,"X","-")</f>
        <v>-</v>
      </c>
      <c r="P21" s="108"/>
      <c r="Q21" s="108"/>
      <c r="R21" s="108"/>
      <c r="S21" s="108"/>
      <c r="T21" s="108"/>
      <c r="U21" s="108" t="str">
        <f>IF(Interpretasi!K49=14,"X","-")</f>
        <v>-</v>
      </c>
      <c r="V21" s="108"/>
      <c r="W21" s="108"/>
      <c r="X21" s="108"/>
      <c r="Y21" s="108"/>
      <c r="Z21" s="108"/>
      <c r="AA21" s="108"/>
      <c r="AB21" s="108"/>
      <c r="AC21" s="108" t="str">
        <f>IF(Interpretasi!K50=14,"X","-")</f>
        <v>-</v>
      </c>
      <c r="AD21" s="108"/>
      <c r="AE21" s="108"/>
      <c r="AF21" s="108"/>
      <c r="AG21" s="108"/>
      <c r="AH21" s="108"/>
      <c r="AI21" s="108"/>
      <c r="AJ21" s="108"/>
      <c r="AK21" s="108" t="str">
        <f>IF(Interpretasi!K51=14,"X","-")</f>
        <v>-</v>
      </c>
      <c r="AL21" s="108"/>
      <c r="AM21" s="108"/>
      <c r="AN21" s="108"/>
      <c r="AO21" s="108"/>
      <c r="AP21" s="108"/>
      <c r="AQ21" s="108"/>
      <c r="AR21" s="108"/>
      <c r="AS21" s="86">
        <f t="shared" si="19"/>
        <v>14</v>
      </c>
    </row>
    <row r="22" spans="1:45" x14ac:dyDescent="0.3">
      <c r="A22" s="56"/>
      <c r="B22" s="86">
        <f t="shared" si="18"/>
        <v>13</v>
      </c>
      <c r="C22" s="108" t="str">
        <f>IF(Interpretasi!K46=13,"X","-")</f>
        <v>-</v>
      </c>
      <c r="D22" s="108"/>
      <c r="E22" s="108"/>
      <c r="F22" s="108"/>
      <c r="G22" s="108"/>
      <c r="H22" s="108"/>
      <c r="I22" s="108" t="str">
        <f>IF(Interpretasi!K47=13,"X","-")</f>
        <v>-</v>
      </c>
      <c r="J22" s="108"/>
      <c r="K22" s="108"/>
      <c r="L22" s="108"/>
      <c r="M22" s="108"/>
      <c r="N22" s="108"/>
      <c r="O22" s="108" t="str">
        <f>IF(Interpretasi!K48=13,"X","-")</f>
        <v>-</v>
      </c>
      <c r="P22" s="108"/>
      <c r="Q22" s="108"/>
      <c r="R22" s="108"/>
      <c r="S22" s="108"/>
      <c r="T22" s="108"/>
      <c r="U22" s="108" t="str">
        <f>IF(Interpretasi!K49=13,"X","-")</f>
        <v>-</v>
      </c>
      <c r="V22" s="108"/>
      <c r="W22" s="108"/>
      <c r="X22" s="108"/>
      <c r="Y22" s="108"/>
      <c r="Z22" s="108"/>
      <c r="AA22" s="108"/>
      <c r="AB22" s="108"/>
      <c r="AC22" s="108" t="str">
        <f>IF(Interpretasi!K50=13,"X","-")</f>
        <v>-</v>
      </c>
      <c r="AD22" s="108"/>
      <c r="AE22" s="108"/>
      <c r="AF22" s="108"/>
      <c r="AG22" s="108"/>
      <c r="AH22" s="108"/>
      <c r="AI22" s="108"/>
      <c r="AJ22" s="108"/>
      <c r="AK22" s="108" t="str">
        <f>IF(Interpretasi!K51=13,"X","-")</f>
        <v>-</v>
      </c>
      <c r="AL22" s="108"/>
      <c r="AM22" s="108"/>
      <c r="AN22" s="108"/>
      <c r="AO22" s="108"/>
      <c r="AP22" s="108"/>
      <c r="AQ22" s="108"/>
      <c r="AR22" s="108"/>
      <c r="AS22" s="86">
        <f t="shared" si="19"/>
        <v>13</v>
      </c>
    </row>
    <row r="23" spans="1:45" x14ac:dyDescent="0.3">
      <c r="A23" s="56"/>
      <c r="B23" s="86">
        <f t="shared" si="18"/>
        <v>12</v>
      </c>
      <c r="C23" s="108" t="str">
        <f>IF(Interpretasi!K46=12,"X","-")</f>
        <v>-</v>
      </c>
      <c r="D23" s="108"/>
      <c r="E23" s="108"/>
      <c r="F23" s="108"/>
      <c r="G23" s="108"/>
      <c r="H23" s="108"/>
      <c r="I23" s="108" t="str">
        <f>IF(Interpretasi!K47=12,"X","-")</f>
        <v>-</v>
      </c>
      <c r="J23" s="108"/>
      <c r="K23" s="108"/>
      <c r="L23" s="108"/>
      <c r="M23" s="108"/>
      <c r="N23" s="108"/>
      <c r="O23" s="108" t="str">
        <f>IF(Interpretasi!K48=12,"X","-")</f>
        <v>-</v>
      </c>
      <c r="P23" s="108"/>
      <c r="Q23" s="108"/>
      <c r="R23" s="108"/>
      <c r="S23" s="108"/>
      <c r="T23" s="108"/>
      <c r="U23" s="108" t="str">
        <f>IF(Interpretasi!K49=12,"X","-")</f>
        <v>-</v>
      </c>
      <c r="V23" s="108"/>
      <c r="W23" s="108"/>
      <c r="X23" s="108"/>
      <c r="Y23" s="108"/>
      <c r="Z23" s="108"/>
      <c r="AA23" s="108"/>
      <c r="AB23" s="108"/>
      <c r="AC23" s="108" t="str">
        <f>IF(Interpretasi!K50=12,"X","-")</f>
        <v>-</v>
      </c>
      <c r="AD23" s="108"/>
      <c r="AE23" s="108"/>
      <c r="AF23" s="108"/>
      <c r="AG23" s="108"/>
      <c r="AH23" s="108"/>
      <c r="AI23" s="108"/>
      <c r="AJ23" s="108"/>
      <c r="AK23" s="108" t="str">
        <f>IF(Interpretasi!K51=12,"X","-")</f>
        <v>-</v>
      </c>
      <c r="AL23" s="108"/>
      <c r="AM23" s="108"/>
      <c r="AN23" s="108"/>
      <c r="AO23" s="108"/>
      <c r="AP23" s="108"/>
      <c r="AQ23" s="108"/>
      <c r="AR23" s="108"/>
      <c r="AS23" s="86">
        <f t="shared" si="19"/>
        <v>12</v>
      </c>
    </row>
    <row r="24" spans="1:45" x14ac:dyDescent="0.3">
      <c r="A24" s="56"/>
      <c r="B24" s="86">
        <f t="shared" si="18"/>
        <v>11</v>
      </c>
      <c r="C24" s="105" t="str">
        <f>IF(Interpretasi!K46=11,"X","-")</f>
        <v>-</v>
      </c>
      <c r="D24" s="106"/>
      <c r="E24" s="106"/>
      <c r="F24" s="106"/>
      <c r="G24" s="106"/>
      <c r="H24" s="107"/>
      <c r="I24" s="105" t="str">
        <f>IF(Interpretasi!K47=11,"X","-")</f>
        <v>-</v>
      </c>
      <c r="J24" s="106"/>
      <c r="K24" s="106"/>
      <c r="L24" s="106"/>
      <c r="M24" s="106"/>
      <c r="N24" s="107"/>
      <c r="O24" s="105" t="str">
        <f>IF(Interpretasi!K48=11,"X","-")</f>
        <v>-</v>
      </c>
      <c r="P24" s="106"/>
      <c r="Q24" s="106"/>
      <c r="R24" s="106"/>
      <c r="S24" s="106"/>
      <c r="T24" s="107"/>
      <c r="U24" s="104" t="str">
        <f>IF(Interpretasi!K49=11,"X","-")</f>
        <v>-</v>
      </c>
      <c r="V24" s="104"/>
      <c r="W24" s="104"/>
      <c r="X24" s="104"/>
      <c r="Y24" s="104"/>
      <c r="Z24" s="104"/>
      <c r="AA24" s="104"/>
      <c r="AB24" s="104"/>
      <c r="AC24" s="108" t="str">
        <f>IF(Interpretasi!K50=11,"X","-")</f>
        <v>-</v>
      </c>
      <c r="AD24" s="108"/>
      <c r="AE24" s="108"/>
      <c r="AF24" s="108"/>
      <c r="AG24" s="108"/>
      <c r="AH24" s="108"/>
      <c r="AI24" s="108"/>
      <c r="AJ24" s="108"/>
      <c r="AK24" s="108" t="str">
        <f>IF(Interpretasi!K51=11,"X","-")</f>
        <v>-</v>
      </c>
      <c r="AL24" s="108"/>
      <c r="AM24" s="108"/>
      <c r="AN24" s="108"/>
      <c r="AO24" s="108"/>
      <c r="AP24" s="108"/>
      <c r="AQ24" s="108"/>
      <c r="AR24" s="108"/>
      <c r="AS24" s="86">
        <f t="shared" si="19"/>
        <v>11</v>
      </c>
    </row>
    <row r="25" spans="1:45" x14ac:dyDescent="0.3">
      <c r="A25" s="56"/>
      <c r="B25" s="86">
        <f t="shared" si="18"/>
        <v>10</v>
      </c>
      <c r="C25" s="105" t="str">
        <f>IF(Interpretasi!K46=10,"X","-")</f>
        <v>-</v>
      </c>
      <c r="D25" s="106"/>
      <c r="E25" s="106"/>
      <c r="F25" s="106"/>
      <c r="G25" s="106"/>
      <c r="H25" s="107"/>
      <c r="I25" s="101" t="str">
        <f>IF(Interpretasi!K47=10,"X","-")</f>
        <v>-</v>
      </c>
      <c r="J25" s="102"/>
      <c r="K25" s="102"/>
      <c r="L25" s="102"/>
      <c r="M25" s="102"/>
      <c r="N25" s="103"/>
      <c r="O25" s="105" t="str">
        <f>IF(Interpretasi!K48=10,"X","-")</f>
        <v>-</v>
      </c>
      <c r="P25" s="106"/>
      <c r="Q25" s="106"/>
      <c r="R25" s="106"/>
      <c r="S25" s="106"/>
      <c r="T25" s="107"/>
      <c r="U25" s="104" t="str">
        <f>IF(Interpretasi!K49=10,"X","-")</f>
        <v>-</v>
      </c>
      <c r="V25" s="104"/>
      <c r="W25" s="104"/>
      <c r="X25" s="104"/>
      <c r="Y25" s="104"/>
      <c r="Z25" s="104"/>
      <c r="AA25" s="104"/>
      <c r="AB25" s="104"/>
      <c r="AC25" s="104" t="str">
        <f>IF(Interpretasi!K50=10,"X","-")</f>
        <v>-</v>
      </c>
      <c r="AD25" s="104"/>
      <c r="AE25" s="104"/>
      <c r="AF25" s="104"/>
      <c r="AG25" s="104"/>
      <c r="AH25" s="104"/>
      <c r="AI25" s="104"/>
      <c r="AJ25" s="104"/>
      <c r="AK25" s="104" t="str">
        <f>IF(Interpretasi!K51=10,"X","-")</f>
        <v>-</v>
      </c>
      <c r="AL25" s="104"/>
      <c r="AM25" s="104"/>
      <c r="AN25" s="104"/>
      <c r="AO25" s="104"/>
      <c r="AP25" s="104"/>
      <c r="AQ25" s="104"/>
      <c r="AR25" s="104"/>
      <c r="AS25" s="86">
        <f t="shared" si="19"/>
        <v>10</v>
      </c>
    </row>
    <row r="26" spans="1:45" x14ac:dyDescent="0.25">
      <c r="A26" s="56"/>
      <c r="B26" s="86">
        <f t="shared" si="18"/>
        <v>9</v>
      </c>
      <c r="C26" s="105" t="str">
        <f>IF(Interpretasi!K46=9,"X","-")</f>
        <v>-</v>
      </c>
      <c r="D26" s="106"/>
      <c r="E26" s="106"/>
      <c r="F26" s="106"/>
      <c r="G26" s="106"/>
      <c r="H26" s="107"/>
      <c r="I26" s="101" t="str">
        <f>IF(Interpretasi!K47=9,"X","-")</f>
        <v>-</v>
      </c>
      <c r="J26" s="102"/>
      <c r="K26" s="102"/>
      <c r="L26" s="102"/>
      <c r="M26" s="102"/>
      <c r="N26" s="103"/>
      <c r="O26" s="101" t="str">
        <f>IF(Interpretasi!K48=9,"X","-")</f>
        <v>-</v>
      </c>
      <c r="P26" s="102"/>
      <c r="Q26" s="102"/>
      <c r="R26" s="102"/>
      <c r="S26" s="102"/>
      <c r="T26" s="103"/>
      <c r="U26" s="104" t="str">
        <f>IF(Interpretasi!K49=9,"X","-")</f>
        <v>-</v>
      </c>
      <c r="V26" s="104"/>
      <c r="W26" s="104"/>
      <c r="X26" s="104"/>
      <c r="Y26" s="104"/>
      <c r="Z26" s="104"/>
      <c r="AA26" s="104"/>
      <c r="AB26" s="104"/>
      <c r="AC26" s="104" t="str">
        <f>IF(Interpretasi!K50=9,"X","-")</f>
        <v>-</v>
      </c>
      <c r="AD26" s="104"/>
      <c r="AE26" s="104"/>
      <c r="AF26" s="104"/>
      <c r="AG26" s="104"/>
      <c r="AH26" s="104"/>
      <c r="AI26" s="104"/>
      <c r="AJ26" s="104"/>
      <c r="AK26" s="104" t="str">
        <f>IF(Interpretasi!K51=9,"X","-")</f>
        <v>-</v>
      </c>
      <c r="AL26" s="104"/>
      <c r="AM26" s="104"/>
      <c r="AN26" s="104"/>
      <c r="AO26" s="104"/>
      <c r="AP26" s="104"/>
      <c r="AQ26" s="104"/>
      <c r="AR26" s="104"/>
      <c r="AS26" s="86">
        <f t="shared" si="19"/>
        <v>9</v>
      </c>
    </row>
    <row r="27" spans="1:45" x14ac:dyDescent="0.25">
      <c r="A27" s="56"/>
      <c r="B27" s="86">
        <f t="shared" si="18"/>
        <v>8</v>
      </c>
      <c r="C27" s="101" t="str">
        <f>IF(Interpretasi!K46=8,"X","-")</f>
        <v>-</v>
      </c>
      <c r="D27" s="102"/>
      <c r="E27" s="102"/>
      <c r="F27" s="102"/>
      <c r="G27" s="102"/>
      <c r="H27" s="103"/>
      <c r="I27" s="97" t="str">
        <f>IF(Interpretasi!K47=8,"X","-")</f>
        <v>-</v>
      </c>
      <c r="J27" s="98"/>
      <c r="K27" s="98"/>
      <c r="L27" s="98"/>
      <c r="M27" s="98"/>
      <c r="N27" s="99"/>
      <c r="O27" s="101" t="str">
        <f>IF(Interpretasi!K48=8,"X","-")</f>
        <v>X</v>
      </c>
      <c r="P27" s="102"/>
      <c r="Q27" s="102"/>
      <c r="R27" s="102"/>
      <c r="S27" s="102"/>
      <c r="T27" s="103"/>
      <c r="U27" s="100" t="str">
        <f>IF(Interpretasi!K49=8,"X","-")</f>
        <v>-</v>
      </c>
      <c r="V27" s="100"/>
      <c r="W27" s="100"/>
      <c r="X27" s="100"/>
      <c r="Y27" s="100"/>
      <c r="Z27" s="100"/>
      <c r="AA27" s="100"/>
      <c r="AB27" s="100"/>
      <c r="AC27" s="104" t="str">
        <f>IF(Interpretasi!K50=8,"X","-")</f>
        <v>-</v>
      </c>
      <c r="AD27" s="104"/>
      <c r="AE27" s="104"/>
      <c r="AF27" s="104"/>
      <c r="AG27" s="104"/>
      <c r="AH27" s="104"/>
      <c r="AI27" s="104"/>
      <c r="AJ27" s="104"/>
      <c r="AK27" s="100" t="str">
        <f>IF(Interpretasi!K51=8,"X","-")</f>
        <v>-</v>
      </c>
      <c r="AL27" s="100"/>
      <c r="AM27" s="100"/>
      <c r="AN27" s="100"/>
      <c r="AO27" s="100"/>
      <c r="AP27" s="100"/>
      <c r="AQ27" s="100"/>
      <c r="AR27" s="100"/>
      <c r="AS27" s="86">
        <f t="shared" si="19"/>
        <v>8</v>
      </c>
    </row>
    <row r="28" spans="1:45" x14ac:dyDescent="0.25">
      <c r="A28" s="56"/>
      <c r="B28" s="86">
        <f t="shared" si="18"/>
        <v>7</v>
      </c>
      <c r="C28" s="101" t="str">
        <f>IF(Interpretasi!K46=7,"X","-")</f>
        <v>-</v>
      </c>
      <c r="D28" s="102"/>
      <c r="E28" s="102"/>
      <c r="F28" s="102"/>
      <c r="G28" s="102"/>
      <c r="H28" s="103"/>
      <c r="I28" s="97" t="str">
        <f>IF(Interpretasi!K47=7,"X","-")</f>
        <v>-</v>
      </c>
      <c r="J28" s="98"/>
      <c r="K28" s="98"/>
      <c r="L28" s="98"/>
      <c r="M28" s="98"/>
      <c r="N28" s="99"/>
      <c r="O28" s="101" t="str">
        <f>IF(Interpretasi!K48=7,"X","-")</f>
        <v>-</v>
      </c>
      <c r="P28" s="102"/>
      <c r="Q28" s="102"/>
      <c r="R28" s="102"/>
      <c r="S28" s="102"/>
      <c r="T28" s="103"/>
      <c r="U28" s="100" t="str">
        <f>IF(Interpretasi!K49=7,"X","-")</f>
        <v>-</v>
      </c>
      <c r="V28" s="100"/>
      <c r="W28" s="100"/>
      <c r="X28" s="100"/>
      <c r="Y28" s="100"/>
      <c r="Z28" s="100"/>
      <c r="AA28" s="100"/>
      <c r="AB28" s="100"/>
      <c r="AC28" s="104" t="str">
        <f>IF(Interpretasi!K50=7,"X","-")</f>
        <v>-</v>
      </c>
      <c r="AD28" s="104"/>
      <c r="AE28" s="104"/>
      <c r="AF28" s="104"/>
      <c r="AG28" s="104"/>
      <c r="AH28" s="104"/>
      <c r="AI28" s="104"/>
      <c r="AJ28" s="104"/>
      <c r="AK28" s="100" t="str">
        <f>IF(Interpretasi!K51=7,"X","-")</f>
        <v>-</v>
      </c>
      <c r="AL28" s="100"/>
      <c r="AM28" s="100"/>
      <c r="AN28" s="100"/>
      <c r="AO28" s="100"/>
      <c r="AP28" s="100"/>
      <c r="AQ28" s="100"/>
      <c r="AR28" s="100"/>
      <c r="AS28" s="86">
        <f t="shared" si="19"/>
        <v>7</v>
      </c>
    </row>
    <row r="29" spans="1:45" x14ac:dyDescent="0.25">
      <c r="A29" s="56"/>
      <c r="B29" s="86">
        <f t="shared" si="18"/>
        <v>6</v>
      </c>
      <c r="C29" s="101" t="str">
        <f>IF(Interpretasi!K46=6,"X","-")</f>
        <v>-</v>
      </c>
      <c r="D29" s="102"/>
      <c r="E29" s="102"/>
      <c r="F29" s="102"/>
      <c r="G29" s="102"/>
      <c r="H29" s="103"/>
      <c r="I29" s="97" t="str">
        <f>IF(Interpretasi!K47=6,"X","-")</f>
        <v>-</v>
      </c>
      <c r="J29" s="98"/>
      <c r="K29" s="98"/>
      <c r="L29" s="98"/>
      <c r="M29" s="98"/>
      <c r="N29" s="99"/>
      <c r="O29" s="101" t="str">
        <f>IF(Interpretasi!K48=6,"X","-")</f>
        <v>-</v>
      </c>
      <c r="P29" s="102"/>
      <c r="Q29" s="102"/>
      <c r="R29" s="102"/>
      <c r="S29" s="102"/>
      <c r="T29" s="103"/>
      <c r="U29" s="100" t="str">
        <f>IF(Interpretasi!K49=6,"X","-")</f>
        <v>-</v>
      </c>
      <c r="V29" s="100"/>
      <c r="W29" s="100"/>
      <c r="X29" s="100"/>
      <c r="Y29" s="100"/>
      <c r="Z29" s="100"/>
      <c r="AA29" s="100"/>
      <c r="AB29" s="100"/>
      <c r="AC29" s="104" t="str">
        <f>IF(Interpretasi!K50=6,"X","-")</f>
        <v>-</v>
      </c>
      <c r="AD29" s="104"/>
      <c r="AE29" s="104"/>
      <c r="AF29" s="104"/>
      <c r="AG29" s="104"/>
      <c r="AH29" s="104"/>
      <c r="AI29" s="104"/>
      <c r="AJ29" s="104"/>
      <c r="AK29" s="100" t="str">
        <f>IF(Interpretasi!K51=6,"X","-")</f>
        <v>-</v>
      </c>
      <c r="AL29" s="100"/>
      <c r="AM29" s="100"/>
      <c r="AN29" s="100"/>
      <c r="AO29" s="100"/>
      <c r="AP29" s="100"/>
      <c r="AQ29" s="100"/>
      <c r="AR29" s="100"/>
      <c r="AS29" s="86">
        <f t="shared" si="19"/>
        <v>6</v>
      </c>
    </row>
    <row r="30" spans="1:45" x14ac:dyDescent="0.25">
      <c r="A30" s="56"/>
      <c r="B30" s="86">
        <f t="shared" si="18"/>
        <v>5</v>
      </c>
      <c r="C30" s="101" t="str">
        <f>IF(Interpretasi!K46=5,"X","-")</f>
        <v>-</v>
      </c>
      <c r="D30" s="102"/>
      <c r="E30" s="102"/>
      <c r="F30" s="102"/>
      <c r="G30" s="102"/>
      <c r="H30" s="103"/>
      <c r="I30" s="97" t="str">
        <f>IF(Interpretasi!K47=5,"X","-")</f>
        <v>-</v>
      </c>
      <c r="J30" s="98"/>
      <c r="K30" s="98"/>
      <c r="L30" s="98"/>
      <c r="M30" s="98"/>
      <c r="N30" s="99"/>
      <c r="O30" s="101" t="str">
        <f>IF(Interpretasi!K48=5,"X","-")</f>
        <v>-</v>
      </c>
      <c r="P30" s="102"/>
      <c r="Q30" s="102"/>
      <c r="R30" s="102"/>
      <c r="S30" s="102"/>
      <c r="T30" s="103"/>
      <c r="U30" s="100" t="str">
        <f>IF(Interpretasi!K49=5,"X","-")</f>
        <v>-</v>
      </c>
      <c r="V30" s="100"/>
      <c r="W30" s="100"/>
      <c r="X30" s="100"/>
      <c r="Y30" s="100"/>
      <c r="Z30" s="100"/>
      <c r="AA30" s="100"/>
      <c r="AB30" s="100"/>
      <c r="AC30" s="100" t="str">
        <f>IF(Interpretasi!K50=5,"X","-")</f>
        <v>X</v>
      </c>
      <c r="AD30" s="100"/>
      <c r="AE30" s="100"/>
      <c r="AF30" s="100"/>
      <c r="AG30" s="100"/>
      <c r="AH30" s="100"/>
      <c r="AI30" s="100"/>
      <c r="AJ30" s="100"/>
      <c r="AK30" s="100" t="str">
        <f>IF(Interpretasi!K51=5,"X","-")</f>
        <v>-</v>
      </c>
      <c r="AL30" s="100"/>
      <c r="AM30" s="100"/>
      <c r="AN30" s="100"/>
      <c r="AO30" s="100"/>
      <c r="AP30" s="100"/>
      <c r="AQ30" s="100"/>
      <c r="AR30" s="100"/>
      <c r="AS30" s="86">
        <f t="shared" si="19"/>
        <v>5</v>
      </c>
    </row>
    <row r="31" spans="1:45" x14ac:dyDescent="0.25">
      <c r="A31" s="56"/>
      <c r="B31" s="86">
        <f t="shared" si="18"/>
        <v>4</v>
      </c>
      <c r="C31" s="97" t="str">
        <f>IF(Interpretasi!K46=4,"X","-")</f>
        <v>-</v>
      </c>
      <c r="D31" s="98"/>
      <c r="E31" s="98"/>
      <c r="F31" s="98"/>
      <c r="G31" s="98"/>
      <c r="H31" s="99"/>
      <c r="I31" s="97" t="str">
        <f>IF(Interpretasi!K47=4,"X","-")</f>
        <v>-</v>
      </c>
      <c r="J31" s="98"/>
      <c r="K31" s="98"/>
      <c r="L31" s="98"/>
      <c r="M31" s="98"/>
      <c r="N31" s="99"/>
      <c r="O31" s="97" t="str">
        <f>IF(Interpretasi!K48=4,"X","-")</f>
        <v>-</v>
      </c>
      <c r="P31" s="98"/>
      <c r="Q31" s="98"/>
      <c r="R31" s="98"/>
      <c r="S31" s="98"/>
      <c r="T31" s="99"/>
      <c r="U31" s="100" t="str">
        <f>IF(Interpretasi!K49=4,"X","-")</f>
        <v>-</v>
      </c>
      <c r="V31" s="100"/>
      <c r="W31" s="100"/>
      <c r="X31" s="100"/>
      <c r="Y31" s="100"/>
      <c r="Z31" s="100"/>
      <c r="AA31" s="100"/>
      <c r="AB31" s="100"/>
      <c r="AC31" s="100" t="str">
        <f>IF(Interpretasi!K50=4,"X","-")</f>
        <v>-</v>
      </c>
      <c r="AD31" s="100"/>
      <c r="AE31" s="100"/>
      <c r="AF31" s="100"/>
      <c r="AG31" s="100"/>
      <c r="AH31" s="100"/>
      <c r="AI31" s="100"/>
      <c r="AJ31" s="100"/>
      <c r="AK31" s="100" t="str">
        <f>IF(Interpretasi!K51=4,"X","-")</f>
        <v>-</v>
      </c>
      <c r="AL31" s="100"/>
      <c r="AM31" s="100"/>
      <c r="AN31" s="100"/>
      <c r="AO31" s="100"/>
      <c r="AP31" s="100"/>
      <c r="AQ31" s="100"/>
      <c r="AR31" s="100"/>
      <c r="AS31" s="86">
        <f t="shared" si="19"/>
        <v>4</v>
      </c>
    </row>
    <row r="32" spans="1:45" x14ac:dyDescent="0.25">
      <c r="A32" s="56"/>
      <c r="B32" s="86">
        <f t="shared" si="18"/>
        <v>3</v>
      </c>
      <c r="C32" s="97" t="str">
        <f>IF(Interpretasi!K46=3,"X","-")</f>
        <v>-</v>
      </c>
      <c r="D32" s="98"/>
      <c r="E32" s="98"/>
      <c r="F32" s="98"/>
      <c r="G32" s="98"/>
      <c r="H32" s="99"/>
      <c r="I32" s="97" t="str">
        <f>IF(Interpretasi!K47=3,"X","-")</f>
        <v>-</v>
      </c>
      <c r="J32" s="98"/>
      <c r="K32" s="98"/>
      <c r="L32" s="98"/>
      <c r="M32" s="98"/>
      <c r="N32" s="99"/>
      <c r="O32" s="97" t="str">
        <f>IF(Interpretasi!K48=3,"X","-")</f>
        <v>-</v>
      </c>
      <c r="P32" s="98"/>
      <c r="Q32" s="98"/>
      <c r="R32" s="98"/>
      <c r="S32" s="98"/>
      <c r="T32" s="99"/>
      <c r="U32" s="100" t="str">
        <f>IF(Interpretasi!K49=3,"X","-")</f>
        <v>-</v>
      </c>
      <c r="V32" s="100"/>
      <c r="W32" s="100"/>
      <c r="X32" s="100"/>
      <c r="Y32" s="100"/>
      <c r="Z32" s="100"/>
      <c r="AA32" s="100"/>
      <c r="AB32" s="100"/>
      <c r="AC32" s="100" t="str">
        <f>IF(Interpretasi!K50=3,"X","-")</f>
        <v>-</v>
      </c>
      <c r="AD32" s="100"/>
      <c r="AE32" s="100"/>
      <c r="AF32" s="100"/>
      <c r="AG32" s="100"/>
      <c r="AH32" s="100"/>
      <c r="AI32" s="100"/>
      <c r="AJ32" s="100"/>
      <c r="AK32" s="100" t="str">
        <f>IF(Interpretasi!K51=3,"X","-")</f>
        <v>-</v>
      </c>
      <c r="AL32" s="100"/>
      <c r="AM32" s="100"/>
      <c r="AN32" s="100"/>
      <c r="AO32" s="100"/>
      <c r="AP32" s="100"/>
      <c r="AQ32" s="100"/>
      <c r="AR32" s="100"/>
      <c r="AS32" s="86">
        <f t="shared" si="19"/>
        <v>3</v>
      </c>
    </row>
    <row r="33" spans="1:45" x14ac:dyDescent="0.25">
      <c r="A33" s="56"/>
      <c r="B33" s="86">
        <f t="shared" si="18"/>
        <v>2</v>
      </c>
      <c r="C33" s="97" t="str">
        <f>IF(Interpretasi!K46=2,"X","-")</f>
        <v>-</v>
      </c>
      <c r="D33" s="98"/>
      <c r="E33" s="98"/>
      <c r="F33" s="98"/>
      <c r="G33" s="98"/>
      <c r="H33" s="99"/>
      <c r="I33" s="97" t="str">
        <f>IF(Interpretasi!K47=2,"X","-")</f>
        <v>-</v>
      </c>
      <c r="J33" s="98"/>
      <c r="K33" s="98"/>
      <c r="L33" s="98"/>
      <c r="M33" s="98"/>
      <c r="N33" s="99"/>
      <c r="O33" s="97" t="str">
        <f>IF(Interpretasi!K48=2,"X","-")</f>
        <v>-</v>
      </c>
      <c r="P33" s="98"/>
      <c r="Q33" s="98"/>
      <c r="R33" s="98"/>
      <c r="S33" s="98"/>
      <c r="T33" s="99"/>
      <c r="U33" s="100" t="str">
        <f>IF(Interpretasi!K49=2,"X","-")</f>
        <v>-</v>
      </c>
      <c r="V33" s="100"/>
      <c r="W33" s="100"/>
      <c r="X33" s="100"/>
      <c r="Y33" s="100"/>
      <c r="Z33" s="100"/>
      <c r="AA33" s="100"/>
      <c r="AB33" s="100"/>
      <c r="AC33" s="100" t="str">
        <f>IF(Interpretasi!K50=2,"X","-")</f>
        <v>-</v>
      </c>
      <c r="AD33" s="100"/>
      <c r="AE33" s="100"/>
      <c r="AF33" s="100"/>
      <c r="AG33" s="100"/>
      <c r="AH33" s="100"/>
      <c r="AI33" s="100"/>
      <c r="AJ33" s="100"/>
      <c r="AK33" s="100" t="str">
        <f>IF(Interpretasi!K51=2,"X","-")</f>
        <v>-</v>
      </c>
      <c r="AL33" s="100"/>
      <c r="AM33" s="100"/>
      <c r="AN33" s="100"/>
      <c r="AO33" s="100"/>
      <c r="AP33" s="100"/>
      <c r="AQ33" s="100"/>
      <c r="AR33" s="100"/>
      <c r="AS33" s="86">
        <f t="shared" si="19"/>
        <v>2</v>
      </c>
    </row>
    <row r="34" spans="1:45" x14ac:dyDescent="0.25">
      <c r="A34" s="56"/>
      <c r="B34" s="86">
        <f t="shared" si="18"/>
        <v>1</v>
      </c>
      <c r="C34" s="97" t="str">
        <f>IF(Interpretasi!K46=1,"X","-")</f>
        <v>-</v>
      </c>
      <c r="D34" s="98"/>
      <c r="E34" s="98"/>
      <c r="F34" s="98"/>
      <c r="G34" s="98"/>
      <c r="H34" s="99"/>
      <c r="I34" s="97" t="str">
        <f>IF(Interpretasi!K47=1,"X","-")</f>
        <v>-</v>
      </c>
      <c r="J34" s="98"/>
      <c r="K34" s="98"/>
      <c r="L34" s="98"/>
      <c r="M34" s="98"/>
      <c r="N34" s="99"/>
      <c r="O34" s="97" t="str">
        <f>IF(Interpretasi!K48=1,"X","-")</f>
        <v>-</v>
      </c>
      <c r="P34" s="98"/>
      <c r="Q34" s="98"/>
      <c r="R34" s="98"/>
      <c r="S34" s="98"/>
      <c r="T34" s="99"/>
      <c r="U34" s="100" t="str">
        <f>IF(Interpretasi!K49=1,"X","-")</f>
        <v>X</v>
      </c>
      <c r="V34" s="100"/>
      <c r="W34" s="100"/>
      <c r="X34" s="100"/>
      <c r="Y34" s="100"/>
      <c r="Z34" s="100"/>
      <c r="AA34" s="100"/>
      <c r="AB34" s="100"/>
      <c r="AC34" s="100" t="str">
        <f>IF(Interpretasi!K50=1,"X","-")</f>
        <v>-</v>
      </c>
      <c r="AD34" s="100"/>
      <c r="AE34" s="100"/>
      <c r="AF34" s="100"/>
      <c r="AG34" s="100"/>
      <c r="AH34" s="100"/>
      <c r="AI34" s="100"/>
      <c r="AJ34" s="100"/>
      <c r="AK34" s="100" t="str">
        <f>IF(Interpretasi!K51=1,"X","-")</f>
        <v>-</v>
      </c>
      <c r="AL34" s="100"/>
      <c r="AM34" s="100"/>
      <c r="AN34" s="100"/>
      <c r="AO34" s="100"/>
      <c r="AP34" s="100"/>
      <c r="AQ34" s="100"/>
      <c r="AR34" s="100"/>
      <c r="AS34" s="86">
        <f t="shared" si="19"/>
        <v>1</v>
      </c>
    </row>
    <row r="35" spans="1:45" x14ac:dyDescent="0.25">
      <c r="A35" s="56"/>
      <c r="B35" s="86">
        <f t="shared" si="18"/>
        <v>0</v>
      </c>
      <c r="C35" s="97" t="str">
        <f>IF(Interpretasi!K46=0,"X","-")</f>
        <v>-</v>
      </c>
      <c r="D35" s="98"/>
      <c r="E35" s="98"/>
      <c r="F35" s="98"/>
      <c r="G35" s="98"/>
      <c r="H35" s="99"/>
      <c r="I35" s="97" t="str">
        <f>IF(Interpretasi!K47=0,"X","-")</f>
        <v>X</v>
      </c>
      <c r="J35" s="98"/>
      <c r="K35" s="98"/>
      <c r="L35" s="98"/>
      <c r="M35" s="98"/>
      <c r="N35" s="99"/>
      <c r="O35" s="97" t="str">
        <f>IF(Interpretasi!K48=0,"X","-")</f>
        <v>-</v>
      </c>
      <c r="P35" s="98"/>
      <c r="Q35" s="98"/>
      <c r="R35" s="98"/>
      <c r="S35" s="98"/>
      <c r="T35" s="99"/>
      <c r="U35" s="100" t="str">
        <f>IF(Interpretasi!K49=0,"X","-")</f>
        <v>-</v>
      </c>
      <c r="V35" s="100"/>
      <c r="W35" s="100"/>
      <c r="X35" s="100"/>
      <c r="Y35" s="100"/>
      <c r="Z35" s="100"/>
      <c r="AA35" s="100"/>
      <c r="AB35" s="100"/>
      <c r="AC35" s="100" t="str">
        <f>IF(Interpretasi!K50=0,"X","-")</f>
        <v>-</v>
      </c>
      <c r="AD35" s="100"/>
      <c r="AE35" s="100"/>
      <c r="AF35" s="100"/>
      <c r="AG35" s="100"/>
      <c r="AH35" s="100"/>
      <c r="AI35" s="100"/>
      <c r="AJ35" s="100"/>
      <c r="AK35" s="100" t="str">
        <f>IF(Interpretasi!K51=0,"X","-")</f>
        <v>X</v>
      </c>
      <c r="AL35" s="100"/>
      <c r="AM35" s="100"/>
      <c r="AN35" s="100"/>
      <c r="AO35" s="100"/>
      <c r="AP35" s="100"/>
      <c r="AQ35" s="100"/>
      <c r="AR35" s="100"/>
      <c r="AS35" s="86">
        <f t="shared" si="19"/>
        <v>0</v>
      </c>
    </row>
    <row r="36" spans="1:45" ht="15" customHeight="1" x14ac:dyDescent="0.25">
      <c r="A36" s="56"/>
      <c r="B36" s="55" t="s">
        <v>179</v>
      </c>
      <c r="C36" s="96" t="s">
        <v>181</v>
      </c>
      <c r="D36" s="96"/>
      <c r="E36" s="96"/>
      <c r="F36" s="96"/>
      <c r="G36" s="96"/>
      <c r="H36" s="96"/>
      <c r="I36" s="96" t="s">
        <v>182</v>
      </c>
      <c r="J36" s="96"/>
      <c r="K36" s="96"/>
      <c r="L36" s="96"/>
      <c r="M36" s="96"/>
      <c r="N36" s="96"/>
      <c r="O36" s="96" t="s">
        <v>183</v>
      </c>
      <c r="P36" s="96"/>
      <c r="Q36" s="96"/>
      <c r="R36" s="96"/>
      <c r="S36" s="96"/>
      <c r="T36" s="96"/>
      <c r="U36" s="96" t="s">
        <v>184</v>
      </c>
      <c r="V36" s="96"/>
      <c r="W36" s="96"/>
      <c r="X36" s="96"/>
      <c r="Y36" s="96"/>
      <c r="Z36" s="96"/>
      <c r="AA36" s="96"/>
      <c r="AB36" s="96"/>
      <c r="AC36" s="96" t="s">
        <v>185</v>
      </c>
      <c r="AD36" s="96"/>
      <c r="AE36" s="96"/>
      <c r="AF36" s="96"/>
      <c r="AG36" s="96"/>
      <c r="AH36" s="96"/>
      <c r="AI36" s="96"/>
      <c r="AJ36" s="96"/>
      <c r="AK36" s="96" t="s">
        <v>186</v>
      </c>
      <c r="AL36" s="96"/>
      <c r="AM36" s="96"/>
      <c r="AN36" s="96"/>
      <c r="AO36" s="96"/>
      <c r="AP36" s="96"/>
      <c r="AQ36" s="96"/>
      <c r="AR36" s="96"/>
      <c r="AS36" s="55" t="s">
        <v>179</v>
      </c>
    </row>
    <row r="37" spans="1:45" x14ac:dyDescent="0.25">
      <c r="A37" s="56"/>
      <c r="B37" s="55" t="s">
        <v>180</v>
      </c>
      <c r="C37" s="96"/>
      <c r="D37" s="96"/>
      <c r="E37" s="96"/>
      <c r="F37" s="96"/>
      <c r="G37" s="96"/>
      <c r="H37" s="96"/>
      <c r="I37" s="96"/>
      <c r="J37" s="96"/>
      <c r="K37" s="96"/>
      <c r="L37" s="96"/>
      <c r="M37" s="96"/>
      <c r="N37" s="96"/>
      <c r="O37" s="96"/>
      <c r="P37" s="96"/>
      <c r="Q37" s="96"/>
      <c r="R37" s="96"/>
      <c r="S37" s="96"/>
      <c r="T37" s="96"/>
      <c r="U37" s="96"/>
      <c r="V37" s="96"/>
      <c r="W37" s="96"/>
      <c r="X37" s="96"/>
      <c r="Y37" s="96"/>
      <c r="Z37" s="96"/>
      <c r="AA37" s="96"/>
      <c r="AB37" s="96"/>
      <c r="AC37" s="96"/>
      <c r="AD37" s="96"/>
      <c r="AE37" s="96"/>
      <c r="AF37" s="96"/>
      <c r="AG37" s="96"/>
      <c r="AH37" s="96"/>
      <c r="AI37" s="96"/>
      <c r="AJ37" s="96"/>
      <c r="AK37" s="96"/>
      <c r="AL37" s="96"/>
      <c r="AM37" s="96"/>
      <c r="AN37" s="96"/>
      <c r="AO37" s="96"/>
      <c r="AP37" s="96"/>
      <c r="AQ37" s="96"/>
      <c r="AR37" s="96"/>
      <c r="AS37" s="55" t="s">
        <v>180</v>
      </c>
    </row>
    <row r="38" spans="1:45" x14ac:dyDescent="0.25">
      <c r="A38" s="56"/>
      <c r="C38" s="56"/>
      <c r="D38" s="56"/>
    </row>
    <row r="39" spans="1:45" x14ac:dyDescent="0.25">
      <c r="A39" s="56"/>
      <c r="C39" s="56"/>
      <c r="D39" s="56"/>
    </row>
    <row r="40" spans="1:45" x14ac:dyDescent="0.25">
      <c r="A40" s="56"/>
      <c r="B40" s="87" t="s">
        <v>187</v>
      </c>
      <c r="C40" s="93" t="s">
        <v>189</v>
      </c>
      <c r="D40" s="93"/>
      <c r="E40" s="93"/>
      <c r="F40" s="93"/>
      <c r="G40" s="93"/>
      <c r="H40" s="93"/>
      <c r="I40" s="94" t="s">
        <v>190</v>
      </c>
      <c r="J40" s="94"/>
      <c r="K40" s="94"/>
      <c r="L40" s="94"/>
      <c r="M40" s="94"/>
      <c r="N40" s="94"/>
      <c r="O40" s="95" t="s">
        <v>191</v>
      </c>
      <c r="P40" s="95"/>
      <c r="Q40" s="95"/>
      <c r="R40" s="95"/>
      <c r="S40" s="95"/>
      <c r="T40" s="95"/>
      <c r="U40" s="91" t="s">
        <v>187</v>
      </c>
      <c r="V40" s="91"/>
      <c r="W40" s="91"/>
      <c r="X40" s="91"/>
      <c r="Y40" s="91"/>
      <c r="Z40" s="91"/>
      <c r="AA40" s="91"/>
      <c r="AB40" s="91"/>
    </row>
    <row r="41" spans="1:45" x14ac:dyDescent="0.25">
      <c r="A41" s="56"/>
      <c r="B41" s="87" t="s">
        <v>188</v>
      </c>
      <c r="C41" s="93" t="str">
        <f>IF(AND(Interpretasi!K53&gt;=0,Interpretasi!K53&lt;=38),"X","-")</f>
        <v>X</v>
      </c>
      <c r="D41" s="93"/>
      <c r="E41" s="93"/>
      <c r="F41" s="93"/>
      <c r="G41" s="93"/>
      <c r="H41" s="93"/>
      <c r="I41" s="94" t="str">
        <f>IF(AND(Interpretasi!K53&gt;=39,Interpretasi!K53&lt;=59),"X","-")</f>
        <v>-</v>
      </c>
      <c r="J41" s="94"/>
      <c r="K41" s="94"/>
      <c r="L41" s="94"/>
      <c r="M41" s="94"/>
      <c r="N41" s="94"/>
      <c r="O41" s="95" t="str">
        <f>IF(AND(Interpretasi!K53&gt;=60,Interpretasi!K53&lt;=120),"X","-")</f>
        <v>-</v>
      </c>
      <c r="P41" s="95"/>
      <c r="Q41" s="95"/>
      <c r="R41" s="95"/>
      <c r="S41" s="95"/>
      <c r="T41" s="95"/>
      <c r="U41" s="91" t="s">
        <v>188</v>
      </c>
      <c r="V41" s="92"/>
      <c r="W41" s="92"/>
      <c r="X41" s="92"/>
      <c r="Y41" s="92"/>
      <c r="Z41" s="92"/>
      <c r="AA41" s="92"/>
      <c r="AB41" s="92"/>
    </row>
    <row r="42" spans="1:45" x14ac:dyDescent="0.25">
      <c r="A42" s="56"/>
      <c r="C42" s="56"/>
      <c r="D42" s="51"/>
    </row>
    <row r="43" spans="1:45" x14ac:dyDescent="0.25">
      <c r="A43" s="56"/>
      <c r="C43" s="56"/>
      <c r="D43" s="56"/>
    </row>
    <row r="44" spans="1:45" x14ac:dyDescent="0.25">
      <c r="A44" s="56"/>
      <c r="C44" s="56"/>
      <c r="D44" s="56"/>
    </row>
    <row r="45" spans="1:45" x14ac:dyDescent="0.25">
      <c r="A45" s="51"/>
      <c r="C45" s="56"/>
      <c r="D45" s="56"/>
    </row>
    <row r="46" spans="1:45" x14ac:dyDescent="0.25">
      <c r="A46" s="56"/>
      <c r="C46" s="56"/>
      <c r="D46" s="56"/>
    </row>
    <row r="47" spans="1:45" x14ac:dyDescent="0.25">
      <c r="A47" s="56"/>
      <c r="C47" s="56"/>
      <c r="D47" s="56"/>
    </row>
    <row r="48" spans="1:45" x14ac:dyDescent="0.25">
      <c r="A48" s="56"/>
      <c r="C48" s="56"/>
      <c r="D48" s="56"/>
    </row>
    <row r="49" spans="1:5" x14ac:dyDescent="0.25">
      <c r="A49" s="56"/>
      <c r="B49" s="56"/>
      <c r="C49" s="51"/>
      <c r="D49" s="56"/>
    </row>
    <row r="50" spans="1:5" x14ac:dyDescent="0.25">
      <c r="A50" s="56"/>
      <c r="B50" s="56"/>
      <c r="C50" s="56"/>
      <c r="D50" s="56"/>
    </row>
    <row r="51" spans="1:5" x14ac:dyDescent="0.25">
      <c r="A51" s="56"/>
      <c r="B51" s="56"/>
      <c r="C51" s="56"/>
      <c r="D51" s="56"/>
    </row>
    <row r="52" spans="1:5" x14ac:dyDescent="0.25">
      <c r="A52" s="56"/>
      <c r="B52" s="56"/>
      <c r="C52" s="56"/>
      <c r="D52" s="56"/>
    </row>
    <row r="53" spans="1:5" x14ac:dyDescent="0.25">
      <c r="A53" s="56"/>
      <c r="B53" s="56"/>
      <c r="C53" s="56"/>
      <c r="D53" s="56"/>
    </row>
    <row r="54" spans="1:5" x14ac:dyDescent="0.25">
      <c r="A54" s="56"/>
      <c r="B54" s="56"/>
      <c r="C54" s="56"/>
      <c r="D54" s="56"/>
    </row>
    <row r="55" spans="1:5" x14ac:dyDescent="0.25">
      <c r="A55" s="56"/>
      <c r="B55" s="56"/>
      <c r="C55" s="56"/>
      <c r="D55" s="56"/>
    </row>
    <row r="56" spans="1:5" x14ac:dyDescent="0.25">
      <c r="A56" s="56"/>
      <c r="B56" s="56"/>
      <c r="C56" s="56"/>
      <c r="D56" s="56"/>
    </row>
    <row r="57" spans="1:5" ht="15.75" customHeight="1" x14ac:dyDescent="0.25">
      <c r="A57" s="56"/>
      <c r="B57" s="56"/>
      <c r="C57" s="56"/>
      <c r="D57" s="51"/>
      <c r="E57" s="57"/>
    </row>
    <row r="58" spans="1:5" x14ac:dyDescent="0.25">
      <c r="A58" s="56"/>
      <c r="B58" s="56"/>
      <c r="C58" s="56"/>
      <c r="D58" s="51"/>
      <c r="E58" s="57"/>
    </row>
  </sheetData>
  <sheetProtection password="C53D" sheet="1" objects="1" scenarios="1"/>
  <mergeCells count="194">
    <mergeCell ref="D3:K3"/>
    <mergeCell ref="D4:K4"/>
    <mergeCell ref="D5:K5"/>
    <mergeCell ref="D6:K6"/>
    <mergeCell ref="D7:K7"/>
    <mergeCell ref="D8:K8"/>
    <mergeCell ref="C13:H14"/>
    <mergeCell ref="I13:N14"/>
    <mergeCell ref="O13:T14"/>
    <mergeCell ref="C10:D10"/>
    <mergeCell ref="E10:F10"/>
    <mergeCell ref="K10:L10"/>
    <mergeCell ref="M10:N10"/>
    <mergeCell ref="O10:P10"/>
    <mergeCell ref="Q10:R10"/>
    <mergeCell ref="G10:H10"/>
    <mergeCell ref="I10:J10"/>
    <mergeCell ref="M11:N11"/>
    <mergeCell ref="O11:P11"/>
    <mergeCell ref="Q11:R11"/>
    <mergeCell ref="S11:T11"/>
    <mergeCell ref="C16:H16"/>
    <mergeCell ref="I16:N16"/>
    <mergeCell ref="O16:T16"/>
    <mergeCell ref="U16:AB16"/>
    <mergeCell ref="AC16:AJ16"/>
    <mergeCell ref="AE11:AF11"/>
    <mergeCell ref="AG11:AH11"/>
    <mergeCell ref="AO10:AP10"/>
    <mergeCell ref="AQ10:AR10"/>
    <mergeCell ref="S10:T10"/>
    <mergeCell ref="U10:V10"/>
    <mergeCell ref="W10:X10"/>
    <mergeCell ref="Y10:Z10"/>
    <mergeCell ref="AA10:AB10"/>
    <mergeCell ref="AC10:AD10"/>
    <mergeCell ref="AE10:AF10"/>
    <mergeCell ref="AG10:AH10"/>
    <mergeCell ref="AI10:AJ10"/>
    <mergeCell ref="AK10:AL10"/>
    <mergeCell ref="AM10:AN10"/>
    <mergeCell ref="AK16:AR16"/>
    <mergeCell ref="AI11:AJ11"/>
    <mergeCell ref="AK11:AL11"/>
    <mergeCell ref="AM11:AN11"/>
    <mergeCell ref="AO11:AP11"/>
    <mergeCell ref="AQ11:AR11"/>
    <mergeCell ref="C15:H15"/>
    <mergeCell ref="I15:N15"/>
    <mergeCell ref="O15:T15"/>
    <mergeCell ref="U15:AB15"/>
    <mergeCell ref="AC15:AJ15"/>
    <mergeCell ref="U11:V11"/>
    <mergeCell ref="W11:X11"/>
    <mergeCell ref="Y11:Z11"/>
    <mergeCell ref="AA11:AB11"/>
    <mergeCell ref="AC11:AD11"/>
    <mergeCell ref="AK13:AR14"/>
    <mergeCell ref="U13:AB14"/>
    <mergeCell ref="AC13:AJ14"/>
    <mergeCell ref="C11:D11"/>
    <mergeCell ref="E11:F11"/>
    <mergeCell ref="G11:H11"/>
    <mergeCell ref="I11:J11"/>
    <mergeCell ref="K11:L11"/>
    <mergeCell ref="AK15:AR15"/>
    <mergeCell ref="AK18:AR18"/>
    <mergeCell ref="C19:H19"/>
    <mergeCell ref="I19:N19"/>
    <mergeCell ref="O19:T19"/>
    <mergeCell ref="U19:AB19"/>
    <mergeCell ref="AC19:AJ19"/>
    <mergeCell ref="AK19:AR19"/>
    <mergeCell ref="I17:N17"/>
    <mergeCell ref="O17:T17"/>
    <mergeCell ref="U17:AB17"/>
    <mergeCell ref="AC17:AJ17"/>
    <mergeCell ref="AK17:AR17"/>
    <mergeCell ref="C18:H18"/>
    <mergeCell ref="I18:N18"/>
    <mergeCell ref="O18:T18"/>
    <mergeCell ref="U18:AB18"/>
    <mergeCell ref="AC18:AJ18"/>
    <mergeCell ref="C17:H17"/>
    <mergeCell ref="AK21:AR21"/>
    <mergeCell ref="C22:H22"/>
    <mergeCell ref="I22:N22"/>
    <mergeCell ref="O22:T22"/>
    <mergeCell ref="U22:AB22"/>
    <mergeCell ref="AC22:AJ22"/>
    <mergeCell ref="AK22:AR22"/>
    <mergeCell ref="I20:N20"/>
    <mergeCell ref="O20:T20"/>
    <mergeCell ref="U20:AB20"/>
    <mergeCell ref="AC20:AJ20"/>
    <mergeCell ref="AK20:AR20"/>
    <mergeCell ref="C21:H21"/>
    <mergeCell ref="I21:N21"/>
    <mergeCell ref="O21:T21"/>
    <mergeCell ref="U21:AB21"/>
    <mergeCell ref="AC21:AJ21"/>
    <mergeCell ref="C20:H20"/>
    <mergeCell ref="AK24:AR24"/>
    <mergeCell ref="C25:H25"/>
    <mergeCell ref="I25:N25"/>
    <mergeCell ref="O25:T25"/>
    <mergeCell ref="U25:AB25"/>
    <mergeCell ref="AC25:AJ25"/>
    <mergeCell ref="AK25:AR25"/>
    <mergeCell ref="I23:N23"/>
    <mergeCell ref="O23:T23"/>
    <mergeCell ref="U23:AB23"/>
    <mergeCell ref="AC23:AJ23"/>
    <mergeCell ref="AK23:AR23"/>
    <mergeCell ref="C24:H24"/>
    <mergeCell ref="I24:N24"/>
    <mergeCell ref="O24:T24"/>
    <mergeCell ref="U24:AB24"/>
    <mergeCell ref="AC24:AJ24"/>
    <mergeCell ref="C23:H23"/>
    <mergeCell ref="I26:N26"/>
    <mergeCell ref="O26:T26"/>
    <mergeCell ref="U26:AB26"/>
    <mergeCell ref="AC26:AJ26"/>
    <mergeCell ref="AK26:AR26"/>
    <mergeCell ref="C27:H27"/>
    <mergeCell ref="I27:N27"/>
    <mergeCell ref="O27:T27"/>
    <mergeCell ref="U27:AB27"/>
    <mergeCell ref="AC27:AJ27"/>
    <mergeCell ref="C26:H26"/>
    <mergeCell ref="C29:H29"/>
    <mergeCell ref="I29:N29"/>
    <mergeCell ref="O29:T29"/>
    <mergeCell ref="U29:AB29"/>
    <mergeCell ref="AC29:AJ29"/>
    <mergeCell ref="AK29:AR29"/>
    <mergeCell ref="AK27:AR27"/>
    <mergeCell ref="C28:H28"/>
    <mergeCell ref="I28:N28"/>
    <mergeCell ref="O28:T28"/>
    <mergeCell ref="U28:AB28"/>
    <mergeCell ref="AC28:AJ28"/>
    <mergeCell ref="AK28:AR28"/>
    <mergeCell ref="C31:H31"/>
    <mergeCell ref="I31:N31"/>
    <mergeCell ref="O31:T31"/>
    <mergeCell ref="U31:AB31"/>
    <mergeCell ref="AC31:AJ31"/>
    <mergeCell ref="AK31:AR31"/>
    <mergeCell ref="C30:H30"/>
    <mergeCell ref="I30:N30"/>
    <mergeCell ref="O30:T30"/>
    <mergeCell ref="U30:AB30"/>
    <mergeCell ref="AC30:AJ30"/>
    <mergeCell ref="AK30:AR30"/>
    <mergeCell ref="C33:H33"/>
    <mergeCell ref="I33:N33"/>
    <mergeCell ref="O33:T33"/>
    <mergeCell ref="U33:AB33"/>
    <mergeCell ref="AC33:AJ33"/>
    <mergeCell ref="AK33:AR33"/>
    <mergeCell ref="C32:H32"/>
    <mergeCell ref="I32:N32"/>
    <mergeCell ref="O32:T32"/>
    <mergeCell ref="U32:AB32"/>
    <mergeCell ref="AC32:AJ32"/>
    <mergeCell ref="AK32:AR32"/>
    <mergeCell ref="AC36:AJ37"/>
    <mergeCell ref="AK36:AR37"/>
    <mergeCell ref="C35:H35"/>
    <mergeCell ref="I35:N35"/>
    <mergeCell ref="O35:T35"/>
    <mergeCell ref="U35:AB35"/>
    <mergeCell ref="AC35:AJ35"/>
    <mergeCell ref="AK35:AR35"/>
    <mergeCell ref="C34:H34"/>
    <mergeCell ref="I34:N34"/>
    <mergeCell ref="O34:T34"/>
    <mergeCell ref="U34:AB34"/>
    <mergeCell ref="AC34:AJ34"/>
    <mergeCell ref="AK34:AR34"/>
    <mergeCell ref="U40:AB40"/>
    <mergeCell ref="U41:AB41"/>
    <mergeCell ref="C40:H40"/>
    <mergeCell ref="I40:N40"/>
    <mergeCell ref="O40:T40"/>
    <mergeCell ref="C41:H41"/>
    <mergeCell ref="I41:N41"/>
    <mergeCell ref="O41:T41"/>
    <mergeCell ref="C36:H37"/>
    <mergeCell ref="I36:N37"/>
    <mergeCell ref="O36:T37"/>
    <mergeCell ref="U36:AB37"/>
  </mergeCells>
  <pageMargins left="0.39370078740157483" right="0.39370078740157483" top="0.39370078740157483" bottom="0.39370078740157483" header="0.31496062992125984" footer="0.31496062992125984"/>
  <pageSetup paperSize="9" scale="6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AZ144"/>
  <sheetViews>
    <sheetView tabSelected="1" topLeftCell="A6" zoomScale="80" zoomScaleNormal="80" workbookViewId="0">
      <selection activeCell="L53" sqref="L53:N53"/>
    </sheetView>
  </sheetViews>
  <sheetFormatPr defaultColWidth="8.85546875" defaultRowHeight="15" x14ac:dyDescent="0.25"/>
  <cols>
    <col min="1" max="1" width="12.140625" style="1" customWidth="1"/>
    <col min="2" max="2" width="3.7109375" style="9" customWidth="1"/>
    <col min="3" max="10" width="3.7109375" style="1" customWidth="1"/>
    <col min="11" max="11" width="5.28515625" style="1" bestFit="1" customWidth="1"/>
    <col min="12" max="35" width="3.7109375" style="1" customWidth="1"/>
    <col min="36" max="40" width="3.7109375" style="1" hidden="1" customWidth="1"/>
    <col min="41" max="41" width="1.7109375" style="1" hidden="1" customWidth="1"/>
    <col min="42" max="42" width="5" style="1" hidden="1" customWidth="1"/>
    <col min="43" max="43" width="8.140625" style="1" hidden="1" customWidth="1"/>
    <col min="44" max="45" width="4.7109375" style="1" hidden="1" customWidth="1"/>
    <col min="46" max="48" width="4.7109375" style="54" hidden="1" customWidth="1"/>
    <col min="49" max="50" width="0" style="1" hidden="1" customWidth="1"/>
    <col min="51" max="16384" width="8.85546875" style="1"/>
  </cols>
  <sheetData>
    <row r="1" spans="1:48" x14ac:dyDescent="0.25">
      <c r="A1" s="29" t="str">
        <f>Psikogram!B1</f>
        <v>COUNTERPRODUCTIVE BEHAVIOR INDEX (CBI) PROFILE</v>
      </c>
      <c r="B1" s="30"/>
      <c r="C1" s="31"/>
      <c r="D1" s="31"/>
      <c r="E1" s="31"/>
      <c r="F1" s="31"/>
      <c r="G1" s="31"/>
      <c r="H1" s="31"/>
      <c r="I1" s="31"/>
      <c r="J1" s="31"/>
      <c r="R1" s="117" t="s">
        <v>204</v>
      </c>
      <c r="S1" s="117"/>
      <c r="T1" s="117"/>
    </row>
    <row r="3" spans="1:48" x14ac:dyDescent="0.3">
      <c r="A3" s="1" t="str">
        <f>Soal!B3</f>
        <v>Tanggal isi</v>
      </c>
      <c r="B3" s="9" t="str">
        <f>Soal!C3</f>
        <v>:</v>
      </c>
      <c r="C3" s="115">
        <f>Soal!D3</f>
        <v>44606</v>
      </c>
      <c r="D3" s="115"/>
      <c r="E3" s="115"/>
      <c r="F3" s="115"/>
      <c r="G3" s="115"/>
      <c r="H3" s="115"/>
      <c r="I3" s="115"/>
    </row>
    <row r="4" spans="1:48" x14ac:dyDescent="0.3">
      <c r="A4" s="1" t="str">
        <f>Soal!B4</f>
        <v>Nama</v>
      </c>
      <c r="B4" s="9" t="str">
        <f>Soal!C4</f>
        <v>:</v>
      </c>
      <c r="C4" s="119" t="str">
        <f>Soal!D4</f>
        <v>TES</v>
      </c>
      <c r="D4" s="119"/>
      <c r="E4" s="119"/>
      <c r="F4" s="119"/>
      <c r="G4" s="119"/>
      <c r="H4" s="119"/>
      <c r="I4" s="119"/>
    </row>
    <row r="5" spans="1:48" x14ac:dyDescent="0.3">
      <c r="A5" s="1" t="str">
        <f>Soal!B5</f>
        <v>Jenis Kelamin</v>
      </c>
      <c r="B5" s="9" t="str">
        <f>Soal!C5</f>
        <v>:</v>
      </c>
      <c r="C5" s="119" t="str">
        <f>Soal!D5</f>
        <v>LAKI</v>
      </c>
      <c r="D5" s="119"/>
      <c r="E5" s="119"/>
      <c r="F5" s="119"/>
      <c r="G5" s="119"/>
      <c r="H5" s="119"/>
      <c r="I5" s="119"/>
      <c r="AT5" s="70">
        <v>1</v>
      </c>
      <c r="AU5" s="70">
        <f>Soal!M20</f>
        <v>0</v>
      </c>
      <c r="AV5" s="70" t="str">
        <f>Soal!N20</f>
        <v>x</v>
      </c>
    </row>
    <row r="6" spans="1:48" x14ac:dyDescent="0.3">
      <c r="A6" s="1" t="str">
        <f>Soal!B6</f>
        <v>Tanggal Lahir</v>
      </c>
      <c r="B6" s="9" t="str">
        <f>Soal!C6</f>
        <v>:</v>
      </c>
      <c r="C6" s="115">
        <f>Soal!D6</f>
        <v>36533</v>
      </c>
      <c r="D6" s="115"/>
      <c r="E6" s="115"/>
      <c r="F6" s="115"/>
      <c r="G6" s="115"/>
      <c r="H6" s="115"/>
      <c r="I6" s="115"/>
      <c r="AT6" s="70">
        <f>AT5+1</f>
        <v>2</v>
      </c>
      <c r="AU6" s="70">
        <f>Soal!M21</f>
        <v>0</v>
      </c>
      <c r="AV6" s="70" t="str">
        <f>Soal!N21</f>
        <v>x</v>
      </c>
    </row>
    <row r="7" spans="1:48" x14ac:dyDescent="0.3">
      <c r="A7" s="1" t="str">
        <f>Soal!B7</f>
        <v>Usia</v>
      </c>
      <c r="B7" s="9" t="str">
        <f>Soal!C7</f>
        <v>:</v>
      </c>
      <c r="C7" s="119">
        <f>Soal!D7</f>
        <v>22</v>
      </c>
      <c r="D7" s="119"/>
      <c r="E7" s="119"/>
      <c r="F7" s="119"/>
      <c r="G7" s="119"/>
      <c r="H7" s="119"/>
      <c r="I7" s="119"/>
      <c r="AT7" s="70">
        <f t="shared" ref="AT7:AT70" si="0">AT6+1</f>
        <v>3</v>
      </c>
      <c r="AU7" s="70">
        <f>Soal!M22</f>
        <v>0</v>
      </c>
      <c r="AV7" s="70" t="str">
        <f>Soal!N22</f>
        <v>x</v>
      </c>
    </row>
    <row r="8" spans="1:48" x14ac:dyDescent="0.3">
      <c r="A8" s="1" t="str">
        <f>Soal!B8</f>
        <v>Pendidikan</v>
      </c>
      <c r="B8" s="9" t="str">
        <f>Soal!C8</f>
        <v>:</v>
      </c>
      <c r="C8" s="119" t="str">
        <f>Soal!D8</f>
        <v>smu</v>
      </c>
      <c r="D8" s="119"/>
      <c r="E8" s="119"/>
      <c r="F8" s="119"/>
      <c r="G8" s="119"/>
      <c r="H8" s="119"/>
      <c r="I8" s="119"/>
      <c r="AT8" s="70">
        <f t="shared" si="0"/>
        <v>4</v>
      </c>
      <c r="AU8" s="70">
        <f>Soal!M23</f>
        <v>0</v>
      </c>
      <c r="AV8" s="70" t="str">
        <f>Soal!N23</f>
        <v>x</v>
      </c>
    </row>
    <row r="9" spans="1:48" x14ac:dyDescent="0.3">
      <c r="AT9" s="70">
        <f t="shared" si="0"/>
        <v>5</v>
      </c>
      <c r="AU9" s="70">
        <f>Soal!M24</f>
        <v>0</v>
      </c>
      <c r="AV9" s="70" t="str">
        <f>Soal!N24</f>
        <v>x</v>
      </c>
    </row>
    <row r="10" spans="1:48" hidden="1" x14ac:dyDescent="0.3">
      <c r="B10" s="32" t="s">
        <v>161</v>
      </c>
      <c r="C10" s="33" t="s">
        <v>150</v>
      </c>
      <c r="D10" s="33" t="s">
        <v>151</v>
      </c>
      <c r="F10" s="32" t="s">
        <v>161</v>
      </c>
      <c r="G10" s="33" t="s">
        <v>150</v>
      </c>
      <c r="H10" s="33" t="s">
        <v>151</v>
      </c>
      <c r="J10" s="32" t="s">
        <v>161</v>
      </c>
      <c r="K10" s="33" t="s">
        <v>150</v>
      </c>
      <c r="L10" s="33" t="s">
        <v>151</v>
      </c>
      <c r="N10" s="32" t="s">
        <v>161</v>
      </c>
      <c r="O10" s="33" t="s">
        <v>150</v>
      </c>
      <c r="P10" s="33" t="s">
        <v>151</v>
      </c>
      <c r="R10" s="32" t="s">
        <v>161</v>
      </c>
      <c r="S10" s="33" t="s">
        <v>150</v>
      </c>
      <c r="T10" s="33" t="s">
        <v>151</v>
      </c>
      <c r="V10" s="34" t="s">
        <v>161</v>
      </c>
      <c r="W10" s="13" t="s">
        <v>150</v>
      </c>
      <c r="X10" s="13" t="s">
        <v>151</v>
      </c>
      <c r="Z10" s="34" t="s">
        <v>161</v>
      </c>
      <c r="AA10" s="13" t="s">
        <v>150</v>
      </c>
      <c r="AB10" s="13" t="s">
        <v>151</v>
      </c>
      <c r="AD10" s="34" t="s">
        <v>161</v>
      </c>
      <c r="AE10" s="13" t="s">
        <v>150</v>
      </c>
      <c r="AF10" s="13" t="s">
        <v>151</v>
      </c>
      <c r="AH10" s="34" t="s">
        <v>161</v>
      </c>
      <c r="AI10" s="13" t="s">
        <v>150</v>
      </c>
      <c r="AJ10" s="13" t="s">
        <v>151</v>
      </c>
      <c r="AL10" s="34" t="s">
        <v>161</v>
      </c>
      <c r="AM10" s="13" t="s">
        <v>150</v>
      </c>
      <c r="AN10" s="13" t="s">
        <v>151</v>
      </c>
      <c r="AT10" s="70">
        <f t="shared" si="0"/>
        <v>6</v>
      </c>
      <c r="AU10" s="70">
        <f>Soal!M25</f>
        <v>0</v>
      </c>
      <c r="AV10" s="70" t="str">
        <f>Soal!N25</f>
        <v>x</v>
      </c>
    </row>
    <row r="11" spans="1:48" s="9" customFormat="1" hidden="1" x14ac:dyDescent="0.3">
      <c r="B11" s="74">
        <v>1</v>
      </c>
      <c r="C11" s="36" t="str">
        <f>IF(C28="X",1,"0")</f>
        <v>0</v>
      </c>
      <c r="D11" s="76">
        <f>IF(D28="X",1,"0")</f>
        <v>1</v>
      </c>
      <c r="E11" s="37"/>
      <c r="F11" s="35">
        <v>15</v>
      </c>
      <c r="G11" s="38" t="str">
        <f>IF(G28="X",1,"0")</f>
        <v>0</v>
      </c>
      <c r="H11" s="35">
        <f>IF(H28="X",1,"0")</f>
        <v>1</v>
      </c>
      <c r="I11" s="37"/>
      <c r="J11" s="35">
        <v>29</v>
      </c>
      <c r="K11" s="38" t="str">
        <f>IF(K28="X",1,"0")</f>
        <v>0</v>
      </c>
      <c r="L11" s="35">
        <f>IF(L28="X",1,"0")</f>
        <v>1</v>
      </c>
      <c r="M11" s="37"/>
      <c r="N11" s="35">
        <v>43</v>
      </c>
      <c r="O11" s="35" t="str">
        <f>IF(O28="X",1,"0")</f>
        <v>0</v>
      </c>
      <c r="P11" s="38">
        <f>IF(P28="X",1,"0")</f>
        <v>1</v>
      </c>
      <c r="Q11" s="37"/>
      <c r="R11" s="35">
        <v>57</v>
      </c>
      <c r="S11" s="38" t="str">
        <f>IF(S28="X",1,"0")</f>
        <v>0</v>
      </c>
      <c r="T11" s="35">
        <f>IF(T28="X",1,"0")</f>
        <v>1</v>
      </c>
      <c r="U11" s="37"/>
      <c r="V11" s="35">
        <v>71</v>
      </c>
      <c r="W11" s="35" t="str">
        <f>IF(W28="X",1,"0")</f>
        <v>0</v>
      </c>
      <c r="X11" s="38">
        <f>IF(X28="X",1,"0")</f>
        <v>1</v>
      </c>
      <c r="Y11" s="39"/>
      <c r="Z11" s="35">
        <v>85</v>
      </c>
      <c r="AA11" s="38" t="str">
        <f>IF(AA28="X",1,"0")</f>
        <v>0</v>
      </c>
      <c r="AB11" s="35">
        <f>IF(AB28="X",1,"0")</f>
        <v>1</v>
      </c>
      <c r="AC11" s="39"/>
      <c r="AD11" s="35">
        <v>99</v>
      </c>
      <c r="AE11" s="38" t="str">
        <f>IF(AE28="X",1,"0")</f>
        <v>0</v>
      </c>
      <c r="AF11" s="35">
        <f>IF(AF28="X",1,"0")</f>
        <v>1</v>
      </c>
      <c r="AG11" s="39"/>
      <c r="AH11" s="35">
        <v>113</v>
      </c>
      <c r="AI11" s="35" t="str">
        <f>IF(AI28="X",1,"0")</f>
        <v>0</v>
      </c>
      <c r="AJ11" s="38">
        <f>IF(AJ28="X",1,"0")</f>
        <v>1</v>
      </c>
      <c r="AK11" s="39"/>
      <c r="AL11" s="35">
        <v>127</v>
      </c>
      <c r="AM11" s="38" t="str">
        <f>IF(AM28="X",1,"0")</f>
        <v>0</v>
      </c>
      <c r="AN11" s="35">
        <f>IF(AN28="X",1,"0")</f>
        <v>1</v>
      </c>
      <c r="AO11" s="37"/>
      <c r="AP11" s="136" t="s">
        <v>163</v>
      </c>
      <c r="AQ11" s="136">
        <f>D11+H11+L11+O11+T11+W11+AB11+AF11+AI11+AN11+D12+H12+K12+O12+T12+X12+AB12+AF12+AJ12+AN12</f>
        <v>15</v>
      </c>
      <c r="AT11" s="70">
        <f t="shared" si="0"/>
        <v>7</v>
      </c>
      <c r="AU11" s="70">
        <f>Soal!M26</f>
        <v>0</v>
      </c>
      <c r="AV11" s="70" t="str">
        <f>Soal!N26</f>
        <v>x</v>
      </c>
    </row>
    <row r="12" spans="1:48" hidden="1" x14ac:dyDescent="0.3">
      <c r="B12" s="74">
        <f>B11+1</f>
        <v>2</v>
      </c>
      <c r="C12" s="36" t="str">
        <f t="shared" ref="C12:D12" si="1">IF(C29="X",1,"0")</f>
        <v>0</v>
      </c>
      <c r="D12" s="76">
        <f t="shared" si="1"/>
        <v>1</v>
      </c>
      <c r="E12" s="40"/>
      <c r="F12" s="35">
        <f t="shared" ref="F12:F24" si="2">F11+1</f>
        <v>16</v>
      </c>
      <c r="G12" s="38" t="str">
        <f t="shared" ref="G12:H12" si="3">IF(G29="X",1,"0")</f>
        <v>0</v>
      </c>
      <c r="H12" s="35">
        <f t="shared" si="3"/>
        <v>1</v>
      </c>
      <c r="I12" s="40"/>
      <c r="J12" s="35">
        <f t="shared" ref="J12:J24" si="4">J11+1</f>
        <v>30</v>
      </c>
      <c r="K12" s="35" t="str">
        <f t="shared" ref="K12:L12" si="5">IF(K29="X",1,"0")</f>
        <v>0</v>
      </c>
      <c r="L12" s="38">
        <f t="shared" si="5"/>
        <v>1</v>
      </c>
      <c r="M12" s="40"/>
      <c r="N12" s="35">
        <f t="shared" ref="N12:N24" si="6">N11+1</f>
        <v>44</v>
      </c>
      <c r="O12" s="35" t="str">
        <f t="shared" ref="O12:P12" si="7">IF(O29="X",1,"0")</f>
        <v>0</v>
      </c>
      <c r="P12" s="38">
        <f t="shared" si="7"/>
        <v>1</v>
      </c>
      <c r="Q12" s="40"/>
      <c r="R12" s="35">
        <f t="shared" ref="R12:R24" si="8">R11+1</f>
        <v>58</v>
      </c>
      <c r="S12" s="38" t="str">
        <f t="shared" ref="S12:T12" si="9">IF(S29="X",1,"0")</f>
        <v>0</v>
      </c>
      <c r="T12" s="35">
        <f t="shared" si="9"/>
        <v>1</v>
      </c>
      <c r="U12" s="40"/>
      <c r="V12" s="35">
        <f t="shared" ref="V12:V24" si="10">V11+1</f>
        <v>72</v>
      </c>
      <c r="W12" s="38" t="str">
        <f t="shared" ref="W12:X12" si="11">IF(W29="X",1,"0")</f>
        <v>0</v>
      </c>
      <c r="X12" s="35">
        <f t="shared" si="11"/>
        <v>1</v>
      </c>
      <c r="Y12" s="40"/>
      <c r="Z12" s="35">
        <f t="shared" ref="Z12:Z24" si="12">Z11+1</f>
        <v>86</v>
      </c>
      <c r="AA12" s="38" t="str">
        <f t="shared" ref="AA12:AB12" si="13">IF(AA29="X",1,"0")</f>
        <v>0</v>
      </c>
      <c r="AB12" s="35">
        <f t="shared" si="13"/>
        <v>1</v>
      </c>
      <c r="AC12" s="40"/>
      <c r="AD12" s="35">
        <f t="shared" ref="AD12:AD24" si="14">AD11+1</f>
        <v>100</v>
      </c>
      <c r="AE12" s="38" t="str">
        <f t="shared" ref="AE12:AF12" si="15">IF(AE29="X",1,"0")</f>
        <v>0</v>
      </c>
      <c r="AF12" s="35">
        <f t="shared" si="15"/>
        <v>1</v>
      </c>
      <c r="AG12" s="40"/>
      <c r="AH12" s="35">
        <f t="shared" ref="AH12:AH24" si="16">AH11+1</f>
        <v>114</v>
      </c>
      <c r="AI12" s="38" t="str">
        <f t="shared" ref="AI12:AJ12" si="17">IF(AI29="X",1,"0")</f>
        <v>0</v>
      </c>
      <c r="AJ12" s="35">
        <f t="shared" si="17"/>
        <v>1</v>
      </c>
      <c r="AK12" s="40"/>
      <c r="AL12" s="35">
        <f t="shared" ref="AL12:AL24" si="18">AL11+1</f>
        <v>128</v>
      </c>
      <c r="AM12" s="38" t="str">
        <f t="shared" ref="AM12:AN12" si="19">IF(AM29="X",1,"0")</f>
        <v>0</v>
      </c>
      <c r="AN12" s="35">
        <f t="shared" si="19"/>
        <v>1</v>
      </c>
      <c r="AO12" s="40"/>
      <c r="AP12" s="136"/>
      <c r="AQ12" s="136"/>
      <c r="AT12" s="70">
        <f t="shared" si="0"/>
        <v>8</v>
      </c>
      <c r="AU12" s="70">
        <f>Soal!M27</f>
        <v>0</v>
      </c>
      <c r="AV12" s="70" t="str">
        <f>Soal!N27</f>
        <v>x</v>
      </c>
    </row>
    <row r="13" spans="1:48" hidden="1" x14ac:dyDescent="0.3">
      <c r="B13" s="74">
        <f t="shared" ref="B13:B24" si="20">B12+1</f>
        <v>3</v>
      </c>
      <c r="C13" s="75" t="str">
        <f t="shared" ref="C13:D13" si="21">IF(C30="X",1,"0")</f>
        <v>0</v>
      </c>
      <c r="D13" s="38">
        <f t="shared" si="21"/>
        <v>1</v>
      </c>
      <c r="E13" s="39"/>
      <c r="F13" s="35">
        <f t="shared" si="2"/>
        <v>17</v>
      </c>
      <c r="G13" s="35" t="str">
        <f t="shared" ref="G13:H13" si="22">IF(G30="X",1,"0")</f>
        <v>0</v>
      </c>
      <c r="H13" s="38">
        <f t="shared" si="22"/>
        <v>1</v>
      </c>
      <c r="I13" s="39"/>
      <c r="J13" s="35">
        <f t="shared" si="4"/>
        <v>31</v>
      </c>
      <c r="K13" s="35" t="str">
        <f t="shared" ref="K13:L13" si="23">IF(K30="X",1,"0")</f>
        <v>0</v>
      </c>
      <c r="L13" s="38">
        <f t="shared" si="23"/>
        <v>1</v>
      </c>
      <c r="M13" s="39"/>
      <c r="N13" s="35">
        <f t="shared" si="6"/>
        <v>45</v>
      </c>
      <c r="O13" s="35" t="str">
        <f t="shared" ref="O13:P13" si="24">IF(O30="X",1,"0")</f>
        <v>0</v>
      </c>
      <c r="P13" s="38">
        <f t="shared" si="24"/>
        <v>1</v>
      </c>
      <c r="Q13" s="39"/>
      <c r="R13" s="35">
        <f t="shared" si="8"/>
        <v>59</v>
      </c>
      <c r="S13" s="35" t="str">
        <f t="shared" ref="S13:T13" si="25">IF(S30="X",1,"0")</f>
        <v>0</v>
      </c>
      <c r="T13" s="38">
        <f t="shared" si="25"/>
        <v>1</v>
      </c>
      <c r="U13" s="39"/>
      <c r="V13" s="35">
        <f t="shared" si="10"/>
        <v>73</v>
      </c>
      <c r="W13" s="35" t="str">
        <f t="shared" ref="W13:X13" si="26">IF(W30="X",1,"0")</f>
        <v>0</v>
      </c>
      <c r="X13" s="38">
        <f t="shared" si="26"/>
        <v>1</v>
      </c>
      <c r="Y13" s="39"/>
      <c r="Z13" s="35">
        <f t="shared" si="12"/>
        <v>87</v>
      </c>
      <c r="AA13" s="35" t="str">
        <f t="shared" ref="AA13:AB13" si="27">IF(AA30="X",1,"0")</f>
        <v>0</v>
      </c>
      <c r="AB13" s="38">
        <f t="shared" si="27"/>
        <v>1</v>
      </c>
      <c r="AC13" s="39"/>
      <c r="AD13" s="35">
        <f t="shared" si="14"/>
        <v>101</v>
      </c>
      <c r="AE13" s="35" t="str">
        <f t="shared" ref="AE13:AF13" si="28">IF(AE30="X",1,"0")</f>
        <v>0</v>
      </c>
      <c r="AF13" s="38">
        <f t="shared" si="28"/>
        <v>1</v>
      </c>
      <c r="AG13" s="39"/>
      <c r="AH13" s="35">
        <f t="shared" si="16"/>
        <v>115</v>
      </c>
      <c r="AI13" s="35" t="str">
        <f t="shared" ref="AI13:AJ13" si="29">IF(AI30="X",1,"0")</f>
        <v>0</v>
      </c>
      <c r="AJ13" s="38">
        <f t="shared" si="29"/>
        <v>1</v>
      </c>
      <c r="AK13" s="39"/>
      <c r="AL13" s="35">
        <f t="shared" si="18"/>
        <v>129</v>
      </c>
      <c r="AM13" s="35" t="str">
        <f t="shared" ref="AM13:AN13" si="30">IF(AM30="X",1,"0")</f>
        <v>0</v>
      </c>
      <c r="AN13" s="38">
        <f t="shared" si="30"/>
        <v>1</v>
      </c>
      <c r="AO13" s="39"/>
      <c r="AP13" s="136" t="s">
        <v>164</v>
      </c>
      <c r="AQ13" s="136">
        <f>C13+C14+G13+G14+K13+K14+O13+O14+S13+S14+W13+W14+AA13+AA14+AE13+AE14+AI13+AI14+AM13+AM14</f>
        <v>0</v>
      </c>
      <c r="AT13" s="70">
        <f t="shared" si="0"/>
        <v>9</v>
      </c>
      <c r="AU13" s="70">
        <f>Soal!M28</f>
        <v>0</v>
      </c>
      <c r="AV13" s="70" t="str">
        <f>Soal!N28</f>
        <v>x</v>
      </c>
    </row>
    <row r="14" spans="1:48" hidden="1" x14ac:dyDescent="0.3">
      <c r="B14" s="74">
        <f t="shared" si="20"/>
        <v>4</v>
      </c>
      <c r="C14" s="75" t="str">
        <f t="shared" ref="C14:D14" si="31">IF(C31="X",1,"0")</f>
        <v>0</v>
      </c>
      <c r="D14" s="38">
        <f t="shared" si="31"/>
        <v>1</v>
      </c>
      <c r="E14" s="40"/>
      <c r="F14" s="35">
        <f t="shared" si="2"/>
        <v>18</v>
      </c>
      <c r="G14" s="35" t="str">
        <f t="shared" ref="G14:H14" si="32">IF(G31="X",1,"0")</f>
        <v>0</v>
      </c>
      <c r="H14" s="38">
        <f t="shared" si="32"/>
        <v>1</v>
      </c>
      <c r="I14" s="40"/>
      <c r="J14" s="35">
        <f t="shared" si="4"/>
        <v>32</v>
      </c>
      <c r="K14" s="35" t="str">
        <f t="shared" ref="K14:L14" si="33">IF(K31="X",1,"0")</f>
        <v>0</v>
      </c>
      <c r="L14" s="38">
        <f t="shared" si="33"/>
        <v>1</v>
      </c>
      <c r="M14" s="40"/>
      <c r="N14" s="35">
        <f t="shared" si="6"/>
        <v>46</v>
      </c>
      <c r="O14" s="35" t="str">
        <f t="shared" ref="O14:P14" si="34">IF(O31="X",1,"0")</f>
        <v>0</v>
      </c>
      <c r="P14" s="38">
        <f t="shared" si="34"/>
        <v>1</v>
      </c>
      <c r="Q14" s="40"/>
      <c r="R14" s="35">
        <f t="shared" si="8"/>
        <v>60</v>
      </c>
      <c r="S14" s="35" t="str">
        <f t="shared" ref="S14:T14" si="35">IF(S31="X",1,"0")</f>
        <v>0</v>
      </c>
      <c r="T14" s="38">
        <f t="shared" si="35"/>
        <v>1</v>
      </c>
      <c r="U14" s="40"/>
      <c r="V14" s="35">
        <f t="shared" si="10"/>
        <v>74</v>
      </c>
      <c r="W14" s="35" t="str">
        <f t="shared" ref="W14:X14" si="36">IF(W31="X",1,"0")</f>
        <v>0</v>
      </c>
      <c r="X14" s="38">
        <f t="shared" si="36"/>
        <v>1</v>
      </c>
      <c r="Y14" s="40"/>
      <c r="Z14" s="35">
        <f t="shared" si="12"/>
        <v>88</v>
      </c>
      <c r="AA14" s="35" t="str">
        <f t="shared" ref="AA14:AB14" si="37">IF(AA31="X",1,"0")</f>
        <v>0</v>
      </c>
      <c r="AB14" s="38">
        <f t="shared" si="37"/>
        <v>1</v>
      </c>
      <c r="AC14" s="40"/>
      <c r="AD14" s="35">
        <f t="shared" si="14"/>
        <v>102</v>
      </c>
      <c r="AE14" s="35" t="str">
        <f t="shared" ref="AE14:AF14" si="38">IF(AE31="X",1,"0")</f>
        <v>0</v>
      </c>
      <c r="AF14" s="38">
        <f t="shared" si="38"/>
        <v>1</v>
      </c>
      <c r="AG14" s="40"/>
      <c r="AH14" s="35">
        <f t="shared" si="16"/>
        <v>116</v>
      </c>
      <c r="AI14" s="35" t="str">
        <f t="shared" ref="AI14:AJ14" si="39">IF(AI31="X",1,"0")</f>
        <v>0</v>
      </c>
      <c r="AJ14" s="38">
        <f t="shared" si="39"/>
        <v>1</v>
      </c>
      <c r="AK14" s="40"/>
      <c r="AL14" s="35">
        <f t="shared" si="18"/>
        <v>130</v>
      </c>
      <c r="AM14" s="35" t="str">
        <f t="shared" ref="AM14:AN14" si="40">IF(AM31="X",1,"0")</f>
        <v>0</v>
      </c>
      <c r="AN14" s="38">
        <f t="shared" si="40"/>
        <v>1</v>
      </c>
      <c r="AO14" s="40"/>
      <c r="AP14" s="136"/>
      <c r="AQ14" s="136"/>
      <c r="AT14" s="70">
        <f t="shared" si="0"/>
        <v>10</v>
      </c>
      <c r="AU14" s="70">
        <f>Soal!M29</f>
        <v>0</v>
      </c>
      <c r="AV14" s="70" t="str">
        <f>Soal!N29</f>
        <v>x</v>
      </c>
    </row>
    <row r="15" spans="1:48" hidden="1" x14ac:dyDescent="0.3">
      <c r="B15" s="74">
        <f t="shared" si="20"/>
        <v>5</v>
      </c>
      <c r="C15" s="75" t="str">
        <f t="shared" ref="C15:D15" si="41">IF(C32="X",1,"0")</f>
        <v>0</v>
      </c>
      <c r="D15" s="38">
        <f t="shared" si="41"/>
        <v>1</v>
      </c>
      <c r="E15" s="39"/>
      <c r="F15" s="35">
        <f t="shared" si="2"/>
        <v>19</v>
      </c>
      <c r="G15" s="38" t="str">
        <f t="shared" ref="G15:H15" si="42">IF(G32="X",1,"0")</f>
        <v>0</v>
      </c>
      <c r="H15" s="35">
        <f t="shared" si="42"/>
        <v>1</v>
      </c>
      <c r="I15" s="39"/>
      <c r="J15" s="35">
        <f t="shared" si="4"/>
        <v>33</v>
      </c>
      <c r="K15" s="35" t="str">
        <f t="shared" ref="K15:L15" si="43">IF(K32="X",1,"0")</f>
        <v>0</v>
      </c>
      <c r="L15" s="38">
        <f t="shared" si="43"/>
        <v>1</v>
      </c>
      <c r="M15" s="39"/>
      <c r="N15" s="35">
        <f t="shared" si="6"/>
        <v>47</v>
      </c>
      <c r="O15" s="35" t="str">
        <f t="shared" ref="O15:P15" si="44">IF(O32="X",1,"0")</f>
        <v>0</v>
      </c>
      <c r="P15" s="38">
        <f t="shared" si="44"/>
        <v>1</v>
      </c>
      <c r="Q15" s="39"/>
      <c r="R15" s="35">
        <f t="shared" si="8"/>
        <v>61</v>
      </c>
      <c r="S15" s="38" t="str">
        <f t="shared" ref="S15:T15" si="45">IF(S32="X",1,"0")</f>
        <v>0</v>
      </c>
      <c r="T15" s="35">
        <f t="shared" si="45"/>
        <v>1</v>
      </c>
      <c r="U15" s="39"/>
      <c r="V15" s="35">
        <f t="shared" si="10"/>
        <v>75</v>
      </c>
      <c r="W15" s="38" t="str">
        <f t="shared" ref="W15:X15" si="46">IF(W32="X",1,"0")</f>
        <v>0</v>
      </c>
      <c r="X15" s="35">
        <f t="shared" si="46"/>
        <v>1</v>
      </c>
      <c r="Y15" s="39"/>
      <c r="Z15" s="35">
        <f t="shared" si="12"/>
        <v>89</v>
      </c>
      <c r="AA15" s="35" t="str">
        <f t="shared" ref="AA15:AB15" si="47">IF(AA32="X",1,"0")</f>
        <v>0</v>
      </c>
      <c r="AB15" s="38">
        <f t="shared" si="47"/>
        <v>1</v>
      </c>
      <c r="AC15" s="39"/>
      <c r="AD15" s="35">
        <f t="shared" si="14"/>
        <v>103</v>
      </c>
      <c r="AE15" s="38" t="str">
        <f t="shared" ref="AE15:AF15" si="48">IF(AE32="X",1,"0")</f>
        <v>0</v>
      </c>
      <c r="AF15" s="35">
        <f t="shared" si="48"/>
        <v>1</v>
      </c>
      <c r="AG15" s="39"/>
      <c r="AH15" s="35">
        <f t="shared" si="16"/>
        <v>117</v>
      </c>
      <c r="AI15" s="38" t="str">
        <f t="shared" ref="AI15:AJ15" si="49">IF(AI32="X",1,"0")</f>
        <v>0</v>
      </c>
      <c r="AJ15" s="35">
        <f t="shared" si="49"/>
        <v>1</v>
      </c>
      <c r="AK15" s="39"/>
      <c r="AL15" s="35">
        <f t="shared" si="18"/>
        <v>131</v>
      </c>
      <c r="AM15" s="35" t="str">
        <f t="shared" ref="AM15:AN15" si="50">IF(AM32="X",1,"0")</f>
        <v>0</v>
      </c>
      <c r="AN15" s="38">
        <f t="shared" si="50"/>
        <v>1</v>
      </c>
      <c r="AO15" s="39"/>
      <c r="AP15" s="136" t="s">
        <v>165</v>
      </c>
      <c r="AQ15" s="136">
        <f>C15+C16+H15+G16+K15+K16+O15+O16+T15+T16+X15+W16+AA15+AB16+AF15+AF16+AJ15+AI16+AM15+AM16</f>
        <v>8</v>
      </c>
      <c r="AT15" s="70">
        <f t="shared" si="0"/>
        <v>11</v>
      </c>
      <c r="AU15" s="70">
        <f>Soal!M30</f>
        <v>0</v>
      </c>
      <c r="AV15" s="70" t="str">
        <f>Soal!N30</f>
        <v>x</v>
      </c>
    </row>
    <row r="16" spans="1:48" hidden="1" x14ac:dyDescent="0.3">
      <c r="B16" s="74">
        <f t="shared" si="20"/>
        <v>6</v>
      </c>
      <c r="C16" s="75" t="str">
        <f t="shared" ref="C16:D16" si="51">IF(C33="X",1,"0")</f>
        <v>0</v>
      </c>
      <c r="D16" s="38">
        <f t="shared" si="51"/>
        <v>1</v>
      </c>
      <c r="E16" s="40"/>
      <c r="F16" s="35">
        <f t="shared" si="2"/>
        <v>20</v>
      </c>
      <c r="G16" s="35" t="str">
        <f t="shared" ref="G16:H16" si="52">IF(G33="X",1,"0")</f>
        <v>0</v>
      </c>
      <c r="H16" s="36">
        <f t="shared" si="52"/>
        <v>1</v>
      </c>
      <c r="I16" s="40"/>
      <c r="J16" s="35">
        <f t="shared" si="4"/>
        <v>34</v>
      </c>
      <c r="K16" s="35" t="str">
        <f t="shared" ref="K16:L16" si="53">IF(K33="X",1,"0")</f>
        <v>0</v>
      </c>
      <c r="L16" s="38">
        <f t="shared" si="53"/>
        <v>1</v>
      </c>
      <c r="M16" s="40"/>
      <c r="N16" s="35">
        <f t="shared" si="6"/>
        <v>48</v>
      </c>
      <c r="O16" s="35" t="str">
        <f t="shared" ref="O16:P16" si="54">IF(O33="X",1,"0")</f>
        <v>0</v>
      </c>
      <c r="P16" s="38">
        <f t="shared" si="54"/>
        <v>1</v>
      </c>
      <c r="Q16" s="40"/>
      <c r="R16" s="35">
        <f t="shared" si="8"/>
        <v>62</v>
      </c>
      <c r="S16" s="38" t="str">
        <f t="shared" ref="S16:T16" si="55">IF(S33="X",1,"0")</f>
        <v>0</v>
      </c>
      <c r="T16" s="35">
        <f t="shared" si="55"/>
        <v>1</v>
      </c>
      <c r="U16" s="40"/>
      <c r="V16" s="35">
        <f t="shared" si="10"/>
        <v>76</v>
      </c>
      <c r="W16" s="35" t="str">
        <f t="shared" ref="W16:X16" si="56">IF(W33="X",1,"0")</f>
        <v>0</v>
      </c>
      <c r="X16" s="38">
        <f t="shared" si="56"/>
        <v>1</v>
      </c>
      <c r="Y16" s="40"/>
      <c r="Z16" s="35">
        <f t="shared" si="12"/>
        <v>90</v>
      </c>
      <c r="AA16" s="38" t="str">
        <f t="shared" ref="AA16:AB16" si="57">IF(AA33="X",1,"0")</f>
        <v>0</v>
      </c>
      <c r="AB16" s="35">
        <f t="shared" si="57"/>
        <v>1</v>
      </c>
      <c r="AC16" s="40"/>
      <c r="AD16" s="35">
        <f t="shared" si="14"/>
        <v>104</v>
      </c>
      <c r="AE16" s="38" t="str">
        <f t="shared" ref="AE16:AF16" si="58">IF(AE33="X",1,"0")</f>
        <v>0</v>
      </c>
      <c r="AF16" s="35">
        <f t="shared" si="58"/>
        <v>1</v>
      </c>
      <c r="AG16" s="40"/>
      <c r="AH16" s="35">
        <f t="shared" si="16"/>
        <v>118</v>
      </c>
      <c r="AI16" s="35" t="str">
        <f t="shared" ref="AI16:AJ16" si="59">IF(AI33="X",1,"0")</f>
        <v>0</v>
      </c>
      <c r="AJ16" s="38">
        <f t="shared" si="59"/>
        <v>1</v>
      </c>
      <c r="AK16" s="40"/>
      <c r="AL16" s="35">
        <f t="shared" si="18"/>
        <v>132</v>
      </c>
      <c r="AM16" s="35" t="str">
        <f t="shared" ref="AM16:AN16" si="60">IF(AM33="X",1,"0")</f>
        <v>0</v>
      </c>
      <c r="AN16" s="38">
        <f t="shared" si="60"/>
        <v>1</v>
      </c>
      <c r="AO16" s="40"/>
      <c r="AP16" s="136"/>
      <c r="AQ16" s="136"/>
      <c r="AT16" s="70">
        <f t="shared" si="0"/>
        <v>12</v>
      </c>
      <c r="AU16" s="70">
        <f>Soal!M31</f>
        <v>0</v>
      </c>
      <c r="AV16" s="70" t="str">
        <f>Soal!N31</f>
        <v>x</v>
      </c>
    </row>
    <row r="17" spans="2:48" hidden="1" x14ac:dyDescent="0.3">
      <c r="B17" s="74">
        <f t="shared" si="20"/>
        <v>7</v>
      </c>
      <c r="C17" s="36" t="str">
        <f t="shared" ref="C17:D17" si="61">IF(C34="X",1,"0")</f>
        <v>0</v>
      </c>
      <c r="D17" s="76">
        <f t="shared" si="61"/>
        <v>1</v>
      </c>
      <c r="E17" s="39"/>
      <c r="F17" s="35">
        <f t="shared" si="2"/>
        <v>21</v>
      </c>
      <c r="G17" s="35" t="str">
        <f t="shared" ref="G17:H17" si="62">IF(G34="X",1,"0")</f>
        <v>0</v>
      </c>
      <c r="H17" s="36">
        <f t="shared" si="62"/>
        <v>1</v>
      </c>
      <c r="I17" s="39"/>
      <c r="J17" s="35">
        <f t="shared" si="4"/>
        <v>35</v>
      </c>
      <c r="K17" s="35" t="str">
        <f t="shared" ref="K17:L17" si="63">IF(K34="X",1,"0")</f>
        <v>0</v>
      </c>
      <c r="L17" s="38">
        <f t="shared" si="63"/>
        <v>1</v>
      </c>
      <c r="M17" s="39"/>
      <c r="N17" s="35">
        <f t="shared" si="6"/>
        <v>49</v>
      </c>
      <c r="O17" s="35" t="str">
        <f t="shared" ref="O17:P17" si="64">IF(O34="X",1,"0")</f>
        <v>0</v>
      </c>
      <c r="P17" s="38">
        <f t="shared" si="64"/>
        <v>1</v>
      </c>
      <c r="Q17" s="39"/>
      <c r="R17" s="35">
        <f t="shared" si="8"/>
        <v>63</v>
      </c>
      <c r="S17" s="35" t="str">
        <f t="shared" ref="S17:T17" si="65">IF(S34="X",1,"0")</f>
        <v>0</v>
      </c>
      <c r="T17" s="38">
        <f t="shared" si="65"/>
        <v>1</v>
      </c>
      <c r="U17" s="39"/>
      <c r="V17" s="35">
        <f t="shared" si="10"/>
        <v>77</v>
      </c>
      <c r="W17" s="35" t="str">
        <f t="shared" ref="W17:X17" si="66">IF(W34="X",1,"0")</f>
        <v>0</v>
      </c>
      <c r="X17" s="38">
        <f t="shared" si="66"/>
        <v>1</v>
      </c>
      <c r="Y17" s="39"/>
      <c r="Z17" s="35">
        <f t="shared" si="12"/>
        <v>91</v>
      </c>
      <c r="AA17" s="35" t="str">
        <f t="shared" ref="AA17:AB17" si="67">IF(AA34="X",1,"0")</f>
        <v>0</v>
      </c>
      <c r="AB17" s="38">
        <f t="shared" si="67"/>
        <v>1</v>
      </c>
      <c r="AC17" s="39"/>
      <c r="AD17" s="35">
        <f t="shared" si="14"/>
        <v>105</v>
      </c>
      <c r="AE17" s="35" t="str">
        <f t="shared" ref="AE17:AF17" si="68">IF(AE34="X",1,"0")</f>
        <v>0</v>
      </c>
      <c r="AF17" s="38">
        <f t="shared" si="68"/>
        <v>1</v>
      </c>
      <c r="AG17" s="39"/>
      <c r="AH17" s="35">
        <f t="shared" si="16"/>
        <v>119</v>
      </c>
      <c r="AI17" s="35" t="str">
        <f t="shared" ref="AI17:AJ17" si="69">IF(AI34="X",1,"0")</f>
        <v>0</v>
      </c>
      <c r="AJ17" s="38">
        <f t="shared" si="69"/>
        <v>1</v>
      </c>
      <c r="AK17" s="39"/>
      <c r="AL17" s="35">
        <f t="shared" si="18"/>
        <v>133</v>
      </c>
      <c r="AM17" s="35" t="str">
        <f t="shared" ref="AM17:AN17" si="70">IF(AM34="X",1,"0")</f>
        <v>0</v>
      </c>
      <c r="AN17" s="38">
        <f t="shared" si="70"/>
        <v>1</v>
      </c>
      <c r="AO17" s="39"/>
      <c r="AP17" s="136" t="s">
        <v>166</v>
      </c>
      <c r="AQ17" s="136">
        <f>C18+D17+G17+G18+K17+K18+O17+O18+S17+S18+W17+W18+AA17+AA18+AE17+AE18+AI17+AI18+AM17+AM18</f>
        <v>1</v>
      </c>
      <c r="AT17" s="70">
        <f t="shared" si="0"/>
        <v>13</v>
      </c>
      <c r="AU17" s="70">
        <f>Soal!M32</f>
        <v>0</v>
      </c>
      <c r="AV17" s="70" t="str">
        <f>Soal!N32</f>
        <v>x</v>
      </c>
    </row>
    <row r="18" spans="2:48" hidden="1" x14ac:dyDescent="0.3">
      <c r="B18" s="74">
        <f t="shared" si="20"/>
        <v>8</v>
      </c>
      <c r="C18" s="75" t="str">
        <f t="shared" ref="C18:D18" si="71">IF(C35="X",1,"0")</f>
        <v>0</v>
      </c>
      <c r="D18" s="38">
        <f t="shared" si="71"/>
        <v>1</v>
      </c>
      <c r="E18" s="40"/>
      <c r="F18" s="35">
        <f t="shared" si="2"/>
        <v>22</v>
      </c>
      <c r="G18" s="35" t="str">
        <f t="shared" ref="G18:H18" si="72">IF(G35="X",1,"0")</f>
        <v>0</v>
      </c>
      <c r="H18" s="36">
        <f t="shared" si="72"/>
        <v>1</v>
      </c>
      <c r="I18" s="40"/>
      <c r="J18" s="35">
        <f t="shared" si="4"/>
        <v>36</v>
      </c>
      <c r="K18" s="35" t="str">
        <f t="shared" ref="K18:L18" si="73">IF(K35="X",1,"0")</f>
        <v>0</v>
      </c>
      <c r="L18" s="38">
        <f t="shared" si="73"/>
        <v>1</v>
      </c>
      <c r="M18" s="40"/>
      <c r="N18" s="35">
        <f t="shared" si="6"/>
        <v>50</v>
      </c>
      <c r="O18" s="35" t="str">
        <f t="shared" ref="O18:P18" si="74">IF(O35="X",1,"0")</f>
        <v>0</v>
      </c>
      <c r="P18" s="38">
        <f t="shared" si="74"/>
        <v>1</v>
      </c>
      <c r="Q18" s="40"/>
      <c r="R18" s="35">
        <f t="shared" si="8"/>
        <v>64</v>
      </c>
      <c r="S18" s="35" t="str">
        <f t="shared" ref="S18:T18" si="75">IF(S35="X",1,"0")</f>
        <v>0</v>
      </c>
      <c r="T18" s="38">
        <f t="shared" si="75"/>
        <v>1</v>
      </c>
      <c r="U18" s="40"/>
      <c r="V18" s="35">
        <f t="shared" si="10"/>
        <v>78</v>
      </c>
      <c r="W18" s="35" t="str">
        <f t="shared" ref="W18:X18" si="76">IF(W35="X",1,"0")</f>
        <v>0</v>
      </c>
      <c r="X18" s="38">
        <f t="shared" si="76"/>
        <v>1</v>
      </c>
      <c r="Y18" s="40"/>
      <c r="Z18" s="35">
        <f t="shared" si="12"/>
        <v>92</v>
      </c>
      <c r="AA18" s="35" t="str">
        <f t="shared" ref="AA18:AB18" si="77">IF(AA35="X",1,"0")</f>
        <v>0</v>
      </c>
      <c r="AB18" s="38">
        <f t="shared" si="77"/>
        <v>1</v>
      </c>
      <c r="AC18" s="40"/>
      <c r="AD18" s="35">
        <f t="shared" si="14"/>
        <v>106</v>
      </c>
      <c r="AE18" s="35" t="str">
        <f t="shared" ref="AE18:AF18" si="78">IF(AE35="X",1,"0")</f>
        <v>0</v>
      </c>
      <c r="AF18" s="38">
        <f t="shared" si="78"/>
        <v>1</v>
      </c>
      <c r="AG18" s="40"/>
      <c r="AH18" s="35">
        <f t="shared" si="16"/>
        <v>120</v>
      </c>
      <c r="AI18" s="35" t="str">
        <f t="shared" ref="AI18:AJ18" si="79">IF(AI35="X",1,"0")</f>
        <v>0</v>
      </c>
      <c r="AJ18" s="38">
        <f t="shared" si="79"/>
        <v>1</v>
      </c>
      <c r="AK18" s="40"/>
      <c r="AL18" s="35">
        <f t="shared" si="18"/>
        <v>134</v>
      </c>
      <c r="AM18" s="35" t="str">
        <f t="shared" ref="AM18:AN18" si="80">IF(AM35="X",1,"0")</f>
        <v>0</v>
      </c>
      <c r="AN18" s="38">
        <f t="shared" si="80"/>
        <v>1</v>
      </c>
      <c r="AO18" s="40"/>
      <c r="AP18" s="136"/>
      <c r="AQ18" s="136"/>
      <c r="AT18" s="70">
        <f t="shared" si="0"/>
        <v>14</v>
      </c>
      <c r="AU18" s="70">
        <f>Soal!M33</f>
        <v>0</v>
      </c>
      <c r="AV18" s="70" t="str">
        <f>Soal!N33</f>
        <v>x</v>
      </c>
    </row>
    <row r="19" spans="2:48" hidden="1" x14ac:dyDescent="0.3">
      <c r="B19" s="74">
        <f t="shared" si="20"/>
        <v>9</v>
      </c>
      <c r="C19" s="36" t="str">
        <f t="shared" ref="C19:D19" si="81">IF(C36="X",1,"0")</f>
        <v>0</v>
      </c>
      <c r="D19" s="76">
        <f t="shared" si="81"/>
        <v>1</v>
      </c>
      <c r="E19" s="39"/>
      <c r="F19" s="35">
        <f t="shared" si="2"/>
        <v>23</v>
      </c>
      <c r="G19" s="35" t="str">
        <f t="shared" ref="G19:H19" si="82">IF(G36="X",1,"0")</f>
        <v>0</v>
      </c>
      <c r="H19" s="38">
        <f t="shared" si="82"/>
        <v>1</v>
      </c>
      <c r="I19" s="39"/>
      <c r="J19" s="35">
        <f t="shared" si="4"/>
        <v>37</v>
      </c>
      <c r="K19" s="35" t="str">
        <f t="shared" ref="K19:L19" si="83">IF(K36="X",1,"0")</f>
        <v>0</v>
      </c>
      <c r="L19" s="38">
        <f t="shared" si="83"/>
        <v>1</v>
      </c>
      <c r="M19" s="39"/>
      <c r="N19" s="35">
        <f t="shared" si="6"/>
        <v>51</v>
      </c>
      <c r="O19" s="38" t="str">
        <f t="shared" ref="O19:P19" si="84">IF(O36="X",1,"0")</f>
        <v>0</v>
      </c>
      <c r="P19" s="35">
        <f t="shared" si="84"/>
        <v>1</v>
      </c>
      <c r="Q19" s="39"/>
      <c r="R19" s="35">
        <f t="shared" si="8"/>
        <v>65</v>
      </c>
      <c r="S19" s="35" t="str">
        <f t="shared" ref="S19:T19" si="85">IF(S36="X",1,"0")</f>
        <v>0</v>
      </c>
      <c r="T19" s="38">
        <f t="shared" si="85"/>
        <v>1</v>
      </c>
      <c r="U19" s="39"/>
      <c r="V19" s="35">
        <f t="shared" si="10"/>
        <v>79</v>
      </c>
      <c r="W19" s="35" t="str">
        <f t="shared" ref="W19:X19" si="86">IF(W36="X",1,"0")</f>
        <v>0</v>
      </c>
      <c r="X19" s="38">
        <f t="shared" si="86"/>
        <v>1</v>
      </c>
      <c r="Y19" s="39"/>
      <c r="Z19" s="35">
        <f t="shared" si="12"/>
        <v>93</v>
      </c>
      <c r="AA19" s="35" t="str">
        <f t="shared" ref="AA19:AB19" si="87">IF(AA36="X",1,"0")</f>
        <v>0</v>
      </c>
      <c r="AB19" s="38">
        <f t="shared" si="87"/>
        <v>1</v>
      </c>
      <c r="AC19" s="39"/>
      <c r="AD19" s="35">
        <f t="shared" si="14"/>
        <v>107</v>
      </c>
      <c r="AE19" s="38" t="str">
        <f t="shared" ref="AE19:AF19" si="88">IF(AE36="X",1,"0")</f>
        <v>0</v>
      </c>
      <c r="AF19" s="35">
        <f t="shared" si="88"/>
        <v>1</v>
      </c>
      <c r="AG19" s="39"/>
      <c r="AH19" s="35">
        <f t="shared" si="16"/>
        <v>121</v>
      </c>
      <c r="AI19" s="35" t="str">
        <f t="shared" ref="AI19:AJ19" si="89">IF(AI36="X",1,"0")</f>
        <v>0</v>
      </c>
      <c r="AJ19" s="38">
        <f t="shared" si="89"/>
        <v>1</v>
      </c>
      <c r="AK19" s="39"/>
      <c r="AL19" s="35">
        <f t="shared" si="18"/>
        <v>135</v>
      </c>
      <c r="AM19" s="38" t="str">
        <f t="shared" ref="AM19:AN19" si="90">IF(AM36="X",1,"0")</f>
        <v>0</v>
      </c>
      <c r="AN19" s="35">
        <f t="shared" si="90"/>
        <v>1</v>
      </c>
      <c r="AO19" s="39"/>
      <c r="AP19" s="136" t="s">
        <v>167</v>
      </c>
      <c r="AQ19" s="136">
        <f>C20+D19+G19+G20+K19+K20+P19+O20+S19+T20+W19+W20+AA19+AA20+AF19+AE20+AI19+AI20+AN19+AM20</f>
        <v>5</v>
      </c>
      <c r="AT19" s="70">
        <f t="shared" si="0"/>
        <v>15</v>
      </c>
      <c r="AU19" s="70">
        <f>Soal!M34</f>
        <v>0</v>
      </c>
      <c r="AV19" s="70" t="str">
        <f>Soal!N34</f>
        <v>x</v>
      </c>
    </row>
    <row r="20" spans="2:48" hidden="1" x14ac:dyDescent="0.3">
      <c r="B20" s="74">
        <f t="shared" si="20"/>
        <v>10</v>
      </c>
      <c r="C20" s="75" t="str">
        <f t="shared" ref="C20:D20" si="91">IF(C37="X",1,"0")</f>
        <v>0</v>
      </c>
      <c r="D20" s="38">
        <f t="shared" si="91"/>
        <v>1</v>
      </c>
      <c r="E20" s="40"/>
      <c r="F20" s="35">
        <f t="shared" si="2"/>
        <v>24</v>
      </c>
      <c r="G20" s="35" t="str">
        <f t="shared" ref="G20:H20" si="92">IF(G37="X",1,"0")</f>
        <v>0</v>
      </c>
      <c r="H20" s="38">
        <f t="shared" si="92"/>
        <v>1</v>
      </c>
      <c r="I20" s="40"/>
      <c r="J20" s="35">
        <f t="shared" si="4"/>
        <v>38</v>
      </c>
      <c r="K20" s="35" t="str">
        <f t="shared" ref="K20:L20" si="93">IF(K37="X",1,"0")</f>
        <v>0</v>
      </c>
      <c r="L20" s="38">
        <f t="shared" si="93"/>
        <v>1</v>
      </c>
      <c r="M20" s="40"/>
      <c r="N20" s="35">
        <f t="shared" si="6"/>
        <v>52</v>
      </c>
      <c r="O20" s="35" t="str">
        <f t="shared" ref="O20:P20" si="94">IF(O37="X",1,"0")</f>
        <v>0</v>
      </c>
      <c r="P20" s="38">
        <f t="shared" si="94"/>
        <v>1</v>
      </c>
      <c r="Q20" s="40"/>
      <c r="R20" s="35">
        <f t="shared" si="8"/>
        <v>66</v>
      </c>
      <c r="S20" s="38" t="str">
        <f t="shared" ref="S20:T20" si="95">IF(S37="X",1,"0")</f>
        <v>0</v>
      </c>
      <c r="T20" s="35">
        <f t="shared" si="95"/>
        <v>1</v>
      </c>
      <c r="U20" s="40"/>
      <c r="V20" s="35">
        <f t="shared" si="10"/>
        <v>80</v>
      </c>
      <c r="W20" s="35" t="str">
        <f t="shared" ref="W20:X20" si="96">IF(W37="X",1,"0")</f>
        <v>0</v>
      </c>
      <c r="X20" s="38">
        <f t="shared" si="96"/>
        <v>1</v>
      </c>
      <c r="Y20" s="40"/>
      <c r="Z20" s="35">
        <f t="shared" si="12"/>
        <v>94</v>
      </c>
      <c r="AA20" s="35" t="str">
        <f t="shared" ref="AA20:AB20" si="97">IF(AA37="X",1,"0")</f>
        <v>0</v>
      </c>
      <c r="AB20" s="38">
        <f t="shared" si="97"/>
        <v>1</v>
      </c>
      <c r="AC20" s="40"/>
      <c r="AD20" s="35">
        <f t="shared" si="14"/>
        <v>108</v>
      </c>
      <c r="AE20" s="35" t="str">
        <f t="shared" ref="AE20:AF20" si="98">IF(AE37="X",1,"0")</f>
        <v>0</v>
      </c>
      <c r="AF20" s="38">
        <f t="shared" si="98"/>
        <v>1</v>
      </c>
      <c r="AG20" s="40"/>
      <c r="AH20" s="35">
        <f t="shared" si="16"/>
        <v>122</v>
      </c>
      <c r="AI20" s="35" t="str">
        <f t="shared" ref="AI20:AJ20" si="99">IF(AI37="X",1,"0")</f>
        <v>0</v>
      </c>
      <c r="AJ20" s="38">
        <f t="shared" si="99"/>
        <v>1</v>
      </c>
      <c r="AK20" s="40"/>
      <c r="AL20" s="35">
        <f t="shared" si="18"/>
        <v>136</v>
      </c>
      <c r="AM20" s="35" t="str">
        <f t="shared" ref="AM20:AN20" si="100">IF(AM37="X",1,"0")</f>
        <v>0</v>
      </c>
      <c r="AN20" s="38">
        <f t="shared" si="100"/>
        <v>1</v>
      </c>
      <c r="AO20" s="40"/>
      <c r="AP20" s="136"/>
      <c r="AQ20" s="136"/>
      <c r="AT20" s="70">
        <f t="shared" si="0"/>
        <v>16</v>
      </c>
      <c r="AU20" s="70">
        <f>Soal!M35</f>
        <v>0</v>
      </c>
      <c r="AV20" s="70" t="str">
        <f>Soal!N35</f>
        <v>x</v>
      </c>
    </row>
    <row r="21" spans="2:48" hidden="1" x14ac:dyDescent="0.3">
      <c r="B21" s="74">
        <f t="shared" si="20"/>
        <v>11</v>
      </c>
      <c r="C21" s="75" t="str">
        <f t="shared" ref="C21:D21" si="101">IF(C38="X",1,"0")</f>
        <v>0</v>
      </c>
      <c r="D21" s="38">
        <f t="shared" si="101"/>
        <v>1</v>
      </c>
      <c r="E21" s="39"/>
      <c r="F21" s="35">
        <f t="shared" si="2"/>
        <v>25</v>
      </c>
      <c r="G21" s="35" t="str">
        <f t="shared" ref="G21:H21" si="102">IF(G38="X",1,"0")</f>
        <v>0</v>
      </c>
      <c r="H21" s="38">
        <f t="shared" si="102"/>
        <v>1</v>
      </c>
      <c r="I21" s="39"/>
      <c r="J21" s="35">
        <f t="shared" si="4"/>
        <v>39</v>
      </c>
      <c r="K21" s="35" t="str">
        <f t="shared" ref="K21:L21" si="103">IF(K38="X",1,"0")</f>
        <v>0</v>
      </c>
      <c r="L21" s="38">
        <f t="shared" si="103"/>
        <v>1</v>
      </c>
      <c r="M21" s="39"/>
      <c r="N21" s="35">
        <f t="shared" si="6"/>
        <v>53</v>
      </c>
      <c r="O21" s="35" t="str">
        <f t="shared" ref="O21:P21" si="104">IF(O38="X",1,"0")</f>
        <v>0</v>
      </c>
      <c r="P21" s="38">
        <f t="shared" si="104"/>
        <v>1</v>
      </c>
      <c r="Q21" s="39"/>
      <c r="R21" s="35">
        <f t="shared" si="8"/>
        <v>67</v>
      </c>
      <c r="S21" s="35" t="str">
        <f t="shared" ref="S21:T21" si="105">IF(S38="X",1,"0")</f>
        <v>0</v>
      </c>
      <c r="T21" s="38">
        <f t="shared" si="105"/>
        <v>1</v>
      </c>
      <c r="U21" s="39"/>
      <c r="V21" s="35">
        <f t="shared" si="10"/>
        <v>81</v>
      </c>
      <c r="W21" s="35" t="str">
        <f t="shared" ref="W21:X21" si="106">IF(W38="X",1,"0")</f>
        <v>0</v>
      </c>
      <c r="X21" s="38">
        <f t="shared" si="106"/>
        <v>1</v>
      </c>
      <c r="Y21" s="39"/>
      <c r="Z21" s="35">
        <f t="shared" si="12"/>
        <v>95</v>
      </c>
      <c r="AA21" s="35" t="str">
        <f t="shared" ref="AA21:AB21" si="107">IF(AA38="X",1,"0")</f>
        <v>0</v>
      </c>
      <c r="AB21" s="38">
        <f t="shared" si="107"/>
        <v>1</v>
      </c>
      <c r="AC21" s="39"/>
      <c r="AD21" s="35">
        <f t="shared" si="14"/>
        <v>109</v>
      </c>
      <c r="AE21" s="35" t="str">
        <f t="shared" ref="AE21:AF21" si="108">IF(AE38="X",1,"0")</f>
        <v>0</v>
      </c>
      <c r="AF21" s="38">
        <f t="shared" si="108"/>
        <v>1</v>
      </c>
      <c r="AG21" s="39"/>
      <c r="AH21" s="35">
        <f t="shared" si="16"/>
        <v>123</v>
      </c>
      <c r="AI21" s="35" t="str">
        <f t="shared" ref="AI21:AJ21" si="109">IF(AI38="X",1,"0")</f>
        <v>0</v>
      </c>
      <c r="AJ21" s="38">
        <f t="shared" si="109"/>
        <v>1</v>
      </c>
      <c r="AK21" s="39"/>
      <c r="AL21" s="35">
        <f t="shared" si="18"/>
        <v>137</v>
      </c>
      <c r="AM21" s="35" t="str">
        <f t="shared" ref="AM21:AN21" si="110">IF(AM38="X",1,"0")</f>
        <v>0</v>
      </c>
      <c r="AN21" s="38">
        <f t="shared" si="110"/>
        <v>1</v>
      </c>
      <c r="AO21" s="39"/>
      <c r="AP21" s="136" t="s">
        <v>168</v>
      </c>
      <c r="AQ21" s="136">
        <f>C21+C22+G21+G22+K21+K22+O21+O22+S21+S22+W21+W22+AA21+AA22+AE21+AE22+AI21+AI22+AM21+AM22</f>
        <v>0</v>
      </c>
      <c r="AT21" s="70">
        <f t="shared" si="0"/>
        <v>17</v>
      </c>
      <c r="AU21" s="70">
        <f>Soal!M36</f>
        <v>0</v>
      </c>
      <c r="AV21" s="70" t="str">
        <f>Soal!N36</f>
        <v>x</v>
      </c>
    </row>
    <row r="22" spans="2:48" hidden="1" x14ac:dyDescent="0.3">
      <c r="B22" s="74">
        <f t="shared" si="20"/>
        <v>12</v>
      </c>
      <c r="C22" s="75" t="str">
        <f t="shared" ref="C22:D22" si="111">IF(C39="X",1,"0")</f>
        <v>0</v>
      </c>
      <c r="D22" s="38">
        <f t="shared" si="111"/>
        <v>1</v>
      </c>
      <c r="E22" s="40"/>
      <c r="F22" s="35">
        <f t="shared" si="2"/>
        <v>26</v>
      </c>
      <c r="G22" s="35" t="str">
        <f t="shared" ref="G22:H22" si="112">IF(G39="X",1,"0")</f>
        <v>0</v>
      </c>
      <c r="H22" s="38">
        <f t="shared" si="112"/>
        <v>1</v>
      </c>
      <c r="I22" s="40"/>
      <c r="J22" s="35">
        <f t="shared" si="4"/>
        <v>40</v>
      </c>
      <c r="K22" s="35" t="str">
        <f t="shared" ref="K22:L22" si="113">IF(K39="X",1,"0")</f>
        <v>0</v>
      </c>
      <c r="L22" s="38">
        <f t="shared" si="113"/>
        <v>1</v>
      </c>
      <c r="M22" s="40"/>
      <c r="N22" s="35">
        <f t="shared" si="6"/>
        <v>54</v>
      </c>
      <c r="O22" s="35" t="str">
        <f t="shared" ref="O22:P22" si="114">IF(O39="X",1,"0")</f>
        <v>0</v>
      </c>
      <c r="P22" s="38">
        <f t="shared" si="114"/>
        <v>1</v>
      </c>
      <c r="Q22" s="40"/>
      <c r="R22" s="35">
        <f t="shared" si="8"/>
        <v>68</v>
      </c>
      <c r="S22" s="35" t="str">
        <f t="shared" ref="S22:T22" si="115">IF(S39="X",1,"0")</f>
        <v>0</v>
      </c>
      <c r="T22" s="38">
        <f t="shared" si="115"/>
        <v>1</v>
      </c>
      <c r="U22" s="40"/>
      <c r="V22" s="35">
        <f t="shared" si="10"/>
        <v>82</v>
      </c>
      <c r="W22" s="35" t="str">
        <f t="shared" ref="W22:X22" si="116">IF(W39="X",1,"0")</f>
        <v>0</v>
      </c>
      <c r="X22" s="38">
        <f t="shared" si="116"/>
        <v>1</v>
      </c>
      <c r="Y22" s="40"/>
      <c r="Z22" s="35">
        <f t="shared" si="12"/>
        <v>96</v>
      </c>
      <c r="AA22" s="35" t="str">
        <f t="shared" ref="AA22:AB22" si="117">IF(AA39="X",1,"0")</f>
        <v>0</v>
      </c>
      <c r="AB22" s="38">
        <f t="shared" si="117"/>
        <v>1</v>
      </c>
      <c r="AC22" s="40"/>
      <c r="AD22" s="35">
        <f t="shared" si="14"/>
        <v>110</v>
      </c>
      <c r="AE22" s="35" t="str">
        <f t="shared" ref="AE22:AF22" si="118">IF(AE39="X",1,"0")</f>
        <v>0</v>
      </c>
      <c r="AF22" s="38">
        <f t="shared" si="118"/>
        <v>1</v>
      </c>
      <c r="AG22" s="40"/>
      <c r="AH22" s="35">
        <f t="shared" si="16"/>
        <v>124</v>
      </c>
      <c r="AI22" s="35" t="str">
        <f t="shared" ref="AI22:AJ22" si="119">IF(AI39="X",1,"0")</f>
        <v>0</v>
      </c>
      <c r="AJ22" s="38">
        <f t="shared" si="119"/>
        <v>1</v>
      </c>
      <c r="AK22" s="40"/>
      <c r="AL22" s="35">
        <f t="shared" si="18"/>
        <v>138</v>
      </c>
      <c r="AM22" s="35" t="str">
        <f t="shared" ref="AM22:AN22" si="120">IF(AM39="X",1,"0")</f>
        <v>0</v>
      </c>
      <c r="AN22" s="38">
        <f t="shared" si="120"/>
        <v>1</v>
      </c>
      <c r="AO22" s="40"/>
      <c r="AP22" s="136"/>
      <c r="AQ22" s="136"/>
      <c r="AT22" s="70">
        <f t="shared" si="0"/>
        <v>18</v>
      </c>
      <c r="AU22" s="70">
        <f>Soal!M37</f>
        <v>0</v>
      </c>
      <c r="AV22" s="70" t="str">
        <f>Soal!N37</f>
        <v>x</v>
      </c>
    </row>
    <row r="23" spans="2:48" hidden="1" x14ac:dyDescent="0.3">
      <c r="B23" s="74">
        <f t="shared" si="20"/>
        <v>13</v>
      </c>
      <c r="C23" s="75" t="str">
        <f t="shared" ref="C23:D23" si="121">IF(C40="X",1,"0")</f>
        <v>0</v>
      </c>
      <c r="D23" s="38">
        <f t="shared" si="121"/>
        <v>1</v>
      </c>
      <c r="E23" s="39"/>
      <c r="F23" s="35">
        <f t="shared" si="2"/>
        <v>27</v>
      </c>
      <c r="G23" s="35" t="str">
        <f t="shared" ref="G23:H23" si="122">IF(G40="X",1,"0")</f>
        <v>0</v>
      </c>
      <c r="H23" s="38">
        <f t="shared" si="122"/>
        <v>1</v>
      </c>
      <c r="I23" s="39"/>
      <c r="J23" s="35">
        <f t="shared" si="4"/>
        <v>41</v>
      </c>
      <c r="K23" s="35" t="str">
        <f t="shared" ref="K23:L23" si="123">IF(K40="X",1,"0")</f>
        <v>0</v>
      </c>
      <c r="L23" s="38">
        <f t="shared" si="123"/>
        <v>1</v>
      </c>
      <c r="M23" s="39"/>
      <c r="N23" s="35">
        <f t="shared" si="6"/>
        <v>55</v>
      </c>
      <c r="O23" s="38" t="str">
        <f t="shared" ref="O23:P23" si="124">IF(O40="X",1,"0")</f>
        <v>0</v>
      </c>
      <c r="P23" s="35">
        <f t="shared" si="124"/>
        <v>1</v>
      </c>
      <c r="Q23" s="39"/>
      <c r="R23" s="35">
        <f t="shared" si="8"/>
        <v>69</v>
      </c>
      <c r="S23" s="35" t="str">
        <f t="shared" ref="S23:T23" si="125">IF(S40="X",1,"0")</f>
        <v>0</v>
      </c>
      <c r="T23" s="38">
        <f t="shared" si="125"/>
        <v>1</v>
      </c>
      <c r="U23" s="39"/>
      <c r="V23" s="35">
        <f t="shared" si="10"/>
        <v>83</v>
      </c>
      <c r="W23" s="35" t="str">
        <f t="shared" ref="W23:X23" si="126">IF(W40="X",1,"0")</f>
        <v>0</v>
      </c>
      <c r="X23" s="38">
        <f t="shared" si="126"/>
        <v>1</v>
      </c>
      <c r="Y23" s="39"/>
      <c r="Z23" s="35">
        <f t="shared" si="12"/>
        <v>97</v>
      </c>
      <c r="AA23" s="35" t="str">
        <f t="shared" ref="AA23:AB23" si="127">IF(AA40="X",1,"0")</f>
        <v>0</v>
      </c>
      <c r="AB23" s="38">
        <f t="shared" si="127"/>
        <v>1</v>
      </c>
      <c r="AC23" s="39"/>
      <c r="AD23" s="35">
        <f t="shared" si="14"/>
        <v>111</v>
      </c>
      <c r="AE23" s="35" t="str">
        <f t="shared" ref="AE23:AF23" si="128">IF(AE40="X",1,"0")</f>
        <v>0</v>
      </c>
      <c r="AF23" s="38">
        <f t="shared" si="128"/>
        <v>1</v>
      </c>
      <c r="AG23" s="39"/>
      <c r="AH23" s="35">
        <f t="shared" si="16"/>
        <v>125</v>
      </c>
      <c r="AI23" s="35" t="str">
        <f t="shared" ref="AI23:AJ23" si="129">IF(AI40="X",1,"0")</f>
        <v>0</v>
      </c>
      <c r="AJ23" s="38">
        <f t="shared" si="129"/>
        <v>1</v>
      </c>
      <c r="AK23" s="39"/>
      <c r="AL23" s="35">
        <f t="shared" si="18"/>
        <v>139</v>
      </c>
      <c r="AM23" s="35" t="str">
        <f t="shared" ref="AM23:AN23" si="130">IF(AM40="X",1,"0")</f>
        <v>0</v>
      </c>
      <c r="AN23" s="38">
        <f t="shared" si="130"/>
        <v>1</v>
      </c>
      <c r="AO23" s="39"/>
      <c r="AP23" s="136" t="s">
        <v>169</v>
      </c>
      <c r="AQ23" s="136">
        <f>C23+D24+G23+G24+K23+L24+P23+O24+S23+S24+W23+X24+AA23+AA24+AE23+AF24+AI23+AI24+AM23+AM24</f>
        <v>5</v>
      </c>
      <c r="AT23" s="70">
        <f t="shared" si="0"/>
        <v>19</v>
      </c>
      <c r="AU23" s="70">
        <f>Soal!M38</f>
        <v>0</v>
      </c>
      <c r="AV23" s="70" t="str">
        <f>Soal!N38</f>
        <v>x</v>
      </c>
    </row>
    <row r="24" spans="2:48" hidden="1" x14ac:dyDescent="0.3">
      <c r="B24" s="74">
        <f t="shared" si="20"/>
        <v>14</v>
      </c>
      <c r="C24" s="36" t="str">
        <f t="shared" ref="C24:D24" si="131">IF(C41="X",1,"0")</f>
        <v>0</v>
      </c>
      <c r="D24" s="76">
        <f t="shared" si="131"/>
        <v>1</v>
      </c>
      <c r="E24" s="40"/>
      <c r="F24" s="35">
        <f t="shared" si="2"/>
        <v>28</v>
      </c>
      <c r="G24" s="35" t="str">
        <f t="shared" ref="G24:H24" si="132">IF(G41="X",1,"0")</f>
        <v>0</v>
      </c>
      <c r="H24" s="38">
        <f t="shared" si="132"/>
        <v>1</v>
      </c>
      <c r="I24" s="40"/>
      <c r="J24" s="35">
        <f t="shared" si="4"/>
        <v>42</v>
      </c>
      <c r="K24" s="38" t="str">
        <f t="shared" ref="K24:L24" si="133">IF(K41="X",1,"0")</f>
        <v>0</v>
      </c>
      <c r="L24" s="35">
        <f t="shared" si="133"/>
        <v>1</v>
      </c>
      <c r="M24" s="40"/>
      <c r="N24" s="35">
        <f t="shared" si="6"/>
        <v>56</v>
      </c>
      <c r="O24" s="35" t="str">
        <f t="shared" ref="O24:P24" si="134">IF(O41="X",1,"0")</f>
        <v>0</v>
      </c>
      <c r="P24" s="38">
        <f t="shared" si="134"/>
        <v>1</v>
      </c>
      <c r="Q24" s="40"/>
      <c r="R24" s="35">
        <f t="shared" si="8"/>
        <v>70</v>
      </c>
      <c r="S24" s="35" t="str">
        <f t="shared" ref="S24:T24" si="135">IF(S41="X",1,"0")</f>
        <v>0</v>
      </c>
      <c r="T24" s="38">
        <f t="shared" si="135"/>
        <v>1</v>
      </c>
      <c r="U24" s="40"/>
      <c r="V24" s="35">
        <f t="shared" si="10"/>
        <v>84</v>
      </c>
      <c r="W24" s="38" t="str">
        <f t="shared" ref="W24:X24" si="136">IF(W41="X",1,"0")</f>
        <v>0</v>
      </c>
      <c r="X24" s="35">
        <f t="shared" si="136"/>
        <v>1</v>
      </c>
      <c r="Y24" s="40"/>
      <c r="Z24" s="35">
        <f t="shared" si="12"/>
        <v>98</v>
      </c>
      <c r="AA24" s="35" t="str">
        <f t="shared" ref="AA24:AB24" si="137">IF(AA41="X",1,"0")</f>
        <v>0</v>
      </c>
      <c r="AB24" s="38">
        <f t="shared" si="137"/>
        <v>1</v>
      </c>
      <c r="AC24" s="40"/>
      <c r="AD24" s="35">
        <f t="shared" si="14"/>
        <v>112</v>
      </c>
      <c r="AE24" s="38" t="str">
        <f t="shared" ref="AE24:AF24" si="138">IF(AE41="X",1,"0")</f>
        <v>0</v>
      </c>
      <c r="AF24" s="35">
        <f t="shared" si="138"/>
        <v>1</v>
      </c>
      <c r="AG24" s="40"/>
      <c r="AH24" s="35">
        <f t="shared" si="16"/>
        <v>126</v>
      </c>
      <c r="AI24" s="35" t="str">
        <f t="shared" ref="AI24:AJ24" si="139">IF(AI41="X",1,"0")</f>
        <v>0</v>
      </c>
      <c r="AJ24" s="38">
        <f t="shared" si="139"/>
        <v>1</v>
      </c>
      <c r="AK24" s="40"/>
      <c r="AL24" s="35">
        <f t="shared" si="18"/>
        <v>140</v>
      </c>
      <c r="AM24" s="35" t="str">
        <f t="shared" ref="AM24:AN24" si="140">IF(AM41="X",1,"0")</f>
        <v>0</v>
      </c>
      <c r="AN24" s="38">
        <f t="shared" si="140"/>
        <v>1</v>
      </c>
      <c r="AO24" s="40"/>
      <c r="AP24" s="136"/>
      <c r="AQ24" s="136"/>
      <c r="AT24" s="70">
        <f t="shared" si="0"/>
        <v>20</v>
      </c>
      <c r="AU24" s="70">
        <f>Soal!M39</f>
        <v>0</v>
      </c>
      <c r="AV24" s="70" t="str">
        <f>Soal!N39</f>
        <v>x</v>
      </c>
    </row>
    <row r="25" spans="2:48" hidden="1" x14ac:dyDescent="0.3">
      <c r="B25" s="41"/>
      <c r="C25" s="41"/>
      <c r="D25" s="41">
        <f>SUM(C11:D24)</f>
        <v>14</v>
      </c>
      <c r="F25" s="41"/>
      <c r="G25" s="41"/>
      <c r="H25" s="41">
        <f>SUM(G11:H24)</f>
        <v>14</v>
      </c>
      <c r="J25" s="41"/>
      <c r="K25" s="41"/>
      <c r="L25" s="41">
        <f>SUM(K11:L24)</f>
        <v>14</v>
      </c>
      <c r="N25" s="41"/>
      <c r="O25" s="41"/>
      <c r="P25" s="41">
        <f>SUM(O11:P24)</f>
        <v>14</v>
      </c>
      <c r="R25" s="41"/>
      <c r="S25" s="41"/>
      <c r="T25" s="41">
        <f>SUM(S11:T24)</f>
        <v>14</v>
      </c>
      <c r="X25" s="41">
        <f>SUM(W11:X24)</f>
        <v>14</v>
      </c>
      <c r="AB25" s="41">
        <f>SUM(AA11:AB24)</f>
        <v>14</v>
      </c>
      <c r="AF25" s="41">
        <f>SUM(AE11:AF24)</f>
        <v>14</v>
      </c>
      <c r="AJ25" s="41">
        <f>SUM(AI11:AJ24)</f>
        <v>14</v>
      </c>
      <c r="AN25" s="41">
        <f>SUM(AM11:AN24)</f>
        <v>14</v>
      </c>
      <c r="AP25" s="77">
        <f>SUM(D25:AN25)</f>
        <v>140</v>
      </c>
      <c r="AQ25" s="82">
        <f>SUM(AQ11:AQ24)</f>
        <v>34</v>
      </c>
      <c r="AT25" s="70">
        <f t="shared" si="0"/>
        <v>21</v>
      </c>
      <c r="AU25" s="70">
        <f>Soal!M40</f>
        <v>0</v>
      </c>
      <c r="AV25" s="70" t="str">
        <f>Soal!N40</f>
        <v>x</v>
      </c>
    </row>
    <row r="26" spans="2:48" hidden="1" x14ac:dyDescent="0.3">
      <c r="AT26" s="70">
        <f t="shared" si="0"/>
        <v>22</v>
      </c>
      <c r="AU26" s="70">
        <f>Soal!M41</f>
        <v>0</v>
      </c>
      <c r="AV26" s="70" t="str">
        <f>Soal!N41</f>
        <v>x</v>
      </c>
    </row>
    <row r="27" spans="2:48" hidden="1" x14ac:dyDescent="0.3">
      <c r="B27" s="32" t="s">
        <v>161</v>
      </c>
      <c r="C27" s="33" t="s">
        <v>150</v>
      </c>
      <c r="D27" s="33" t="s">
        <v>151</v>
      </c>
      <c r="F27" s="32" t="s">
        <v>161</v>
      </c>
      <c r="G27" s="33" t="s">
        <v>150</v>
      </c>
      <c r="H27" s="33" t="s">
        <v>151</v>
      </c>
      <c r="J27" s="32" t="s">
        <v>161</v>
      </c>
      <c r="K27" s="33" t="s">
        <v>150</v>
      </c>
      <c r="L27" s="33" t="s">
        <v>151</v>
      </c>
      <c r="N27" s="32" t="s">
        <v>161</v>
      </c>
      <c r="O27" s="33" t="s">
        <v>150</v>
      </c>
      <c r="P27" s="33" t="s">
        <v>151</v>
      </c>
      <c r="R27" s="32" t="s">
        <v>161</v>
      </c>
      <c r="S27" s="33" t="s">
        <v>150</v>
      </c>
      <c r="T27" s="33" t="s">
        <v>151</v>
      </c>
      <c r="V27" s="34" t="s">
        <v>161</v>
      </c>
      <c r="W27" s="13" t="s">
        <v>150</v>
      </c>
      <c r="X27" s="13" t="s">
        <v>151</v>
      </c>
      <c r="Z27" s="34" t="s">
        <v>161</v>
      </c>
      <c r="AA27" s="13" t="s">
        <v>150</v>
      </c>
      <c r="AB27" s="13" t="s">
        <v>151</v>
      </c>
      <c r="AD27" s="34" t="s">
        <v>161</v>
      </c>
      <c r="AE27" s="13" t="s">
        <v>150</v>
      </c>
      <c r="AF27" s="13" t="s">
        <v>151</v>
      </c>
      <c r="AH27" s="34" t="s">
        <v>161</v>
      </c>
      <c r="AI27" s="13" t="s">
        <v>150</v>
      </c>
      <c r="AJ27" s="13" t="s">
        <v>151</v>
      </c>
      <c r="AL27" s="34" t="s">
        <v>161</v>
      </c>
      <c r="AM27" s="13" t="s">
        <v>150</v>
      </c>
      <c r="AN27" s="13" t="s">
        <v>151</v>
      </c>
      <c r="AP27" s="44"/>
      <c r="AQ27" s="44"/>
      <c r="AT27" s="70">
        <f t="shared" si="0"/>
        <v>23</v>
      </c>
      <c r="AU27" s="70">
        <f>Soal!M42</f>
        <v>0</v>
      </c>
      <c r="AV27" s="70" t="str">
        <f>Soal!N42</f>
        <v>x</v>
      </c>
    </row>
    <row r="28" spans="2:48" hidden="1" x14ac:dyDescent="0.3">
      <c r="B28" s="74">
        <v>1</v>
      </c>
      <c r="C28" s="36">
        <f>AU5</f>
        <v>0</v>
      </c>
      <c r="D28" s="76" t="str">
        <f>AV5</f>
        <v>x</v>
      </c>
      <c r="E28" s="37"/>
      <c r="F28" s="35">
        <v>15</v>
      </c>
      <c r="G28" s="38">
        <f>AU19</f>
        <v>0</v>
      </c>
      <c r="H28" s="35" t="str">
        <f>AV19</f>
        <v>x</v>
      </c>
      <c r="I28" s="37"/>
      <c r="J28" s="35">
        <v>29</v>
      </c>
      <c r="K28" s="38">
        <f>AU33</f>
        <v>0</v>
      </c>
      <c r="L28" s="35" t="str">
        <f>AV33</f>
        <v>x</v>
      </c>
      <c r="M28" s="37"/>
      <c r="N28" s="35">
        <v>43</v>
      </c>
      <c r="O28" s="35">
        <f>AU47</f>
        <v>0</v>
      </c>
      <c r="P28" s="38" t="str">
        <f>AV47</f>
        <v>x</v>
      </c>
      <c r="Q28" s="37"/>
      <c r="R28" s="35">
        <v>57</v>
      </c>
      <c r="S28" s="38">
        <f>AU61</f>
        <v>0</v>
      </c>
      <c r="T28" s="35" t="str">
        <f>AV61</f>
        <v>x</v>
      </c>
      <c r="U28" s="37"/>
      <c r="V28" s="35">
        <v>71</v>
      </c>
      <c r="W28" s="35">
        <f>AU75</f>
        <v>0</v>
      </c>
      <c r="X28" s="38" t="str">
        <f t="shared" ref="X28" si="141">AV75</f>
        <v>x</v>
      </c>
      <c r="Y28" s="39"/>
      <c r="Z28" s="35">
        <v>85</v>
      </c>
      <c r="AA28" s="38">
        <f>AU89</f>
        <v>0</v>
      </c>
      <c r="AB28" s="35" t="str">
        <f t="shared" ref="AB28" si="142">AV89</f>
        <v>x</v>
      </c>
      <c r="AC28" s="39"/>
      <c r="AD28" s="35">
        <v>99</v>
      </c>
      <c r="AE28" s="38">
        <f>AU103</f>
        <v>0</v>
      </c>
      <c r="AF28" s="35" t="str">
        <f t="shared" ref="AF28" si="143">AV103</f>
        <v>x</v>
      </c>
      <c r="AG28" s="39"/>
      <c r="AH28" s="35">
        <v>113</v>
      </c>
      <c r="AI28" s="35">
        <f>AU117</f>
        <v>0</v>
      </c>
      <c r="AJ28" s="38" t="str">
        <f t="shared" ref="AJ28" si="144">AV117</f>
        <v>x</v>
      </c>
      <c r="AK28" s="39"/>
      <c r="AL28" s="35">
        <v>127</v>
      </c>
      <c r="AM28" s="38">
        <f>AU131</f>
        <v>0</v>
      </c>
      <c r="AN28" s="35" t="str">
        <f t="shared" ref="AN28" si="145">AV131</f>
        <v>x</v>
      </c>
      <c r="AO28" s="37"/>
      <c r="AP28" s="145"/>
      <c r="AQ28" s="145"/>
      <c r="AT28" s="70">
        <f t="shared" si="0"/>
        <v>24</v>
      </c>
      <c r="AU28" s="70">
        <f>Soal!M43</f>
        <v>0</v>
      </c>
      <c r="AV28" s="70" t="str">
        <f>Soal!N43</f>
        <v>x</v>
      </c>
    </row>
    <row r="29" spans="2:48" hidden="1" x14ac:dyDescent="0.3">
      <c r="B29" s="74">
        <f>B28+1</f>
        <v>2</v>
      </c>
      <c r="C29" s="36">
        <f t="shared" ref="C29:D29" si="146">AU6</f>
        <v>0</v>
      </c>
      <c r="D29" s="76" t="str">
        <f t="shared" si="146"/>
        <v>x</v>
      </c>
      <c r="E29" s="40"/>
      <c r="F29" s="35">
        <f t="shared" ref="F29:F41" si="147">F28+1</f>
        <v>16</v>
      </c>
      <c r="G29" s="38">
        <f t="shared" ref="G29:H29" si="148">AU20</f>
        <v>0</v>
      </c>
      <c r="H29" s="35" t="str">
        <f t="shared" si="148"/>
        <v>x</v>
      </c>
      <c r="I29" s="40"/>
      <c r="J29" s="35">
        <f t="shared" ref="J29:J41" si="149">J28+1</f>
        <v>30</v>
      </c>
      <c r="K29" s="35">
        <f t="shared" ref="K29:L29" si="150">AU34</f>
        <v>0</v>
      </c>
      <c r="L29" s="38" t="str">
        <f t="shared" si="150"/>
        <v>x</v>
      </c>
      <c r="M29" s="40"/>
      <c r="N29" s="35">
        <f t="shared" ref="N29:N41" si="151">N28+1</f>
        <v>44</v>
      </c>
      <c r="O29" s="35">
        <f t="shared" ref="O29:P29" si="152">AU48</f>
        <v>0</v>
      </c>
      <c r="P29" s="38" t="str">
        <f t="shared" si="152"/>
        <v>x</v>
      </c>
      <c r="Q29" s="40"/>
      <c r="R29" s="35">
        <f t="shared" ref="R29:R41" si="153">R28+1</f>
        <v>58</v>
      </c>
      <c r="S29" s="38">
        <f t="shared" ref="S29:T29" si="154">AU62</f>
        <v>0</v>
      </c>
      <c r="T29" s="35" t="str">
        <f t="shared" si="154"/>
        <v>x</v>
      </c>
      <c r="U29" s="40"/>
      <c r="V29" s="35">
        <f t="shared" ref="V29:V41" si="155">V28+1</f>
        <v>72</v>
      </c>
      <c r="W29" s="38">
        <f t="shared" ref="W29:W41" si="156">AU76</f>
        <v>0</v>
      </c>
      <c r="X29" s="35" t="str">
        <f t="shared" ref="X29:X41" si="157">AV76</f>
        <v>x</v>
      </c>
      <c r="Y29" s="40"/>
      <c r="Z29" s="35">
        <f t="shared" ref="Z29:Z41" si="158">Z28+1</f>
        <v>86</v>
      </c>
      <c r="AA29" s="38">
        <f t="shared" ref="AA29:AA41" si="159">AU90</f>
        <v>0</v>
      </c>
      <c r="AB29" s="35" t="str">
        <f t="shared" ref="AB29:AB41" si="160">AV90</f>
        <v>x</v>
      </c>
      <c r="AC29" s="40"/>
      <c r="AD29" s="35">
        <f t="shared" ref="AD29:AD41" si="161">AD28+1</f>
        <v>100</v>
      </c>
      <c r="AE29" s="38">
        <f t="shared" ref="AE29:AE41" si="162">AU104</f>
        <v>0</v>
      </c>
      <c r="AF29" s="35" t="str">
        <f t="shared" ref="AF29:AF41" si="163">AV104</f>
        <v>x</v>
      </c>
      <c r="AG29" s="40"/>
      <c r="AH29" s="35">
        <f t="shared" ref="AH29:AH41" si="164">AH28+1</f>
        <v>114</v>
      </c>
      <c r="AI29" s="38">
        <f t="shared" ref="AI29:AI41" si="165">AU118</f>
        <v>0</v>
      </c>
      <c r="AJ29" s="35" t="str">
        <f t="shared" ref="AJ29:AJ41" si="166">AV118</f>
        <v>x</v>
      </c>
      <c r="AK29" s="40"/>
      <c r="AL29" s="35">
        <f t="shared" ref="AL29:AL41" si="167">AL28+1</f>
        <v>128</v>
      </c>
      <c r="AM29" s="38">
        <f t="shared" ref="AM29:AM41" si="168">AU132</f>
        <v>0</v>
      </c>
      <c r="AN29" s="35" t="str">
        <f t="shared" ref="AN29:AN41" si="169">AV132</f>
        <v>x</v>
      </c>
      <c r="AO29" s="40"/>
      <c r="AP29" s="145"/>
      <c r="AQ29" s="145"/>
      <c r="AT29" s="70">
        <f t="shared" si="0"/>
        <v>25</v>
      </c>
      <c r="AU29" s="70">
        <f>Soal!M44</f>
        <v>0</v>
      </c>
      <c r="AV29" s="70" t="str">
        <f>Soal!N44</f>
        <v>x</v>
      </c>
    </row>
    <row r="30" spans="2:48" hidden="1" x14ac:dyDescent="0.3">
      <c r="B30" s="74">
        <f t="shared" ref="B30:B41" si="170">B29+1</f>
        <v>3</v>
      </c>
      <c r="C30" s="75">
        <f t="shared" ref="C30:D30" si="171">AU7</f>
        <v>0</v>
      </c>
      <c r="D30" s="38" t="str">
        <f t="shared" si="171"/>
        <v>x</v>
      </c>
      <c r="E30" s="39"/>
      <c r="F30" s="35">
        <f t="shared" si="147"/>
        <v>17</v>
      </c>
      <c r="G30" s="35">
        <f t="shared" ref="G30:H30" si="172">AU21</f>
        <v>0</v>
      </c>
      <c r="H30" s="38" t="str">
        <f t="shared" si="172"/>
        <v>x</v>
      </c>
      <c r="I30" s="39"/>
      <c r="J30" s="35">
        <f t="shared" si="149"/>
        <v>31</v>
      </c>
      <c r="K30" s="35">
        <f t="shared" ref="K30:L30" si="173">AU35</f>
        <v>0</v>
      </c>
      <c r="L30" s="38" t="str">
        <f t="shared" si="173"/>
        <v>x</v>
      </c>
      <c r="M30" s="39"/>
      <c r="N30" s="35">
        <f t="shared" si="151"/>
        <v>45</v>
      </c>
      <c r="O30" s="35">
        <f t="shared" ref="O30:P30" si="174">AU49</f>
        <v>0</v>
      </c>
      <c r="P30" s="38" t="str">
        <f t="shared" si="174"/>
        <v>x</v>
      </c>
      <c r="Q30" s="39"/>
      <c r="R30" s="35">
        <f t="shared" si="153"/>
        <v>59</v>
      </c>
      <c r="S30" s="35">
        <f t="shared" ref="S30:T30" si="175">AU63</f>
        <v>0</v>
      </c>
      <c r="T30" s="38" t="str">
        <f t="shared" si="175"/>
        <v>x</v>
      </c>
      <c r="U30" s="39"/>
      <c r="V30" s="35">
        <f t="shared" si="155"/>
        <v>73</v>
      </c>
      <c r="W30" s="35">
        <f t="shared" si="156"/>
        <v>0</v>
      </c>
      <c r="X30" s="38" t="str">
        <f t="shared" si="157"/>
        <v>x</v>
      </c>
      <c r="Y30" s="39"/>
      <c r="Z30" s="35">
        <f t="shared" si="158"/>
        <v>87</v>
      </c>
      <c r="AA30" s="35">
        <f t="shared" si="159"/>
        <v>0</v>
      </c>
      <c r="AB30" s="38" t="str">
        <f t="shared" si="160"/>
        <v>x</v>
      </c>
      <c r="AC30" s="39"/>
      <c r="AD30" s="35">
        <f t="shared" si="161"/>
        <v>101</v>
      </c>
      <c r="AE30" s="35">
        <f t="shared" si="162"/>
        <v>0</v>
      </c>
      <c r="AF30" s="38" t="str">
        <f t="shared" si="163"/>
        <v>x</v>
      </c>
      <c r="AG30" s="39"/>
      <c r="AH30" s="35">
        <f t="shared" si="164"/>
        <v>115</v>
      </c>
      <c r="AI30" s="35">
        <f t="shared" si="165"/>
        <v>0</v>
      </c>
      <c r="AJ30" s="38" t="str">
        <f t="shared" si="166"/>
        <v>x</v>
      </c>
      <c r="AK30" s="39"/>
      <c r="AL30" s="35">
        <f t="shared" si="167"/>
        <v>129</v>
      </c>
      <c r="AM30" s="35">
        <f t="shared" si="168"/>
        <v>0</v>
      </c>
      <c r="AN30" s="38" t="str">
        <f t="shared" si="169"/>
        <v>x</v>
      </c>
      <c r="AO30" s="39"/>
      <c r="AP30" s="145"/>
      <c r="AQ30" s="145"/>
      <c r="AT30" s="70">
        <f t="shared" si="0"/>
        <v>26</v>
      </c>
      <c r="AU30" s="70">
        <f>Soal!M45</f>
        <v>0</v>
      </c>
      <c r="AV30" s="70" t="str">
        <f>Soal!N45</f>
        <v>x</v>
      </c>
    </row>
    <row r="31" spans="2:48" hidden="1" x14ac:dyDescent="0.3">
      <c r="B31" s="74">
        <f t="shared" si="170"/>
        <v>4</v>
      </c>
      <c r="C31" s="75">
        <f t="shared" ref="C31:D31" si="176">AU8</f>
        <v>0</v>
      </c>
      <c r="D31" s="38" t="str">
        <f t="shared" si="176"/>
        <v>x</v>
      </c>
      <c r="E31" s="40"/>
      <c r="F31" s="35">
        <f t="shared" si="147"/>
        <v>18</v>
      </c>
      <c r="G31" s="35">
        <f t="shared" ref="G31:H31" si="177">AU22</f>
        <v>0</v>
      </c>
      <c r="H31" s="38" t="str">
        <f t="shared" si="177"/>
        <v>x</v>
      </c>
      <c r="I31" s="40"/>
      <c r="J31" s="35">
        <f t="shared" si="149"/>
        <v>32</v>
      </c>
      <c r="K31" s="35">
        <f t="shared" ref="K31:L31" si="178">AU36</f>
        <v>0</v>
      </c>
      <c r="L31" s="38" t="str">
        <f t="shared" si="178"/>
        <v>x</v>
      </c>
      <c r="M31" s="40"/>
      <c r="N31" s="35">
        <f t="shared" si="151"/>
        <v>46</v>
      </c>
      <c r="O31" s="35">
        <f t="shared" ref="O31:P31" si="179">AU50</f>
        <v>0</v>
      </c>
      <c r="P31" s="38" t="str">
        <f t="shared" si="179"/>
        <v>x</v>
      </c>
      <c r="Q31" s="40"/>
      <c r="R31" s="35">
        <f t="shared" si="153"/>
        <v>60</v>
      </c>
      <c r="S31" s="35">
        <f t="shared" ref="S31:T31" si="180">AU64</f>
        <v>0</v>
      </c>
      <c r="T31" s="38" t="str">
        <f t="shared" si="180"/>
        <v>x</v>
      </c>
      <c r="U31" s="40"/>
      <c r="V31" s="35">
        <f t="shared" si="155"/>
        <v>74</v>
      </c>
      <c r="W31" s="35">
        <f t="shared" si="156"/>
        <v>0</v>
      </c>
      <c r="X31" s="38" t="str">
        <f t="shared" si="157"/>
        <v>x</v>
      </c>
      <c r="Y31" s="40"/>
      <c r="Z31" s="35">
        <f t="shared" si="158"/>
        <v>88</v>
      </c>
      <c r="AA31" s="35">
        <f t="shared" si="159"/>
        <v>0</v>
      </c>
      <c r="AB31" s="38" t="str">
        <f t="shared" si="160"/>
        <v>x</v>
      </c>
      <c r="AC31" s="40"/>
      <c r="AD31" s="35">
        <f t="shared" si="161"/>
        <v>102</v>
      </c>
      <c r="AE31" s="35">
        <f t="shared" si="162"/>
        <v>0</v>
      </c>
      <c r="AF31" s="38" t="str">
        <f t="shared" si="163"/>
        <v>x</v>
      </c>
      <c r="AG31" s="40"/>
      <c r="AH31" s="35">
        <f t="shared" si="164"/>
        <v>116</v>
      </c>
      <c r="AI31" s="35">
        <f t="shared" si="165"/>
        <v>0</v>
      </c>
      <c r="AJ31" s="38" t="str">
        <f t="shared" si="166"/>
        <v>x</v>
      </c>
      <c r="AK31" s="40"/>
      <c r="AL31" s="35">
        <f t="shared" si="167"/>
        <v>130</v>
      </c>
      <c r="AM31" s="35">
        <f t="shared" si="168"/>
        <v>0</v>
      </c>
      <c r="AN31" s="38" t="str">
        <f t="shared" si="169"/>
        <v>x</v>
      </c>
      <c r="AO31" s="40"/>
      <c r="AP31" s="145"/>
      <c r="AQ31" s="145"/>
      <c r="AT31" s="70">
        <f t="shared" si="0"/>
        <v>27</v>
      </c>
      <c r="AU31" s="70">
        <f>Soal!M46</f>
        <v>0</v>
      </c>
      <c r="AV31" s="70" t="str">
        <f>Soal!N46</f>
        <v>x</v>
      </c>
    </row>
    <row r="32" spans="2:48" hidden="1" x14ac:dyDescent="0.3">
      <c r="B32" s="74">
        <f t="shared" si="170"/>
        <v>5</v>
      </c>
      <c r="C32" s="75">
        <f t="shared" ref="C32:D32" si="181">AU9</f>
        <v>0</v>
      </c>
      <c r="D32" s="38" t="str">
        <f t="shared" si="181"/>
        <v>x</v>
      </c>
      <c r="E32" s="39"/>
      <c r="F32" s="35">
        <f t="shared" si="147"/>
        <v>19</v>
      </c>
      <c r="G32" s="38">
        <f t="shared" ref="G32:H32" si="182">AU23</f>
        <v>0</v>
      </c>
      <c r="H32" s="35" t="str">
        <f t="shared" si="182"/>
        <v>x</v>
      </c>
      <c r="I32" s="39"/>
      <c r="J32" s="35">
        <f t="shared" si="149"/>
        <v>33</v>
      </c>
      <c r="K32" s="35">
        <f t="shared" ref="K32:L32" si="183">AU37</f>
        <v>0</v>
      </c>
      <c r="L32" s="38" t="str">
        <f t="shared" si="183"/>
        <v>x</v>
      </c>
      <c r="M32" s="39"/>
      <c r="N32" s="35">
        <f t="shared" si="151"/>
        <v>47</v>
      </c>
      <c r="O32" s="35">
        <f t="shared" ref="O32:P32" si="184">AU51</f>
        <v>0</v>
      </c>
      <c r="P32" s="38" t="str">
        <f t="shared" si="184"/>
        <v>x</v>
      </c>
      <c r="Q32" s="39"/>
      <c r="R32" s="35">
        <f t="shared" si="153"/>
        <v>61</v>
      </c>
      <c r="S32" s="38">
        <f t="shared" ref="S32:T32" si="185">AU65</f>
        <v>0</v>
      </c>
      <c r="T32" s="35" t="str">
        <f t="shared" si="185"/>
        <v>x</v>
      </c>
      <c r="U32" s="39"/>
      <c r="V32" s="35">
        <f t="shared" si="155"/>
        <v>75</v>
      </c>
      <c r="W32" s="38">
        <f t="shared" si="156"/>
        <v>0</v>
      </c>
      <c r="X32" s="35" t="str">
        <f t="shared" si="157"/>
        <v>x</v>
      </c>
      <c r="Y32" s="39"/>
      <c r="Z32" s="35">
        <f t="shared" si="158"/>
        <v>89</v>
      </c>
      <c r="AA32" s="35">
        <f t="shared" si="159"/>
        <v>0</v>
      </c>
      <c r="AB32" s="38" t="str">
        <f t="shared" si="160"/>
        <v>x</v>
      </c>
      <c r="AC32" s="39"/>
      <c r="AD32" s="35">
        <f t="shared" si="161"/>
        <v>103</v>
      </c>
      <c r="AE32" s="38">
        <f t="shared" si="162"/>
        <v>0</v>
      </c>
      <c r="AF32" s="35" t="str">
        <f t="shared" si="163"/>
        <v>x</v>
      </c>
      <c r="AG32" s="39"/>
      <c r="AH32" s="35">
        <f t="shared" si="164"/>
        <v>117</v>
      </c>
      <c r="AI32" s="38">
        <f t="shared" si="165"/>
        <v>0</v>
      </c>
      <c r="AJ32" s="35" t="str">
        <f t="shared" si="166"/>
        <v>x</v>
      </c>
      <c r="AK32" s="39"/>
      <c r="AL32" s="35">
        <f t="shared" si="167"/>
        <v>131</v>
      </c>
      <c r="AM32" s="35">
        <f t="shared" si="168"/>
        <v>0</v>
      </c>
      <c r="AN32" s="38" t="str">
        <f t="shared" si="169"/>
        <v>x</v>
      </c>
      <c r="AO32" s="39"/>
      <c r="AP32" s="145"/>
      <c r="AQ32" s="145"/>
      <c r="AT32" s="70">
        <f t="shared" si="0"/>
        <v>28</v>
      </c>
      <c r="AU32" s="70">
        <f>Soal!M47</f>
        <v>0</v>
      </c>
      <c r="AV32" s="70" t="str">
        <f>Soal!N47</f>
        <v>x</v>
      </c>
    </row>
    <row r="33" spans="2:48" hidden="1" x14ac:dyDescent="0.3">
      <c r="B33" s="74">
        <f t="shared" si="170"/>
        <v>6</v>
      </c>
      <c r="C33" s="75">
        <f t="shared" ref="C33:D33" si="186">AU10</f>
        <v>0</v>
      </c>
      <c r="D33" s="38" t="str">
        <f t="shared" si="186"/>
        <v>x</v>
      </c>
      <c r="E33" s="40"/>
      <c r="F33" s="35">
        <f t="shared" si="147"/>
        <v>20</v>
      </c>
      <c r="G33" s="35">
        <f t="shared" ref="G33:H33" si="187">AU24</f>
        <v>0</v>
      </c>
      <c r="H33" s="36" t="str">
        <f t="shared" si="187"/>
        <v>x</v>
      </c>
      <c r="I33" s="40"/>
      <c r="J33" s="35">
        <f t="shared" si="149"/>
        <v>34</v>
      </c>
      <c r="K33" s="35">
        <f t="shared" ref="K33:L33" si="188">AU38</f>
        <v>0</v>
      </c>
      <c r="L33" s="38" t="str">
        <f t="shared" si="188"/>
        <v>x</v>
      </c>
      <c r="M33" s="40"/>
      <c r="N33" s="35">
        <f t="shared" si="151"/>
        <v>48</v>
      </c>
      <c r="O33" s="35">
        <f t="shared" ref="O33:P33" si="189">AU52</f>
        <v>0</v>
      </c>
      <c r="P33" s="38" t="str">
        <f t="shared" si="189"/>
        <v>x</v>
      </c>
      <c r="Q33" s="40"/>
      <c r="R33" s="35">
        <f t="shared" si="153"/>
        <v>62</v>
      </c>
      <c r="S33" s="38">
        <f t="shared" ref="S33:T33" si="190">AU66</f>
        <v>0</v>
      </c>
      <c r="T33" s="35" t="str">
        <f t="shared" si="190"/>
        <v>x</v>
      </c>
      <c r="U33" s="40"/>
      <c r="V33" s="35">
        <f t="shared" si="155"/>
        <v>76</v>
      </c>
      <c r="W33" s="35">
        <f t="shared" si="156"/>
        <v>0</v>
      </c>
      <c r="X33" s="38" t="str">
        <f t="shared" si="157"/>
        <v>x</v>
      </c>
      <c r="Y33" s="40"/>
      <c r="Z33" s="35">
        <f t="shared" si="158"/>
        <v>90</v>
      </c>
      <c r="AA33" s="38">
        <f t="shared" si="159"/>
        <v>0</v>
      </c>
      <c r="AB33" s="35" t="str">
        <f t="shared" si="160"/>
        <v>x</v>
      </c>
      <c r="AC33" s="40"/>
      <c r="AD33" s="35">
        <f t="shared" si="161"/>
        <v>104</v>
      </c>
      <c r="AE33" s="38">
        <f t="shared" si="162"/>
        <v>0</v>
      </c>
      <c r="AF33" s="35" t="str">
        <f t="shared" si="163"/>
        <v>x</v>
      </c>
      <c r="AG33" s="40"/>
      <c r="AH33" s="35">
        <f t="shared" si="164"/>
        <v>118</v>
      </c>
      <c r="AI33" s="35">
        <f t="shared" si="165"/>
        <v>0</v>
      </c>
      <c r="AJ33" s="38" t="str">
        <f t="shared" si="166"/>
        <v>x</v>
      </c>
      <c r="AK33" s="40"/>
      <c r="AL33" s="35">
        <f t="shared" si="167"/>
        <v>132</v>
      </c>
      <c r="AM33" s="35">
        <f t="shared" si="168"/>
        <v>0</v>
      </c>
      <c r="AN33" s="38" t="str">
        <f t="shared" si="169"/>
        <v>x</v>
      </c>
      <c r="AO33" s="40"/>
      <c r="AP33" s="145"/>
      <c r="AQ33" s="145"/>
      <c r="AT33" s="70">
        <f t="shared" si="0"/>
        <v>29</v>
      </c>
      <c r="AU33" s="70">
        <f>Soal!M48</f>
        <v>0</v>
      </c>
      <c r="AV33" s="70" t="str">
        <f>Soal!N48</f>
        <v>x</v>
      </c>
    </row>
    <row r="34" spans="2:48" hidden="1" x14ac:dyDescent="0.3">
      <c r="B34" s="74">
        <f t="shared" si="170"/>
        <v>7</v>
      </c>
      <c r="C34" s="36">
        <f t="shared" ref="C34:D34" si="191">AU11</f>
        <v>0</v>
      </c>
      <c r="D34" s="76" t="str">
        <f t="shared" si="191"/>
        <v>x</v>
      </c>
      <c r="E34" s="39"/>
      <c r="F34" s="35">
        <f t="shared" si="147"/>
        <v>21</v>
      </c>
      <c r="G34" s="35">
        <f t="shared" ref="G34:H34" si="192">AU25</f>
        <v>0</v>
      </c>
      <c r="H34" s="36" t="str">
        <f t="shared" si="192"/>
        <v>x</v>
      </c>
      <c r="I34" s="39"/>
      <c r="J34" s="35">
        <f t="shared" si="149"/>
        <v>35</v>
      </c>
      <c r="K34" s="35">
        <f t="shared" ref="K34:L34" si="193">AU39</f>
        <v>0</v>
      </c>
      <c r="L34" s="38" t="str">
        <f t="shared" si="193"/>
        <v>x</v>
      </c>
      <c r="M34" s="39"/>
      <c r="N34" s="35">
        <f t="shared" si="151"/>
        <v>49</v>
      </c>
      <c r="O34" s="35">
        <f t="shared" ref="O34:P34" si="194">AU53</f>
        <v>0</v>
      </c>
      <c r="P34" s="38" t="str">
        <f t="shared" si="194"/>
        <v>x</v>
      </c>
      <c r="Q34" s="39"/>
      <c r="R34" s="35">
        <f t="shared" si="153"/>
        <v>63</v>
      </c>
      <c r="S34" s="35">
        <f t="shared" ref="S34:T34" si="195">AU67</f>
        <v>0</v>
      </c>
      <c r="T34" s="38" t="str">
        <f t="shared" si="195"/>
        <v>x</v>
      </c>
      <c r="U34" s="39"/>
      <c r="V34" s="35">
        <f t="shared" si="155"/>
        <v>77</v>
      </c>
      <c r="W34" s="35">
        <f t="shared" si="156"/>
        <v>0</v>
      </c>
      <c r="X34" s="38" t="str">
        <f t="shared" si="157"/>
        <v>x</v>
      </c>
      <c r="Y34" s="39"/>
      <c r="Z34" s="35">
        <f t="shared" si="158"/>
        <v>91</v>
      </c>
      <c r="AA34" s="35">
        <f t="shared" si="159"/>
        <v>0</v>
      </c>
      <c r="AB34" s="38" t="str">
        <f t="shared" si="160"/>
        <v>x</v>
      </c>
      <c r="AC34" s="39"/>
      <c r="AD34" s="35">
        <f t="shared" si="161"/>
        <v>105</v>
      </c>
      <c r="AE34" s="35">
        <f t="shared" si="162"/>
        <v>0</v>
      </c>
      <c r="AF34" s="38" t="str">
        <f t="shared" si="163"/>
        <v>x</v>
      </c>
      <c r="AG34" s="39"/>
      <c r="AH34" s="35">
        <f t="shared" si="164"/>
        <v>119</v>
      </c>
      <c r="AI34" s="35">
        <f t="shared" si="165"/>
        <v>0</v>
      </c>
      <c r="AJ34" s="38" t="str">
        <f t="shared" si="166"/>
        <v>x</v>
      </c>
      <c r="AK34" s="39"/>
      <c r="AL34" s="35">
        <f t="shared" si="167"/>
        <v>133</v>
      </c>
      <c r="AM34" s="35">
        <f t="shared" si="168"/>
        <v>0</v>
      </c>
      <c r="AN34" s="38" t="str">
        <f t="shared" si="169"/>
        <v>x</v>
      </c>
      <c r="AO34" s="39"/>
      <c r="AP34" s="145"/>
      <c r="AQ34" s="145"/>
      <c r="AT34" s="70">
        <f t="shared" si="0"/>
        <v>30</v>
      </c>
      <c r="AU34" s="70">
        <f>Soal!M49</f>
        <v>0</v>
      </c>
      <c r="AV34" s="70" t="str">
        <f>Soal!N49</f>
        <v>x</v>
      </c>
    </row>
    <row r="35" spans="2:48" hidden="1" x14ac:dyDescent="0.3">
      <c r="B35" s="74">
        <f t="shared" si="170"/>
        <v>8</v>
      </c>
      <c r="C35" s="75">
        <f t="shared" ref="C35:D35" si="196">AU12</f>
        <v>0</v>
      </c>
      <c r="D35" s="38" t="str">
        <f t="shared" si="196"/>
        <v>x</v>
      </c>
      <c r="E35" s="40"/>
      <c r="F35" s="35">
        <f t="shared" si="147"/>
        <v>22</v>
      </c>
      <c r="G35" s="35">
        <f t="shared" ref="G35:H35" si="197">AU26</f>
        <v>0</v>
      </c>
      <c r="H35" s="36" t="str">
        <f t="shared" si="197"/>
        <v>x</v>
      </c>
      <c r="I35" s="40"/>
      <c r="J35" s="35">
        <f t="shared" si="149"/>
        <v>36</v>
      </c>
      <c r="K35" s="35">
        <f t="shared" ref="K35:L35" si="198">AU40</f>
        <v>0</v>
      </c>
      <c r="L35" s="38" t="str">
        <f t="shared" si="198"/>
        <v>x</v>
      </c>
      <c r="M35" s="40"/>
      <c r="N35" s="35">
        <f t="shared" si="151"/>
        <v>50</v>
      </c>
      <c r="O35" s="35">
        <f t="shared" ref="O35:P35" si="199">AU54</f>
        <v>0</v>
      </c>
      <c r="P35" s="38" t="str">
        <f t="shared" si="199"/>
        <v>x</v>
      </c>
      <c r="Q35" s="40"/>
      <c r="R35" s="35">
        <f t="shared" si="153"/>
        <v>64</v>
      </c>
      <c r="S35" s="35">
        <f t="shared" ref="S35:T35" si="200">AU68</f>
        <v>0</v>
      </c>
      <c r="T35" s="38" t="str">
        <f t="shared" si="200"/>
        <v>x</v>
      </c>
      <c r="U35" s="40"/>
      <c r="V35" s="35">
        <f t="shared" si="155"/>
        <v>78</v>
      </c>
      <c r="W35" s="35">
        <f t="shared" si="156"/>
        <v>0</v>
      </c>
      <c r="X35" s="38" t="str">
        <f t="shared" si="157"/>
        <v>x</v>
      </c>
      <c r="Y35" s="40"/>
      <c r="Z35" s="35">
        <f t="shared" si="158"/>
        <v>92</v>
      </c>
      <c r="AA35" s="35">
        <f t="shared" si="159"/>
        <v>0</v>
      </c>
      <c r="AB35" s="38" t="str">
        <f t="shared" si="160"/>
        <v>x</v>
      </c>
      <c r="AC35" s="40"/>
      <c r="AD35" s="35">
        <f t="shared" si="161"/>
        <v>106</v>
      </c>
      <c r="AE35" s="35">
        <f t="shared" si="162"/>
        <v>0</v>
      </c>
      <c r="AF35" s="38" t="str">
        <f t="shared" si="163"/>
        <v>x</v>
      </c>
      <c r="AG35" s="40"/>
      <c r="AH35" s="35">
        <f t="shared" si="164"/>
        <v>120</v>
      </c>
      <c r="AI35" s="35">
        <f t="shared" si="165"/>
        <v>0</v>
      </c>
      <c r="AJ35" s="38" t="str">
        <f t="shared" si="166"/>
        <v>x</v>
      </c>
      <c r="AK35" s="40"/>
      <c r="AL35" s="35">
        <f t="shared" si="167"/>
        <v>134</v>
      </c>
      <c r="AM35" s="35">
        <f t="shared" si="168"/>
        <v>0</v>
      </c>
      <c r="AN35" s="38" t="str">
        <f t="shared" si="169"/>
        <v>x</v>
      </c>
      <c r="AO35" s="40"/>
      <c r="AP35" s="145"/>
      <c r="AQ35" s="145"/>
      <c r="AT35" s="70">
        <f t="shared" si="0"/>
        <v>31</v>
      </c>
      <c r="AU35" s="70">
        <f>Soal!M50</f>
        <v>0</v>
      </c>
      <c r="AV35" s="70" t="str">
        <f>Soal!N50</f>
        <v>x</v>
      </c>
    </row>
    <row r="36" spans="2:48" hidden="1" x14ac:dyDescent="0.3">
      <c r="B36" s="74">
        <f t="shared" si="170"/>
        <v>9</v>
      </c>
      <c r="C36" s="36">
        <f t="shared" ref="C36:D36" si="201">AU13</f>
        <v>0</v>
      </c>
      <c r="D36" s="76" t="str">
        <f t="shared" si="201"/>
        <v>x</v>
      </c>
      <c r="E36" s="39"/>
      <c r="F36" s="35">
        <f t="shared" si="147"/>
        <v>23</v>
      </c>
      <c r="G36" s="35">
        <f t="shared" ref="G36:H36" si="202">AU27</f>
        <v>0</v>
      </c>
      <c r="H36" s="38" t="str">
        <f t="shared" si="202"/>
        <v>x</v>
      </c>
      <c r="I36" s="39"/>
      <c r="J36" s="35">
        <f t="shared" si="149"/>
        <v>37</v>
      </c>
      <c r="K36" s="35">
        <f t="shared" ref="K36:L36" si="203">AU41</f>
        <v>0</v>
      </c>
      <c r="L36" s="38" t="str">
        <f t="shared" si="203"/>
        <v>x</v>
      </c>
      <c r="M36" s="39"/>
      <c r="N36" s="35">
        <f t="shared" si="151"/>
        <v>51</v>
      </c>
      <c r="O36" s="38">
        <f t="shared" ref="O36:P36" si="204">AU55</f>
        <v>0</v>
      </c>
      <c r="P36" s="35" t="str">
        <f t="shared" si="204"/>
        <v>x</v>
      </c>
      <c r="Q36" s="39"/>
      <c r="R36" s="35">
        <f t="shared" si="153"/>
        <v>65</v>
      </c>
      <c r="S36" s="35">
        <f t="shared" ref="S36:T36" si="205">AU69</f>
        <v>0</v>
      </c>
      <c r="T36" s="38" t="str">
        <f t="shared" si="205"/>
        <v>x</v>
      </c>
      <c r="U36" s="39"/>
      <c r="V36" s="35">
        <f t="shared" si="155"/>
        <v>79</v>
      </c>
      <c r="W36" s="35">
        <f t="shared" si="156"/>
        <v>0</v>
      </c>
      <c r="X36" s="38" t="str">
        <f t="shared" si="157"/>
        <v>x</v>
      </c>
      <c r="Y36" s="39"/>
      <c r="Z36" s="35">
        <f t="shared" si="158"/>
        <v>93</v>
      </c>
      <c r="AA36" s="35">
        <f t="shared" si="159"/>
        <v>0</v>
      </c>
      <c r="AB36" s="38" t="str">
        <f t="shared" si="160"/>
        <v>x</v>
      </c>
      <c r="AC36" s="39"/>
      <c r="AD36" s="35">
        <f t="shared" si="161"/>
        <v>107</v>
      </c>
      <c r="AE36" s="38">
        <f t="shared" si="162"/>
        <v>0</v>
      </c>
      <c r="AF36" s="35" t="str">
        <f t="shared" si="163"/>
        <v>x</v>
      </c>
      <c r="AG36" s="39"/>
      <c r="AH36" s="35">
        <f t="shared" si="164"/>
        <v>121</v>
      </c>
      <c r="AI36" s="35">
        <f t="shared" si="165"/>
        <v>0</v>
      </c>
      <c r="AJ36" s="38" t="str">
        <f t="shared" si="166"/>
        <v>x</v>
      </c>
      <c r="AK36" s="39"/>
      <c r="AL36" s="35">
        <f t="shared" si="167"/>
        <v>135</v>
      </c>
      <c r="AM36" s="38">
        <f t="shared" si="168"/>
        <v>0</v>
      </c>
      <c r="AN36" s="35" t="str">
        <f t="shared" si="169"/>
        <v>x</v>
      </c>
      <c r="AO36" s="39"/>
      <c r="AP36" s="145"/>
      <c r="AQ36" s="145"/>
      <c r="AT36" s="70">
        <f t="shared" si="0"/>
        <v>32</v>
      </c>
      <c r="AU36" s="70">
        <f>Soal!M51</f>
        <v>0</v>
      </c>
      <c r="AV36" s="70" t="str">
        <f>Soal!N51</f>
        <v>x</v>
      </c>
    </row>
    <row r="37" spans="2:48" hidden="1" x14ac:dyDescent="0.3">
      <c r="B37" s="74">
        <f t="shared" si="170"/>
        <v>10</v>
      </c>
      <c r="C37" s="75">
        <f t="shared" ref="C37:D37" si="206">AU14</f>
        <v>0</v>
      </c>
      <c r="D37" s="38" t="str">
        <f t="shared" si="206"/>
        <v>x</v>
      </c>
      <c r="E37" s="40"/>
      <c r="F37" s="35">
        <f t="shared" si="147"/>
        <v>24</v>
      </c>
      <c r="G37" s="35">
        <f t="shared" ref="G37:H37" si="207">AU28</f>
        <v>0</v>
      </c>
      <c r="H37" s="38" t="str">
        <f t="shared" si="207"/>
        <v>x</v>
      </c>
      <c r="I37" s="40"/>
      <c r="J37" s="35">
        <f t="shared" si="149"/>
        <v>38</v>
      </c>
      <c r="K37" s="35">
        <f t="shared" ref="K37:L37" si="208">AU42</f>
        <v>0</v>
      </c>
      <c r="L37" s="38" t="str">
        <f t="shared" si="208"/>
        <v>x</v>
      </c>
      <c r="M37" s="40"/>
      <c r="N37" s="35">
        <f t="shared" si="151"/>
        <v>52</v>
      </c>
      <c r="O37" s="35">
        <f t="shared" ref="O37:P37" si="209">AU56</f>
        <v>0</v>
      </c>
      <c r="P37" s="38" t="str">
        <f t="shared" si="209"/>
        <v>x</v>
      </c>
      <c r="Q37" s="40"/>
      <c r="R37" s="35">
        <f t="shared" si="153"/>
        <v>66</v>
      </c>
      <c r="S37" s="38">
        <f t="shared" ref="S37:T37" si="210">AU70</f>
        <v>0</v>
      </c>
      <c r="T37" s="35" t="str">
        <f t="shared" si="210"/>
        <v>x</v>
      </c>
      <c r="U37" s="40"/>
      <c r="V37" s="35">
        <f t="shared" si="155"/>
        <v>80</v>
      </c>
      <c r="W37" s="35">
        <f t="shared" si="156"/>
        <v>0</v>
      </c>
      <c r="X37" s="38" t="str">
        <f t="shared" si="157"/>
        <v>x</v>
      </c>
      <c r="Y37" s="40"/>
      <c r="Z37" s="35">
        <f t="shared" si="158"/>
        <v>94</v>
      </c>
      <c r="AA37" s="35">
        <f t="shared" si="159"/>
        <v>0</v>
      </c>
      <c r="AB37" s="38" t="str">
        <f t="shared" si="160"/>
        <v>x</v>
      </c>
      <c r="AC37" s="40"/>
      <c r="AD37" s="35">
        <f t="shared" si="161"/>
        <v>108</v>
      </c>
      <c r="AE37" s="35">
        <f t="shared" si="162"/>
        <v>0</v>
      </c>
      <c r="AF37" s="38" t="str">
        <f t="shared" si="163"/>
        <v>x</v>
      </c>
      <c r="AG37" s="40"/>
      <c r="AH37" s="35">
        <f t="shared" si="164"/>
        <v>122</v>
      </c>
      <c r="AI37" s="35">
        <f t="shared" si="165"/>
        <v>0</v>
      </c>
      <c r="AJ37" s="38" t="str">
        <f t="shared" si="166"/>
        <v>x</v>
      </c>
      <c r="AK37" s="40"/>
      <c r="AL37" s="35">
        <f t="shared" si="167"/>
        <v>136</v>
      </c>
      <c r="AM37" s="35">
        <f t="shared" si="168"/>
        <v>0</v>
      </c>
      <c r="AN37" s="38" t="str">
        <f t="shared" si="169"/>
        <v>x</v>
      </c>
      <c r="AO37" s="40"/>
      <c r="AP37" s="145"/>
      <c r="AQ37" s="145"/>
      <c r="AT37" s="70">
        <f t="shared" si="0"/>
        <v>33</v>
      </c>
      <c r="AU37" s="70">
        <f>Soal!M52</f>
        <v>0</v>
      </c>
      <c r="AV37" s="70" t="str">
        <f>Soal!N52</f>
        <v>x</v>
      </c>
    </row>
    <row r="38" spans="2:48" hidden="1" x14ac:dyDescent="0.3">
      <c r="B38" s="74">
        <f t="shared" si="170"/>
        <v>11</v>
      </c>
      <c r="C38" s="75">
        <f t="shared" ref="C38:D38" si="211">AU15</f>
        <v>0</v>
      </c>
      <c r="D38" s="38" t="str">
        <f t="shared" si="211"/>
        <v>x</v>
      </c>
      <c r="E38" s="39"/>
      <c r="F38" s="35">
        <f t="shared" si="147"/>
        <v>25</v>
      </c>
      <c r="G38" s="35">
        <f t="shared" ref="G38:H38" si="212">AU29</f>
        <v>0</v>
      </c>
      <c r="H38" s="38" t="str">
        <f t="shared" si="212"/>
        <v>x</v>
      </c>
      <c r="I38" s="39"/>
      <c r="J38" s="35">
        <f t="shared" si="149"/>
        <v>39</v>
      </c>
      <c r="K38" s="35">
        <f t="shared" ref="K38:L38" si="213">AU43</f>
        <v>0</v>
      </c>
      <c r="L38" s="38" t="str">
        <f t="shared" si="213"/>
        <v>x</v>
      </c>
      <c r="M38" s="39"/>
      <c r="N38" s="35">
        <f t="shared" si="151"/>
        <v>53</v>
      </c>
      <c r="O38" s="35">
        <f t="shared" ref="O38:P38" si="214">AU57</f>
        <v>0</v>
      </c>
      <c r="P38" s="38" t="str">
        <f t="shared" si="214"/>
        <v>x</v>
      </c>
      <c r="Q38" s="39"/>
      <c r="R38" s="35">
        <f t="shared" si="153"/>
        <v>67</v>
      </c>
      <c r="S38" s="35">
        <f t="shared" ref="S38:T38" si="215">AU71</f>
        <v>0</v>
      </c>
      <c r="T38" s="38" t="str">
        <f t="shared" si="215"/>
        <v>x</v>
      </c>
      <c r="U38" s="39"/>
      <c r="V38" s="35">
        <f t="shared" si="155"/>
        <v>81</v>
      </c>
      <c r="W38" s="35">
        <f t="shared" si="156"/>
        <v>0</v>
      </c>
      <c r="X38" s="38" t="str">
        <f t="shared" si="157"/>
        <v>x</v>
      </c>
      <c r="Y38" s="39"/>
      <c r="Z38" s="35">
        <f t="shared" si="158"/>
        <v>95</v>
      </c>
      <c r="AA38" s="35">
        <f t="shared" si="159"/>
        <v>0</v>
      </c>
      <c r="AB38" s="38" t="str">
        <f t="shared" si="160"/>
        <v>x</v>
      </c>
      <c r="AC38" s="39"/>
      <c r="AD38" s="35">
        <f t="shared" si="161"/>
        <v>109</v>
      </c>
      <c r="AE38" s="35">
        <f t="shared" si="162"/>
        <v>0</v>
      </c>
      <c r="AF38" s="38" t="str">
        <f t="shared" si="163"/>
        <v>x</v>
      </c>
      <c r="AG38" s="39"/>
      <c r="AH38" s="35">
        <f t="shared" si="164"/>
        <v>123</v>
      </c>
      <c r="AI38" s="35">
        <f t="shared" si="165"/>
        <v>0</v>
      </c>
      <c r="AJ38" s="38" t="str">
        <f t="shared" si="166"/>
        <v>x</v>
      </c>
      <c r="AK38" s="39"/>
      <c r="AL38" s="35">
        <f t="shared" si="167"/>
        <v>137</v>
      </c>
      <c r="AM38" s="35">
        <f t="shared" si="168"/>
        <v>0</v>
      </c>
      <c r="AN38" s="38" t="str">
        <f t="shared" si="169"/>
        <v>x</v>
      </c>
      <c r="AO38" s="39"/>
      <c r="AP38" s="145"/>
      <c r="AQ38" s="145"/>
      <c r="AT38" s="70">
        <f t="shared" si="0"/>
        <v>34</v>
      </c>
      <c r="AU38" s="70">
        <f>Soal!M53</f>
        <v>0</v>
      </c>
      <c r="AV38" s="70" t="str">
        <f>Soal!N53</f>
        <v>x</v>
      </c>
    </row>
    <row r="39" spans="2:48" hidden="1" x14ac:dyDescent="0.3">
      <c r="B39" s="74">
        <f t="shared" si="170"/>
        <v>12</v>
      </c>
      <c r="C39" s="75">
        <f t="shared" ref="C39:D39" si="216">AU16</f>
        <v>0</v>
      </c>
      <c r="D39" s="38" t="str">
        <f t="shared" si="216"/>
        <v>x</v>
      </c>
      <c r="E39" s="40"/>
      <c r="F39" s="35">
        <f t="shared" si="147"/>
        <v>26</v>
      </c>
      <c r="G39" s="35">
        <f t="shared" ref="G39:H39" si="217">AU30</f>
        <v>0</v>
      </c>
      <c r="H39" s="38" t="str">
        <f t="shared" si="217"/>
        <v>x</v>
      </c>
      <c r="I39" s="40"/>
      <c r="J39" s="35">
        <f t="shared" si="149"/>
        <v>40</v>
      </c>
      <c r="K39" s="35">
        <f t="shared" ref="K39:L39" si="218">AU44</f>
        <v>0</v>
      </c>
      <c r="L39" s="38" t="str">
        <f t="shared" si="218"/>
        <v>x</v>
      </c>
      <c r="M39" s="40"/>
      <c r="N39" s="35">
        <f t="shared" si="151"/>
        <v>54</v>
      </c>
      <c r="O39" s="35">
        <f t="shared" ref="O39:P39" si="219">AU58</f>
        <v>0</v>
      </c>
      <c r="P39" s="38" t="str">
        <f t="shared" si="219"/>
        <v>x</v>
      </c>
      <c r="Q39" s="40"/>
      <c r="R39" s="35">
        <f t="shared" si="153"/>
        <v>68</v>
      </c>
      <c r="S39" s="35">
        <f t="shared" ref="S39:T39" si="220">AU72</f>
        <v>0</v>
      </c>
      <c r="T39" s="38" t="str">
        <f t="shared" si="220"/>
        <v>x</v>
      </c>
      <c r="U39" s="40"/>
      <c r="V39" s="35">
        <f t="shared" si="155"/>
        <v>82</v>
      </c>
      <c r="W39" s="35">
        <f t="shared" si="156"/>
        <v>0</v>
      </c>
      <c r="X39" s="38" t="str">
        <f t="shared" si="157"/>
        <v>x</v>
      </c>
      <c r="Y39" s="40"/>
      <c r="Z39" s="35">
        <f t="shared" si="158"/>
        <v>96</v>
      </c>
      <c r="AA39" s="35">
        <f t="shared" si="159"/>
        <v>0</v>
      </c>
      <c r="AB39" s="38" t="str">
        <f t="shared" si="160"/>
        <v>x</v>
      </c>
      <c r="AC39" s="40"/>
      <c r="AD39" s="35">
        <f t="shared" si="161"/>
        <v>110</v>
      </c>
      <c r="AE39" s="35">
        <f t="shared" si="162"/>
        <v>0</v>
      </c>
      <c r="AF39" s="38" t="str">
        <f t="shared" si="163"/>
        <v>x</v>
      </c>
      <c r="AG39" s="40"/>
      <c r="AH39" s="35">
        <f t="shared" si="164"/>
        <v>124</v>
      </c>
      <c r="AI39" s="35">
        <f t="shared" si="165"/>
        <v>0</v>
      </c>
      <c r="AJ39" s="38" t="str">
        <f t="shared" si="166"/>
        <v>x</v>
      </c>
      <c r="AK39" s="40"/>
      <c r="AL39" s="35">
        <f t="shared" si="167"/>
        <v>138</v>
      </c>
      <c r="AM39" s="35">
        <f t="shared" si="168"/>
        <v>0</v>
      </c>
      <c r="AN39" s="38" t="str">
        <f t="shared" si="169"/>
        <v>x</v>
      </c>
      <c r="AO39" s="40"/>
      <c r="AP39" s="145"/>
      <c r="AQ39" s="145"/>
      <c r="AT39" s="70">
        <f t="shared" si="0"/>
        <v>35</v>
      </c>
      <c r="AU39" s="70">
        <f>Soal!M54</f>
        <v>0</v>
      </c>
      <c r="AV39" s="70" t="str">
        <f>Soal!N54</f>
        <v>x</v>
      </c>
    </row>
    <row r="40" spans="2:48" hidden="1" x14ac:dyDescent="0.3">
      <c r="B40" s="74">
        <f t="shared" si="170"/>
        <v>13</v>
      </c>
      <c r="C40" s="75">
        <f t="shared" ref="C40:D40" si="221">AU17</f>
        <v>0</v>
      </c>
      <c r="D40" s="38" t="str">
        <f t="shared" si="221"/>
        <v>x</v>
      </c>
      <c r="E40" s="39"/>
      <c r="F40" s="35">
        <f t="shared" si="147"/>
        <v>27</v>
      </c>
      <c r="G40" s="35">
        <f t="shared" ref="G40:H40" si="222">AU31</f>
        <v>0</v>
      </c>
      <c r="H40" s="38" t="str">
        <f t="shared" si="222"/>
        <v>x</v>
      </c>
      <c r="I40" s="39"/>
      <c r="J40" s="35">
        <f t="shared" si="149"/>
        <v>41</v>
      </c>
      <c r="K40" s="35">
        <f t="shared" ref="K40:L40" si="223">AU45</f>
        <v>0</v>
      </c>
      <c r="L40" s="38" t="str">
        <f t="shared" si="223"/>
        <v>x</v>
      </c>
      <c r="M40" s="39"/>
      <c r="N40" s="35">
        <f t="shared" si="151"/>
        <v>55</v>
      </c>
      <c r="O40" s="38">
        <f t="shared" ref="O40:P40" si="224">AU59</f>
        <v>0</v>
      </c>
      <c r="P40" s="35" t="str">
        <f t="shared" si="224"/>
        <v>x</v>
      </c>
      <c r="Q40" s="39"/>
      <c r="R40" s="35">
        <f t="shared" si="153"/>
        <v>69</v>
      </c>
      <c r="S40" s="35">
        <f t="shared" ref="S40:T40" si="225">AU73</f>
        <v>0</v>
      </c>
      <c r="T40" s="38" t="str">
        <f t="shared" si="225"/>
        <v>x</v>
      </c>
      <c r="U40" s="39"/>
      <c r="V40" s="35">
        <f t="shared" si="155"/>
        <v>83</v>
      </c>
      <c r="W40" s="35">
        <f t="shared" si="156"/>
        <v>0</v>
      </c>
      <c r="X40" s="38" t="str">
        <f t="shared" si="157"/>
        <v>x</v>
      </c>
      <c r="Y40" s="39"/>
      <c r="Z40" s="35">
        <f t="shared" si="158"/>
        <v>97</v>
      </c>
      <c r="AA40" s="35">
        <f t="shared" si="159"/>
        <v>0</v>
      </c>
      <c r="AB40" s="38" t="str">
        <f t="shared" si="160"/>
        <v>x</v>
      </c>
      <c r="AC40" s="39"/>
      <c r="AD40" s="35">
        <f t="shared" si="161"/>
        <v>111</v>
      </c>
      <c r="AE40" s="35">
        <f t="shared" si="162"/>
        <v>0</v>
      </c>
      <c r="AF40" s="38" t="str">
        <f t="shared" si="163"/>
        <v>x</v>
      </c>
      <c r="AG40" s="39"/>
      <c r="AH40" s="35">
        <f t="shared" si="164"/>
        <v>125</v>
      </c>
      <c r="AI40" s="35">
        <f t="shared" si="165"/>
        <v>0</v>
      </c>
      <c r="AJ40" s="38" t="str">
        <f t="shared" si="166"/>
        <v>x</v>
      </c>
      <c r="AK40" s="39"/>
      <c r="AL40" s="35">
        <f t="shared" si="167"/>
        <v>139</v>
      </c>
      <c r="AM40" s="35">
        <f t="shared" si="168"/>
        <v>0</v>
      </c>
      <c r="AN40" s="38" t="str">
        <f t="shared" si="169"/>
        <v>x</v>
      </c>
      <c r="AO40" s="39"/>
      <c r="AP40" s="145"/>
      <c r="AQ40" s="145"/>
      <c r="AT40" s="70">
        <f t="shared" si="0"/>
        <v>36</v>
      </c>
      <c r="AU40" s="70">
        <f>Soal!M55</f>
        <v>0</v>
      </c>
      <c r="AV40" s="70" t="str">
        <f>Soal!N55</f>
        <v>x</v>
      </c>
    </row>
    <row r="41" spans="2:48" hidden="1" x14ac:dyDescent="0.3">
      <c r="B41" s="74">
        <f t="shared" si="170"/>
        <v>14</v>
      </c>
      <c r="C41" s="36">
        <f t="shared" ref="C41:D41" si="226">AU18</f>
        <v>0</v>
      </c>
      <c r="D41" s="76" t="str">
        <f t="shared" si="226"/>
        <v>x</v>
      </c>
      <c r="E41" s="40"/>
      <c r="F41" s="35">
        <f t="shared" si="147"/>
        <v>28</v>
      </c>
      <c r="G41" s="35">
        <f t="shared" ref="G41:H41" si="227">AU32</f>
        <v>0</v>
      </c>
      <c r="H41" s="38" t="str">
        <f t="shared" si="227"/>
        <v>x</v>
      </c>
      <c r="I41" s="40"/>
      <c r="J41" s="35">
        <f t="shared" si="149"/>
        <v>42</v>
      </c>
      <c r="K41" s="38">
        <f t="shared" ref="K41:L41" si="228">AU46</f>
        <v>0</v>
      </c>
      <c r="L41" s="35" t="str">
        <f t="shared" si="228"/>
        <v>x</v>
      </c>
      <c r="M41" s="40"/>
      <c r="N41" s="35">
        <f t="shared" si="151"/>
        <v>56</v>
      </c>
      <c r="O41" s="35">
        <f t="shared" ref="O41:P41" si="229">AU60</f>
        <v>0</v>
      </c>
      <c r="P41" s="38" t="str">
        <f t="shared" si="229"/>
        <v>x</v>
      </c>
      <c r="Q41" s="40"/>
      <c r="R41" s="35">
        <f t="shared" si="153"/>
        <v>70</v>
      </c>
      <c r="S41" s="35">
        <f t="shared" ref="S41:T41" si="230">AU74</f>
        <v>0</v>
      </c>
      <c r="T41" s="38" t="str">
        <f t="shared" si="230"/>
        <v>x</v>
      </c>
      <c r="U41" s="40"/>
      <c r="V41" s="35">
        <f t="shared" si="155"/>
        <v>84</v>
      </c>
      <c r="W41" s="38">
        <f t="shared" si="156"/>
        <v>0</v>
      </c>
      <c r="X41" s="35" t="str">
        <f t="shared" si="157"/>
        <v>x</v>
      </c>
      <c r="Y41" s="40"/>
      <c r="Z41" s="35">
        <f t="shared" si="158"/>
        <v>98</v>
      </c>
      <c r="AA41" s="35">
        <f t="shared" si="159"/>
        <v>0</v>
      </c>
      <c r="AB41" s="38" t="str">
        <f t="shared" si="160"/>
        <v>x</v>
      </c>
      <c r="AC41" s="40"/>
      <c r="AD41" s="35">
        <f t="shared" si="161"/>
        <v>112</v>
      </c>
      <c r="AE41" s="38">
        <f t="shared" si="162"/>
        <v>0</v>
      </c>
      <c r="AF41" s="35" t="str">
        <f t="shared" si="163"/>
        <v>x</v>
      </c>
      <c r="AG41" s="40"/>
      <c r="AH41" s="35">
        <f t="shared" si="164"/>
        <v>126</v>
      </c>
      <c r="AI41" s="35">
        <f t="shared" si="165"/>
        <v>0</v>
      </c>
      <c r="AJ41" s="38" t="str">
        <f t="shared" si="166"/>
        <v>x</v>
      </c>
      <c r="AK41" s="40"/>
      <c r="AL41" s="35">
        <f t="shared" si="167"/>
        <v>140</v>
      </c>
      <c r="AM41" s="35">
        <f t="shared" si="168"/>
        <v>0</v>
      </c>
      <c r="AN41" s="38" t="str">
        <f t="shared" si="169"/>
        <v>x</v>
      </c>
      <c r="AO41" s="40"/>
      <c r="AP41" s="145"/>
      <c r="AQ41" s="145"/>
      <c r="AT41" s="70">
        <f t="shared" si="0"/>
        <v>37</v>
      </c>
      <c r="AU41" s="70">
        <f>Soal!M56</f>
        <v>0</v>
      </c>
      <c r="AV41" s="70" t="str">
        <f>Soal!N56</f>
        <v>x</v>
      </c>
    </row>
    <row r="42" spans="2:48" hidden="1" x14ac:dyDescent="0.3">
      <c r="B42" s="41"/>
      <c r="C42" s="41"/>
      <c r="D42" s="41">
        <f>SUM(C28:D41)</f>
        <v>0</v>
      </c>
      <c r="F42" s="41"/>
      <c r="G42" s="41"/>
      <c r="H42" s="41">
        <f>SUM(G28:H41)</f>
        <v>0</v>
      </c>
      <c r="J42" s="41"/>
      <c r="K42" s="41"/>
      <c r="L42" s="41">
        <f>SUM(K28:L41)</f>
        <v>0</v>
      </c>
      <c r="N42" s="41"/>
      <c r="O42" s="41"/>
      <c r="P42" s="41">
        <f>SUM(O28:P41)</f>
        <v>0</v>
      </c>
      <c r="R42" s="41"/>
      <c r="S42" s="41"/>
      <c r="T42" s="41">
        <f>SUM(S28:T41)</f>
        <v>0</v>
      </c>
      <c r="X42" s="41">
        <f>SUM(W28:X41)</f>
        <v>0</v>
      </c>
      <c r="AB42" s="41">
        <f>SUM(AA28:AB41)</f>
        <v>0</v>
      </c>
      <c r="AF42" s="41">
        <f>SUM(AE28:AF41)</f>
        <v>0</v>
      </c>
      <c r="AJ42" s="41">
        <f>SUM(AI28:AJ41)</f>
        <v>0</v>
      </c>
      <c r="AN42" s="41">
        <f>SUM(AM28:AN41)</f>
        <v>0</v>
      </c>
      <c r="AP42" s="44"/>
      <c r="AQ42" s="44"/>
      <c r="AT42" s="70">
        <f t="shared" si="0"/>
        <v>38</v>
      </c>
      <c r="AU42" s="70">
        <f>Soal!M57</f>
        <v>0</v>
      </c>
      <c r="AV42" s="70" t="str">
        <f>Soal!N57</f>
        <v>x</v>
      </c>
    </row>
    <row r="43" spans="2:48" x14ac:dyDescent="0.3">
      <c r="AT43" s="70">
        <f t="shared" si="0"/>
        <v>39</v>
      </c>
      <c r="AU43" s="70">
        <f>Soal!M58</f>
        <v>0</v>
      </c>
      <c r="AV43" s="70" t="str">
        <f>Soal!N58</f>
        <v>x</v>
      </c>
    </row>
    <row r="44" spans="2:48" x14ac:dyDescent="0.3">
      <c r="B44" s="78"/>
      <c r="C44" s="79"/>
      <c r="D44" s="79"/>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T44" s="70">
        <f t="shared" si="0"/>
        <v>40</v>
      </c>
      <c r="AU44" s="70">
        <f>Soal!M59</f>
        <v>0</v>
      </c>
      <c r="AV44" s="70" t="str">
        <f>Soal!N59</f>
        <v>x</v>
      </c>
    </row>
    <row r="45" spans="2:48" ht="15" customHeight="1" x14ac:dyDescent="0.3">
      <c r="B45" s="42" t="s">
        <v>195</v>
      </c>
      <c r="C45" s="120" t="s">
        <v>198</v>
      </c>
      <c r="D45" s="121"/>
      <c r="E45" s="121"/>
      <c r="F45" s="121"/>
      <c r="G45" s="121"/>
      <c r="H45" s="121"/>
      <c r="I45" s="121"/>
      <c r="J45" s="122"/>
      <c r="K45" s="42" t="s">
        <v>199</v>
      </c>
      <c r="L45" s="127" t="s">
        <v>200</v>
      </c>
      <c r="M45" s="128"/>
      <c r="N45" s="129"/>
      <c r="O45" s="140" t="s">
        <v>196</v>
      </c>
      <c r="P45" s="141"/>
      <c r="Q45" s="142"/>
      <c r="R45" s="146" t="s">
        <v>201</v>
      </c>
      <c r="S45" s="146"/>
      <c r="T45" s="146"/>
      <c r="U45" s="146"/>
      <c r="V45" s="146"/>
      <c r="W45" s="146"/>
      <c r="X45" s="146"/>
      <c r="Y45" s="146"/>
      <c r="Z45" s="146"/>
      <c r="AA45" s="146"/>
      <c r="AB45" s="146"/>
      <c r="AC45" s="146"/>
      <c r="AD45" s="146"/>
      <c r="AE45" s="146"/>
      <c r="AF45" s="146"/>
      <c r="AG45" s="146"/>
      <c r="AH45" s="146"/>
      <c r="AI45" s="79"/>
      <c r="AJ45" s="79"/>
      <c r="AK45" s="79"/>
      <c r="AL45" s="79"/>
      <c r="AM45" s="79"/>
      <c r="AN45" s="79"/>
      <c r="AO45" s="79"/>
      <c r="AP45" s="79"/>
      <c r="AQ45" s="79"/>
      <c r="AT45" s="70">
        <f t="shared" si="0"/>
        <v>41</v>
      </c>
      <c r="AU45" s="70">
        <f>Soal!M60</f>
        <v>0</v>
      </c>
      <c r="AV45" s="70" t="str">
        <f>Soal!N60</f>
        <v>x</v>
      </c>
    </row>
    <row r="46" spans="2:48" x14ac:dyDescent="0.3">
      <c r="B46" s="90">
        <v>1</v>
      </c>
      <c r="C46" s="123" t="s">
        <v>170</v>
      </c>
      <c r="D46" s="124"/>
      <c r="E46" s="124"/>
      <c r="F46" s="124"/>
      <c r="G46" s="124"/>
      <c r="H46" s="124"/>
      <c r="I46" s="125"/>
      <c r="J46" s="43" t="s">
        <v>163</v>
      </c>
      <c r="K46" s="43">
        <f>$AQ$11</f>
        <v>15</v>
      </c>
      <c r="L46" s="137" t="str">
        <f>IF(AND($K$46&gt;=0,$K$46&lt;=4),"Rendah",IF(AND($K$46&gt;=5,$K$46&lt;=8),"Sedang","Tinggi"))</f>
        <v>Tinggi</v>
      </c>
      <c r="M46" s="138"/>
      <c r="N46" s="139"/>
      <c r="O46" s="130" t="s">
        <v>197</v>
      </c>
      <c r="P46" s="131"/>
      <c r="Q46" s="132"/>
      <c r="R46" s="147" t="str">
        <f t="shared" ref="R46:R53" si="231">IF(AND(L46="Rendah",O46="Rendah"),"Oke masih dalam batasan",IF(AND(L46="Sedang",O46="Rendah"),"Lihat Psikogram &amp; interpretasi, akan di tolerir atau akan ditanyakan saat interview","Lihat Psikogram &amp; interpretasi, WAJIB di perdalam saat interview"))</f>
        <v>Lihat Psikogram &amp; interpretasi, WAJIB di perdalam saat interview</v>
      </c>
      <c r="S46" s="147"/>
      <c r="T46" s="147"/>
      <c r="U46" s="147"/>
      <c r="V46" s="147"/>
      <c r="W46" s="147"/>
      <c r="X46" s="147"/>
      <c r="Y46" s="147"/>
      <c r="Z46" s="147"/>
      <c r="AA46" s="147"/>
      <c r="AB46" s="147"/>
      <c r="AC46" s="147"/>
      <c r="AD46" s="147"/>
      <c r="AE46" s="147"/>
      <c r="AF46" s="147"/>
      <c r="AG46" s="147"/>
      <c r="AH46" s="147"/>
      <c r="AI46" s="79"/>
      <c r="AJ46" s="79"/>
      <c r="AK46" s="79"/>
      <c r="AL46" s="79"/>
      <c r="AM46" s="79"/>
      <c r="AN46" s="79"/>
      <c r="AO46" s="79"/>
      <c r="AP46" s="79"/>
      <c r="AQ46" s="79"/>
      <c r="AT46" s="70">
        <f t="shared" si="0"/>
        <v>42</v>
      </c>
      <c r="AU46" s="70">
        <f>Soal!M61</f>
        <v>0</v>
      </c>
      <c r="AV46" s="70" t="str">
        <f>Soal!N61</f>
        <v>x</v>
      </c>
    </row>
    <row r="47" spans="2:48" x14ac:dyDescent="0.3">
      <c r="B47" s="45">
        <f>B46+1</f>
        <v>2</v>
      </c>
      <c r="C47" s="126" t="s">
        <v>171</v>
      </c>
      <c r="D47" s="124"/>
      <c r="E47" s="124"/>
      <c r="F47" s="124"/>
      <c r="G47" s="124"/>
      <c r="H47" s="124"/>
      <c r="I47" s="125"/>
      <c r="J47" s="89" t="s">
        <v>164</v>
      </c>
      <c r="K47" s="89">
        <f>$AQ$13</f>
        <v>0</v>
      </c>
      <c r="L47" s="97" t="str">
        <f>IF(AND($K$47&gt;=0,$K$47&lt;=8),"Rendah",IF(AND($K$47&gt;=9,$K$47&lt;=10),"Sedang","Tinggi"))</f>
        <v>Rendah</v>
      </c>
      <c r="M47" s="98"/>
      <c r="N47" s="99"/>
      <c r="O47" s="133" t="s">
        <v>197</v>
      </c>
      <c r="P47" s="134"/>
      <c r="Q47" s="135"/>
      <c r="R47" s="148" t="str">
        <f t="shared" si="231"/>
        <v>Oke masih dalam batasan</v>
      </c>
      <c r="S47" s="148"/>
      <c r="T47" s="148"/>
      <c r="U47" s="148"/>
      <c r="V47" s="148"/>
      <c r="W47" s="148"/>
      <c r="X47" s="148"/>
      <c r="Y47" s="148"/>
      <c r="Z47" s="148"/>
      <c r="AA47" s="148"/>
      <c r="AB47" s="148"/>
      <c r="AC47" s="148"/>
      <c r="AD47" s="148"/>
      <c r="AE47" s="148"/>
      <c r="AF47" s="148"/>
      <c r="AG47" s="148"/>
      <c r="AH47" s="148"/>
      <c r="AI47" s="79"/>
      <c r="AJ47" s="79"/>
      <c r="AK47" s="79"/>
      <c r="AL47" s="79"/>
      <c r="AM47" s="79"/>
      <c r="AN47" s="79"/>
      <c r="AO47" s="79"/>
      <c r="AP47" s="79"/>
      <c r="AQ47" s="79"/>
      <c r="AT47" s="70">
        <f t="shared" si="0"/>
        <v>43</v>
      </c>
      <c r="AU47" s="70">
        <f>Soal!M62</f>
        <v>0</v>
      </c>
      <c r="AV47" s="70" t="str">
        <f>Soal!N62</f>
        <v>x</v>
      </c>
    </row>
    <row r="48" spans="2:48" x14ac:dyDescent="0.3">
      <c r="B48" s="46">
        <f t="shared" ref="B48:B53" si="232">B47+1</f>
        <v>3</v>
      </c>
      <c r="C48" s="123" t="s">
        <v>172</v>
      </c>
      <c r="D48" s="124"/>
      <c r="E48" s="124"/>
      <c r="F48" s="124"/>
      <c r="G48" s="124"/>
      <c r="H48" s="124"/>
      <c r="I48" s="125"/>
      <c r="J48" s="43" t="s">
        <v>165</v>
      </c>
      <c r="K48" s="43">
        <f>$AQ$15</f>
        <v>8</v>
      </c>
      <c r="L48" s="137" t="str">
        <f>IF(AND($K$48&gt;=0,$K$48&lt;=4),"Rendah",IF(AND($K$48&gt;=5,$K$48&lt;=9),"Sedang","Tinggi"))</f>
        <v>Sedang</v>
      </c>
      <c r="M48" s="138"/>
      <c r="N48" s="139"/>
      <c r="O48" s="130" t="s">
        <v>197</v>
      </c>
      <c r="P48" s="131"/>
      <c r="Q48" s="132"/>
      <c r="R48" s="147" t="str">
        <f t="shared" si="231"/>
        <v>Lihat Psikogram &amp; interpretasi, akan di tolerir atau akan ditanyakan saat interview</v>
      </c>
      <c r="S48" s="147"/>
      <c r="T48" s="147"/>
      <c r="U48" s="147"/>
      <c r="V48" s="147"/>
      <c r="W48" s="147"/>
      <c r="X48" s="147"/>
      <c r="Y48" s="147"/>
      <c r="Z48" s="147"/>
      <c r="AA48" s="147"/>
      <c r="AB48" s="147"/>
      <c r="AC48" s="147"/>
      <c r="AD48" s="147"/>
      <c r="AE48" s="147"/>
      <c r="AF48" s="147"/>
      <c r="AG48" s="147"/>
      <c r="AH48" s="147"/>
      <c r="AI48" s="79"/>
      <c r="AJ48" s="79"/>
      <c r="AK48" s="79"/>
      <c r="AL48" s="79"/>
      <c r="AM48" s="79"/>
      <c r="AN48" s="79"/>
      <c r="AO48" s="79"/>
      <c r="AP48" s="79"/>
      <c r="AQ48" s="79"/>
      <c r="AT48" s="70">
        <f t="shared" si="0"/>
        <v>44</v>
      </c>
      <c r="AU48" s="70">
        <f>Soal!M63</f>
        <v>0</v>
      </c>
      <c r="AV48" s="70" t="str">
        <f>Soal!N63</f>
        <v>x</v>
      </c>
    </row>
    <row r="49" spans="2:48" x14ac:dyDescent="0.3">
      <c r="B49" s="45">
        <f t="shared" si="232"/>
        <v>4</v>
      </c>
      <c r="C49" s="126" t="s">
        <v>173</v>
      </c>
      <c r="D49" s="124"/>
      <c r="E49" s="124"/>
      <c r="F49" s="124"/>
      <c r="G49" s="124"/>
      <c r="H49" s="124"/>
      <c r="I49" s="125"/>
      <c r="J49" s="89" t="s">
        <v>166</v>
      </c>
      <c r="K49" s="89">
        <f>$AQ$17</f>
        <v>1</v>
      </c>
      <c r="L49" s="97" t="str">
        <f>IF(AND($K$49&gt;=0,$K$49&lt;=8),"Rendah",IF(AND($K$49&gt;=9,$K$49&lt;=11),"Sedang","Tinggi"))</f>
        <v>Rendah</v>
      </c>
      <c r="M49" s="98"/>
      <c r="N49" s="99"/>
      <c r="O49" s="133" t="s">
        <v>197</v>
      </c>
      <c r="P49" s="134"/>
      <c r="Q49" s="135"/>
      <c r="R49" s="148" t="str">
        <f t="shared" si="231"/>
        <v>Oke masih dalam batasan</v>
      </c>
      <c r="S49" s="148"/>
      <c r="T49" s="148"/>
      <c r="U49" s="148"/>
      <c r="V49" s="148"/>
      <c r="W49" s="148"/>
      <c r="X49" s="148"/>
      <c r="Y49" s="148"/>
      <c r="Z49" s="148"/>
      <c r="AA49" s="148"/>
      <c r="AB49" s="148"/>
      <c r="AC49" s="148"/>
      <c r="AD49" s="148"/>
      <c r="AE49" s="148"/>
      <c r="AF49" s="148"/>
      <c r="AG49" s="148"/>
      <c r="AH49" s="148"/>
      <c r="AI49" s="81"/>
      <c r="AJ49" s="81"/>
      <c r="AK49" s="79"/>
      <c r="AL49" s="80"/>
      <c r="AM49" s="81"/>
      <c r="AN49" s="81"/>
      <c r="AO49" s="79"/>
      <c r="AP49" s="79"/>
      <c r="AQ49" s="79"/>
      <c r="AT49" s="70">
        <f t="shared" si="0"/>
        <v>45</v>
      </c>
      <c r="AU49" s="70">
        <f>Soal!M64</f>
        <v>0</v>
      </c>
      <c r="AV49" s="70" t="str">
        <f>Soal!N64</f>
        <v>x</v>
      </c>
    </row>
    <row r="50" spans="2:48" x14ac:dyDescent="0.25">
      <c r="B50" s="46">
        <f t="shared" si="232"/>
        <v>5</v>
      </c>
      <c r="C50" s="123" t="s">
        <v>174</v>
      </c>
      <c r="D50" s="124"/>
      <c r="E50" s="124"/>
      <c r="F50" s="124"/>
      <c r="G50" s="124"/>
      <c r="H50" s="124"/>
      <c r="I50" s="125"/>
      <c r="J50" s="43" t="s">
        <v>167</v>
      </c>
      <c r="K50" s="43">
        <f>$AQ$19</f>
        <v>5</v>
      </c>
      <c r="L50" s="137" t="str">
        <f>IF(AND($K$50&gt;=0,$K$50&lt;=5),"Rendah",IF(AND($K$50&gt;=6,$K$50&lt;=10),"Sedang","Tinggi"))</f>
        <v>Rendah</v>
      </c>
      <c r="M50" s="138"/>
      <c r="N50" s="139"/>
      <c r="O50" s="130" t="s">
        <v>197</v>
      </c>
      <c r="P50" s="131"/>
      <c r="Q50" s="132"/>
      <c r="R50" s="147" t="str">
        <f t="shared" si="231"/>
        <v>Oke masih dalam batasan</v>
      </c>
      <c r="S50" s="147"/>
      <c r="T50" s="147"/>
      <c r="U50" s="147"/>
      <c r="V50" s="147"/>
      <c r="W50" s="147"/>
      <c r="X50" s="147"/>
      <c r="Y50" s="147"/>
      <c r="Z50" s="147"/>
      <c r="AA50" s="147"/>
      <c r="AB50" s="147"/>
      <c r="AC50" s="147"/>
      <c r="AD50" s="147"/>
      <c r="AE50" s="147"/>
      <c r="AF50" s="147"/>
      <c r="AG50" s="147"/>
      <c r="AH50" s="147"/>
      <c r="AI50" s="78"/>
      <c r="AJ50" s="78"/>
      <c r="AK50" s="79"/>
      <c r="AL50" s="78"/>
      <c r="AM50" s="78"/>
      <c r="AN50" s="78"/>
      <c r="AO50" s="78"/>
      <c r="AP50" s="145"/>
      <c r="AQ50" s="145"/>
      <c r="AT50" s="70">
        <f t="shared" si="0"/>
        <v>46</v>
      </c>
      <c r="AU50" s="70">
        <f>Soal!M65</f>
        <v>0</v>
      </c>
      <c r="AV50" s="70" t="str">
        <f>Soal!N65</f>
        <v>x</v>
      </c>
    </row>
    <row r="51" spans="2:48" x14ac:dyDescent="0.25">
      <c r="B51" s="45">
        <f t="shared" si="232"/>
        <v>6</v>
      </c>
      <c r="C51" s="126" t="s">
        <v>175</v>
      </c>
      <c r="D51" s="124"/>
      <c r="E51" s="124"/>
      <c r="F51" s="124"/>
      <c r="G51" s="124"/>
      <c r="H51" s="124"/>
      <c r="I51" s="125"/>
      <c r="J51" s="89" t="s">
        <v>168</v>
      </c>
      <c r="K51" s="89">
        <f>$AQ$21</f>
        <v>0</v>
      </c>
      <c r="L51" s="97" t="str">
        <f>IF(AND($K$51&gt;=0,$K$51&lt;=8),"Rendah",IF(AND($K$51&gt;=9,$K$51&lt;=10),"Sedang","Tinggi"))</f>
        <v>Rendah</v>
      </c>
      <c r="M51" s="98"/>
      <c r="N51" s="99"/>
      <c r="O51" s="133" t="s">
        <v>197</v>
      </c>
      <c r="P51" s="134"/>
      <c r="Q51" s="135"/>
      <c r="R51" s="148" t="str">
        <f t="shared" si="231"/>
        <v>Oke masih dalam batasan</v>
      </c>
      <c r="S51" s="148"/>
      <c r="T51" s="148"/>
      <c r="U51" s="148"/>
      <c r="V51" s="148"/>
      <c r="W51" s="148"/>
      <c r="X51" s="148"/>
      <c r="Y51" s="148"/>
      <c r="Z51" s="148"/>
      <c r="AA51" s="148"/>
      <c r="AB51" s="148"/>
      <c r="AC51" s="148"/>
      <c r="AD51" s="148"/>
      <c r="AE51" s="148"/>
      <c r="AF51" s="148"/>
      <c r="AG51" s="148"/>
      <c r="AH51" s="148"/>
      <c r="AI51" s="78"/>
      <c r="AJ51" s="78"/>
      <c r="AK51" s="79"/>
      <c r="AL51" s="78"/>
      <c r="AM51" s="78"/>
      <c r="AN51" s="78"/>
      <c r="AO51" s="79"/>
      <c r="AP51" s="145"/>
      <c r="AQ51" s="145"/>
      <c r="AT51" s="70">
        <f t="shared" si="0"/>
        <v>47</v>
      </c>
      <c r="AU51" s="70">
        <f>Soal!M66</f>
        <v>0</v>
      </c>
      <c r="AV51" s="70" t="str">
        <f>Soal!N66</f>
        <v>x</v>
      </c>
    </row>
    <row r="52" spans="2:48" x14ac:dyDescent="0.25">
      <c r="B52" s="46">
        <f t="shared" si="232"/>
        <v>7</v>
      </c>
      <c r="C52" s="123" t="s">
        <v>176</v>
      </c>
      <c r="D52" s="124"/>
      <c r="E52" s="124"/>
      <c r="F52" s="124"/>
      <c r="G52" s="124"/>
      <c r="H52" s="124"/>
      <c r="I52" s="125"/>
      <c r="J52" s="47" t="s">
        <v>169</v>
      </c>
      <c r="K52" s="47">
        <f>$AQ$23</f>
        <v>5</v>
      </c>
      <c r="L52" s="137" t="str">
        <f>IF(AND($K$52&gt;=0,$K$52&lt;=14),"Rendah",IF(AND($K$52&gt;=15,$K$52&lt;=16),"Sedang","tinggi"))</f>
        <v>Rendah</v>
      </c>
      <c r="M52" s="138"/>
      <c r="N52" s="139"/>
      <c r="O52" s="130" t="s">
        <v>197</v>
      </c>
      <c r="P52" s="131"/>
      <c r="Q52" s="132"/>
      <c r="R52" s="147" t="str">
        <f t="shared" si="231"/>
        <v>Oke masih dalam batasan</v>
      </c>
      <c r="S52" s="147"/>
      <c r="T52" s="147"/>
      <c r="U52" s="147"/>
      <c r="V52" s="147"/>
      <c r="W52" s="147"/>
      <c r="X52" s="147"/>
      <c r="Y52" s="147"/>
      <c r="Z52" s="147"/>
      <c r="AA52" s="147"/>
      <c r="AB52" s="147"/>
      <c r="AC52" s="147"/>
      <c r="AD52" s="147"/>
      <c r="AE52" s="147"/>
      <c r="AF52" s="147"/>
      <c r="AG52" s="147"/>
      <c r="AH52" s="147"/>
      <c r="AI52" s="78"/>
      <c r="AJ52" s="78"/>
      <c r="AK52" s="79"/>
      <c r="AL52" s="78"/>
      <c r="AM52" s="78"/>
      <c r="AN52" s="78"/>
      <c r="AO52" s="79"/>
      <c r="AP52" s="145"/>
      <c r="AQ52" s="145"/>
      <c r="AT52" s="70">
        <f t="shared" si="0"/>
        <v>48</v>
      </c>
      <c r="AU52" s="70">
        <f>Soal!M67</f>
        <v>0</v>
      </c>
      <c r="AV52" s="70" t="str">
        <f>Soal!N67</f>
        <v>x</v>
      </c>
    </row>
    <row r="53" spans="2:48" x14ac:dyDescent="0.25">
      <c r="B53" s="45">
        <f t="shared" si="232"/>
        <v>8</v>
      </c>
      <c r="C53" s="126" t="s">
        <v>192</v>
      </c>
      <c r="D53" s="124"/>
      <c r="E53" s="124"/>
      <c r="F53" s="124"/>
      <c r="G53" s="124"/>
      <c r="H53" s="124"/>
      <c r="I53" s="125"/>
      <c r="J53" s="89" t="s">
        <v>193</v>
      </c>
      <c r="K53" s="88">
        <f>SUM(K46:K52)</f>
        <v>34</v>
      </c>
      <c r="L53" s="97" t="str">
        <f>IF(AND($K$53&gt;=0,$K$53&lt;=38),"Rendah",IF(AND($K$53&gt;=39,$K$53&lt;=59),"Sedang","Tinggi"))</f>
        <v>Rendah</v>
      </c>
      <c r="M53" s="98"/>
      <c r="N53" s="99"/>
      <c r="O53" s="133" t="s">
        <v>197</v>
      </c>
      <c r="P53" s="134"/>
      <c r="Q53" s="135"/>
      <c r="R53" s="148" t="str">
        <f t="shared" si="231"/>
        <v>Oke masih dalam batasan</v>
      </c>
      <c r="S53" s="148"/>
      <c r="T53" s="148"/>
      <c r="U53" s="148"/>
      <c r="V53" s="148"/>
      <c r="W53" s="148"/>
      <c r="X53" s="148"/>
      <c r="Y53" s="148"/>
      <c r="Z53" s="148"/>
      <c r="AA53" s="148"/>
      <c r="AB53" s="148"/>
      <c r="AC53" s="148"/>
      <c r="AD53" s="148"/>
      <c r="AE53" s="148"/>
      <c r="AF53" s="148"/>
      <c r="AG53" s="148"/>
      <c r="AH53" s="148"/>
      <c r="AI53" s="78"/>
      <c r="AJ53" s="78"/>
      <c r="AK53" s="79"/>
      <c r="AL53" s="78"/>
      <c r="AM53" s="78"/>
      <c r="AN53" s="78"/>
      <c r="AO53" s="79"/>
      <c r="AP53" s="145"/>
      <c r="AQ53" s="145"/>
      <c r="AT53" s="70">
        <f t="shared" si="0"/>
        <v>49</v>
      </c>
      <c r="AU53" s="70">
        <f>Soal!M68</f>
        <v>0</v>
      </c>
      <c r="AV53" s="70" t="str">
        <f>Soal!N68</f>
        <v>x</v>
      </c>
    </row>
    <row r="54" spans="2:48" x14ac:dyDescent="0.25">
      <c r="B54" s="48"/>
      <c r="C54" s="49"/>
      <c r="D54" s="49"/>
      <c r="E54" s="49"/>
      <c r="F54" s="49"/>
      <c r="G54" s="49"/>
      <c r="H54" s="49"/>
      <c r="I54" s="49"/>
      <c r="J54" s="50"/>
      <c r="K54" s="50"/>
      <c r="L54" s="51"/>
      <c r="M54" s="50"/>
      <c r="N54" s="50"/>
      <c r="O54" s="51"/>
      <c r="P54" s="50"/>
      <c r="Q54" s="50"/>
      <c r="R54" s="51"/>
      <c r="S54" s="50"/>
      <c r="T54" s="50"/>
      <c r="U54" s="44"/>
      <c r="V54" s="44"/>
      <c r="W54" s="44"/>
      <c r="X54" s="44"/>
      <c r="Y54" s="44"/>
      <c r="Z54" s="44"/>
      <c r="AA54" s="44"/>
      <c r="AB54" s="44"/>
      <c r="AC54" s="79"/>
      <c r="AD54" s="78"/>
      <c r="AE54" s="78"/>
      <c r="AF54" s="78"/>
      <c r="AG54" s="79"/>
      <c r="AH54" s="78"/>
      <c r="AI54" s="78"/>
      <c r="AJ54" s="78"/>
      <c r="AK54" s="79"/>
      <c r="AL54" s="78"/>
      <c r="AM54" s="78"/>
      <c r="AN54" s="78"/>
      <c r="AO54" s="79"/>
      <c r="AP54" s="145"/>
      <c r="AQ54" s="145"/>
      <c r="AT54" s="70">
        <f t="shared" si="0"/>
        <v>50</v>
      </c>
      <c r="AU54" s="70">
        <f>Soal!M69</f>
        <v>0</v>
      </c>
      <c r="AV54" s="70" t="str">
        <f>Soal!N69</f>
        <v>x</v>
      </c>
    </row>
    <row r="55" spans="2:48" x14ac:dyDescent="0.25">
      <c r="D55" s="41"/>
      <c r="F55" s="41"/>
      <c r="G55" s="41"/>
      <c r="H55" s="41"/>
      <c r="J55" s="41"/>
      <c r="K55" s="41"/>
      <c r="L55" s="41"/>
      <c r="N55" s="41"/>
      <c r="O55" s="41"/>
      <c r="P55" s="41"/>
      <c r="R55" s="41"/>
      <c r="S55" s="41"/>
      <c r="T55" s="41"/>
      <c r="AC55" s="79"/>
      <c r="AD55" s="78"/>
      <c r="AE55" s="78"/>
      <c r="AF55" s="78"/>
      <c r="AG55" s="79"/>
      <c r="AH55" s="78"/>
      <c r="AI55" s="78"/>
      <c r="AJ55" s="78"/>
      <c r="AK55" s="79"/>
      <c r="AL55" s="78"/>
      <c r="AM55" s="78"/>
      <c r="AN55" s="78"/>
      <c r="AO55" s="79"/>
      <c r="AP55" s="145"/>
      <c r="AQ55" s="145"/>
      <c r="AT55" s="70">
        <f t="shared" si="0"/>
        <v>51</v>
      </c>
      <c r="AU55" s="70">
        <f>Soal!M70</f>
        <v>0</v>
      </c>
      <c r="AV55" s="70" t="str">
        <f>Soal!N70</f>
        <v>x</v>
      </c>
    </row>
    <row r="56" spans="2:48" x14ac:dyDescent="0.25">
      <c r="B56" s="143" t="s">
        <v>163</v>
      </c>
      <c r="C56" s="118" t="str">
        <f>IF($L$46="Rendah","- Cenderung teliti, dapat diandalkan, dapat dipercaya, dan terorganisasi di tempat kerja.",IF($L$46="Tinggi","- cenderung tidak dapat diandalkan, tidak dapat dipercaya, kurang dalam kesadaran, dan / atau tidak teratur di tempat kerja.","- Cenderung masih kurang dari sepenuhnya untuk dapat diandalkan, dapat dipercaya, teliti, atau terorganisir di tempat kerja."))</f>
        <v>- cenderung tidak dapat diandalkan, tidak dapat dipercaya, kurang dalam kesadaran, dan / atau tidak teratur di tempat kerja.</v>
      </c>
      <c r="D56" s="118"/>
      <c r="E56" s="118"/>
      <c r="F56" s="118"/>
      <c r="G56" s="118"/>
      <c r="H56" s="118"/>
      <c r="I56" s="118"/>
      <c r="J56" s="118"/>
      <c r="K56" s="118"/>
      <c r="L56" s="118"/>
      <c r="M56" s="118"/>
      <c r="N56" s="118"/>
      <c r="O56" s="118"/>
      <c r="P56" s="118"/>
      <c r="Q56" s="118"/>
      <c r="R56" s="118"/>
      <c r="S56" s="118"/>
      <c r="T56" s="118"/>
      <c r="U56" s="118"/>
      <c r="V56" s="118"/>
      <c r="W56" s="118"/>
      <c r="X56" s="118"/>
      <c r="Y56" s="118"/>
      <c r="Z56" s="118"/>
      <c r="AA56" s="118"/>
      <c r="AB56" s="118"/>
      <c r="AC56" s="79"/>
      <c r="AD56" s="78"/>
      <c r="AE56" s="78"/>
      <c r="AF56" s="78"/>
      <c r="AG56" s="79"/>
      <c r="AH56" s="78"/>
      <c r="AI56" s="78"/>
      <c r="AJ56" s="78"/>
      <c r="AK56" s="79"/>
      <c r="AL56" s="78"/>
      <c r="AM56" s="78"/>
      <c r="AN56" s="78"/>
      <c r="AO56" s="79"/>
      <c r="AP56" s="145"/>
      <c r="AQ56" s="145"/>
      <c r="AT56" s="70">
        <f t="shared" si="0"/>
        <v>52</v>
      </c>
      <c r="AU56" s="70">
        <f>Soal!M71</f>
        <v>0</v>
      </c>
      <c r="AV56" s="70" t="str">
        <f>Soal!N71</f>
        <v>x</v>
      </c>
    </row>
    <row r="57" spans="2:48" x14ac:dyDescent="0.25">
      <c r="B57" s="143"/>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c r="AA57" s="118"/>
      <c r="AB57" s="118"/>
      <c r="AC57" s="79"/>
      <c r="AD57" s="78"/>
      <c r="AE57" s="78"/>
      <c r="AF57" s="78"/>
      <c r="AG57" s="79"/>
      <c r="AH57" s="78"/>
      <c r="AI57" s="78"/>
      <c r="AJ57" s="78"/>
      <c r="AK57" s="79"/>
      <c r="AL57" s="78"/>
      <c r="AM57" s="78"/>
      <c r="AN57" s="78"/>
      <c r="AO57" s="79"/>
      <c r="AP57" s="145"/>
      <c r="AQ57" s="145"/>
      <c r="AT57" s="70">
        <f t="shared" si="0"/>
        <v>53</v>
      </c>
      <c r="AU57" s="70">
        <f>Soal!M72</f>
        <v>0</v>
      </c>
      <c r="AV57" s="70" t="str">
        <f>Soal!N72</f>
        <v>x</v>
      </c>
    </row>
    <row r="58" spans="2:48" x14ac:dyDescent="0.25">
      <c r="B58" s="143" t="s">
        <v>164</v>
      </c>
      <c r="C58" s="118" t="str">
        <f>IF($L$47="Rendah","- Cenderung dapat menangani perasaan permusuhan dengan baik dan tidak mungkin menjadi pengganggu di tempat kerja melalui kemarahan atau agresi.",IF($L$47="Tinggi","- Cenderung dapat bermusuhan, menjadi mudah marah, memiliki kendali diri yang buruk, dan mengganggu di tempat kerja..","- Cenderung masih kurang dapat sepenuhnya mengendalikan kemarahan dan permusuhan di tempat kerja."))</f>
        <v>- Cenderung dapat menangani perasaan permusuhan dengan baik dan tidak mungkin menjadi pengganggu di tempat kerja melalui kemarahan atau agresi.</v>
      </c>
      <c r="D58" s="118"/>
      <c r="E58" s="118"/>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79"/>
      <c r="AD58" s="78"/>
      <c r="AE58" s="78"/>
      <c r="AF58" s="78"/>
      <c r="AG58" s="79"/>
      <c r="AH58" s="78"/>
      <c r="AI58" s="78"/>
      <c r="AJ58" s="78"/>
      <c r="AK58" s="79"/>
      <c r="AL58" s="78"/>
      <c r="AM58" s="78"/>
      <c r="AN58" s="78"/>
      <c r="AO58" s="79"/>
      <c r="AP58" s="145"/>
      <c r="AQ58" s="145"/>
      <c r="AT58" s="70">
        <f t="shared" si="0"/>
        <v>54</v>
      </c>
      <c r="AU58" s="70">
        <f>Soal!M73</f>
        <v>0</v>
      </c>
      <c r="AV58" s="70" t="str">
        <f>Soal!N73</f>
        <v>x</v>
      </c>
    </row>
    <row r="59" spans="2:48" x14ac:dyDescent="0.25">
      <c r="B59" s="144"/>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c r="AA59" s="118"/>
      <c r="AB59" s="118"/>
      <c r="AC59" s="79"/>
      <c r="AD59" s="78"/>
      <c r="AE59" s="78"/>
      <c r="AF59" s="78"/>
      <c r="AG59" s="79"/>
      <c r="AH59" s="78"/>
      <c r="AI59" s="78"/>
      <c r="AJ59" s="78"/>
      <c r="AK59" s="79"/>
      <c r="AL59" s="78"/>
      <c r="AM59" s="78"/>
      <c r="AN59" s="78"/>
      <c r="AO59" s="79"/>
      <c r="AP59" s="145"/>
      <c r="AQ59" s="145"/>
      <c r="AT59" s="70">
        <f t="shared" si="0"/>
        <v>55</v>
      </c>
      <c r="AU59" s="70">
        <f>Soal!M74</f>
        <v>0</v>
      </c>
      <c r="AV59" s="70" t="str">
        <f>Soal!N74</f>
        <v>x</v>
      </c>
    </row>
    <row r="60" spans="2:48" x14ac:dyDescent="0.25">
      <c r="B60" s="143" t="s">
        <v>165</v>
      </c>
      <c r="C60" s="118" t="str">
        <f>IF($L$48="Rendah","- Cenderung tidak mungkin menggunakan alkohol atau obat-obatan terlarang di tempat kerja dan tidak mungkin mengganggu di tempat kerja karena penyalahgunaan zat.",IF($L$48="Tinggi","- Cenderung dapat  menyalahgunakan obat-obatan terlarang dan alkohol di tempat kerja dan membiarkan penggunaannya oleh orang lain.","- Ada kemungkin sebagai pengguna obat-obatan terlarang atau alkohol di tempat kerja dan mungkin masih terlalu bersedia untuk mentolerir penggunaannya oleh orang lain."))</f>
        <v>- Ada kemungkin sebagai pengguna obat-obatan terlarang atau alkohol di tempat kerja dan mungkin masih terlalu bersedia untuk mentolerir penggunaannya oleh orang lain.</v>
      </c>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79"/>
      <c r="AD60" s="78"/>
      <c r="AE60" s="78"/>
      <c r="AF60" s="78"/>
      <c r="AG60" s="79"/>
      <c r="AH60" s="78"/>
      <c r="AI60" s="78"/>
      <c r="AJ60" s="78"/>
      <c r="AK60" s="79"/>
      <c r="AL60" s="78"/>
      <c r="AM60" s="78"/>
      <c r="AN60" s="78"/>
      <c r="AO60" s="79"/>
      <c r="AP60" s="145"/>
      <c r="AQ60" s="145"/>
      <c r="AT60" s="70">
        <f t="shared" si="0"/>
        <v>56</v>
      </c>
      <c r="AU60" s="70">
        <f>Soal!M75</f>
        <v>0</v>
      </c>
      <c r="AV60" s="70" t="str">
        <f>Soal!N75</f>
        <v>x</v>
      </c>
    </row>
    <row r="61" spans="2:48" x14ac:dyDescent="0.25">
      <c r="B61" s="144"/>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c r="AA61" s="118"/>
      <c r="AB61" s="118"/>
      <c r="AC61" s="79"/>
      <c r="AD61" s="78"/>
      <c r="AE61" s="78"/>
      <c r="AF61" s="78"/>
      <c r="AG61" s="79"/>
      <c r="AH61" s="78"/>
      <c r="AI61" s="78"/>
      <c r="AJ61" s="78"/>
      <c r="AK61" s="79"/>
      <c r="AL61" s="78"/>
      <c r="AM61" s="78"/>
      <c r="AN61" s="78"/>
      <c r="AO61" s="79"/>
      <c r="AP61" s="145"/>
      <c r="AQ61" s="145"/>
      <c r="AT61" s="70">
        <f t="shared" si="0"/>
        <v>57</v>
      </c>
      <c r="AU61" s="70">
        <f>Soal!M76</f>
        <v>0</v>
      </c>
      <c r="AV61" s="70" t="str">
        <f>Soal!N76</f>
        <v>x</v>
      </c>
    </row>
    <row r="62" spans="2:48" x14ac:dyDescent="0.25">
      <c r="B62" s="143" t="s">
        <v>166</v>
      </c>
      <c r="C62" s="118" t="str">
        <f>IF($L$49="Rendah","- Cenderung jujur bekerja dan tidak mungkin menyebabkan masalah di tempat kerja.",IF($L$49="Tinggi","- Cenderung tidak jujur dan membiarkan ketidakjujuran orang lain.","- Ada kecenderungan atau mungkin akan mencuri dari perusahaan dan mungkin terlalu bersedia untuk memaafkan perilaku seperti itu oleh orang lain di tempat kerja."))</f>
        <v>- Cenderung jujur bekerja dan tidak mungkin menyebabkan masalah di tempat kerja.</v>
      </c>
      <c r="D62" s="118"/>
      <c r="E62" s="118"/>
      <c r="F62" s="118"/>
      <c r="G62" s="118"/>
      <c r="H62" s="118"/>
      <c r="I62" s="118"/>
      <c r="J62" s="118"/>
      <c r="K62" s="118"/>
      <c r="L62" s="118"/>
      <c r="M62" s="118"/>
      <c r="N62" s="118"/>
      <c r="O62" s="118"/>
      <c r="P62" s="118"/>
      <c r="Q62" s="118"/>
      <c r="R62" s="118"/>
      <c r="S62" s="118"/>
      <c r="T62" s="118"/>
      <c r="U62" s="118"/>
      <c r="V62" s="118"/>
      <c r="W62" s="118"/>
      <c r="X62" s="118"/>
      <c r="Y62" s="118"/>
      <c r="Z62" s="118"/>
      <c r="AA62" s="118"/>
      <c r="AB62" s="118"/>
      <c r="AC62" s="79"/>
      <c r="AD62" s="78"/>
      <c r="AE62" s="78"/>
      <c r="AF62" s="78"/>
      <c r="AG62" s="79"/>
      <c r="AH62" s="78"/>
      <c r="AI62" s="78"/>
      <c r="AJ62" s="78"/>
      <c r="AK62" s="79"/>
      <c r="AL62" s="78"/>
      <c r="AM62" s="78"/>
      <c r="AN62" s="78"/>
      <c r="AO62" s="79"/>
      <c r="AP62" s="145"/>
      <c r="AQ62" s="145"/>
      <c r="AT62" s="70">
        <f t="shared" si="0"/>
        <v>58</v>
      </c>
      <c r="AU62" s="70">
        <f>Soal!M77</f>
        <v>0</v>
      </c>
      <c r="AV62" s="70" t="str">
        <f>Soal!N77</f>
        <v>x</v>
      </c>
    </row>
    <row r="63" spans="2:48" x14ac:dyDescent="0.25">
      <c r="B63" s="144"/>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79"/>
      <c r="AD63" s="78"/>
      <c r="AE63" s="78"/>
      <c r="AF63" s="78"/>
      <c r="AG63" s="79"/>
      <c r="AH63" s="78"/>
      <c r="AI63" s="78"/>
      <c r="AJ63" s="78"/>
      <c r="AK63" s="79"/>
      <c r="AL63" s="78"/>
      <c r="AM63" s="78"/>
      <c r="AN63" s="78"/>
      <c r="AO63" s="79"/>
      <c r="AP63" s="145"/>
      <c r="AQ63" s="145"/>
      <c r="AT63" s="70">
        <f t="shared" si="0"/>
        <v>59</v>
      </c>
      <c r="AU63" s="70">
        <f>Soal!M78</f>
        <v>0</v>
      </c>
      <c r="AV63" s="70" t="str">
        <f>Soal!N78</f>
        <v>x</v>
      </c>
    </row>
    <row r="64" spans="2:48" x14ac:dyDescent="0.25">
      <c r="B64" s="143" t="s">
        <v>167</v>
      </c>
      <c r="C64" s="118" t="str">
        <f>IF($L$50="Rendah","- Cenderung tidak mungkin menyalahgunakan pemakaian komputer di tempat kerja dan tidak mungkin menyebabkan masalah kerja.",IF($L$50="Tinggi","- Cenderung menyalahgunakan komputer dan membiarkan penyalahgunaan oleh orang lain.","- Ada kecenderungan atau mungkin akan menggunakan komputer dengan cara yang tidak pantas atau mengganggu dan mungkin bersedia untuk memaafkan perilaku tersebut oleh orang lain di tempat kerja."))</f>
        <v>- Cenderung tidak mungkin menyalahgunakan pemakaian komputer di tempat kerja dan tidak mungkin menyebabkan masalah kerja.</v>
      </c>
      <c r="D64" s="118"/>
      <c r="E64" s="118"/>
      <c r="F64" s="118"/>
      <c r="G64" s="118"/>
      <c r="H64" s="118"/>
      <c r="I64" s="118"/>
      <c r="J64" s="118"/>
      <c r="K64" s="118"/>
      <c r="L64" s="118"/>
      <c r="M64" s="118"/>
      <c r="N64" s="118"/>
      <c r="O64" s="118"/>
      <c r="P64" s="118"/>
      <c r="Q64" s="118"/>
      <c r="R64" s="118"/>
      <c r="S64" s="118"/>
      <c r="T64" s="118"/>
      <c r="U64" s="118"/>
      <c r="V64" s="118"/>
      <c r="W64" s="118"/>
      <c r="X64" s="118"/>
      <c r="Y64" s="118"/>
      <c r="Z64" s="118"/>
      <c r="AA64" s="118"/>
      <c r="AB64" s="118"/>
      <c r="AC64" s="79"/>
      <c r="AD64" s="79"/>
      <c r="AE64" s="79"/>
      <c r="AF64" s="78"/>
      <c r="AG64" s="79"/>
      <c r="AH64" s="79"/>
      <c r="AI64" s="79"/>
      <c r="AJ64" s="78"/>
      <c r="AK64" s="79"/>
      <c r="AL64" s="79"/>
      <c r="AM64" s="79"/>
      <c r="AN64" s="78"/>
      <c r="AO64" s="79"/>
      <c r="AP64" s="79"/>
      <c r="AQ64" s="79"/>
      <c r="AT64" s="70">
        <f t="shared" si="0"/>
        <v>60</v>
      </c>
      <c r="AU64" s="70">
        <f>Soal!M79</f>
        <v>0</v>
      </c>
      <c r="AV64" s="70" t="str">
        <f>Soal!N79</f>
        <v>x</v>
      </c>
    </row>
    <row r="65" spans="2:52" x14ac:dyDescent="0.25">
      <c r="B65" s="144"/>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c r="AA65" s="118"/>
      <c r="AB65" s="118"/>
      <c r="AC65" s="79"/>
      <c r="AD65" s="79"/>
      <c r="AE65" s="79"/>
      <c r="AF65" s="79"/>
      <c r="AG65" s="79"/>
      <c r="AH65" s="79"/>
      <c r="AI65" s="79"/>
      <c r="AJ65" s="79"/>
      <c r="AK65" s="79"/>
      <c r="AL65" s="79"/>
      <c r="AM65" s="79"/>
      <c r="AN65" s="79"/>
      <c r="AO65" s="79"/>
      <c r="AP65" s="79"/>
      <c r="AQ65" s="79"/>
      <c r="AT65" s="70">
        <f t="shared" si="0"/>
        <v>61</v>
      </c>
      <c r="AU65" s="70">
        <f>Soal!M80</f>
        <v>0</v>
      </c>
      <c r="AV65" s="70" t="str">
        <f>Soal!N80</f>
        <v>x</v>
      </c>
    </row>
    <row r="66" spans="2:52" x14ac:dyDescent="0.25">
      <c r="B66" s="143" t="s">
        <v>168</v>
      </c>
      <c r="C66" s="118" t="str">
        <f>IF($L$51="Rendah","- Cenderung tidak mungkin melakukan pelecehan seksual kepada rekan kerja, baik secara fisik maupun lisan, dan tidak mungkin menyebabkan masalah kerja.",IF($L$51="Tinggi","- Cenderung berpotensi untuk terlibat dalam pelecehan seksual yang akan mengganggu di tempat kerja. kemungkinan akan dilihat oleh orang lain, khususnya mereka dari lawan jenis, karena sering terlibat dalam pelecehan seksual yang serius.","- Ada kecenderungan akan terlibat dalam perilaku yang dilihat oleh orang lain sebagai pelecehan seksual, termasuk komentar yang tidak pantas, penceritaan lelucon yang berorientasi seksual, dan tindakan-tindakan provokatif seksual yang lebih jelas."))</f>
        <v>- Cenderung tidak mungkin melakukan pelecehan seksual kepada rekan kerja, baik secara fisik maupun lisan, dan tidak mungkin menyebabkan masalah kerja.</v>
      </c>
      <c r="D66" s="118"/>
      <c r="E66" s="118"/>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T66" s="70">
        <f t="shared" si="0"/>
        <v>62</v>
      </c>
      <c r="AU66" s="70">
        <f>Soal!M81</f>
        <v>0</v>
      </c>
      <c r="AV66" s="70" t="str">
        <f>Soal!N81</f>
        <v>x</v>
      </c>
    </row>
    <row r="67" spans="2:52" x14ac:dyDescent="0.25">
      <c r="B67" s="144"/>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T67" s="70">
        <f t="shared" si="0"/>
        <v>63</v>
      </c>
      <c r="AU67" s="70">
        <f>Soal!M82</f>
        <v>0</v>
      </c>
      <c r="AV67" s="70" t="str">
        <f>Soal!N82</f>
        <v>x</v>
      </c>
    </row>
    <row r="68" spans="2:52" ht="15.75" customHeight="1" x14ac:dyDescent="0.25">
      <c r="B68" s="143" t="s">
        <v>169</v>
      </c>
      <c r="C68" s="118" t="str">
        <f>IF($L$52="Rendah","- Cenderung berpeluang melakukan kesalahan/penyimpangan pada batas normal/wajar.",IF($L$52="Tinggi","- Cenderung berpeluang melakukan penyimpangan di luar batas kewajaran. Terkesan menutupi/ berusaha memberikan kesan baik.","- Ada kecenderungan menginginkan pekerjaan yang mereka harapkan sehingga ada upaya sadar atau tidak sadar untuk menciptakan kesan yang baik untuk di munculkan."))</f>
        <v>- Cenderung berpeluang melakukan kesalahan/penyimpangan pada batas normal/wajar.</v>
      </c>
      <c r="D68" s="118"/>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44"/>
      <c r="AD68" s="44"/>
      <c r="AE68" s="44"/>
      <c r="AF68" s="44"/>
      <c r="AG68" s="44"/>
      <c r="AH68" s="44"/>
      <c r="AI68" s="44"/>
      <c r="AJ68" s="44"/>
      <c r="AK68" s="44"/>
      <c r="AL68" s="44"/>
      <c r="AM68" s="44"/>
      <c r="AN68" s="44"/>
      <c r="AO68" s="44"/>
      <c r="AP68" s="44"/>
      <c r="AQ68" s="44"/>
      <c r="AR68" s="44"/>
      <c r="AS68" s="44"/>
      <c r="AT68" s="70">
        <f t="shared" si="0"/>
        <v>64</v>
      </c>
      <c r="AU68" s="70">
        <f>Soal!M83</f>
        <v>0</v>
      </c>
      <c r="AV68" s="70" t="str">
        <f>Soal!N83</f>
        <v>x</v>
      </c>
      <c r="AW68" s="44"/>
      <c r="AX68" s="44"/>
      <c r="AY68" s="44"/>
      <c r="AZ68" s="44"/>
    </row>
    <row r="69" spans="2:52" ht="15" customHeight="1" x14ac:dyDescent="0.25">
      <c r="B69" s="144"/>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c r="AA69" s="118"/>
      <c r="AB69" s="118"/>
      <c r="AC69" s="44"/>
      <c r="AD69" s="44"/>
      <c r="AE69" s="44"/>
      <c r="AF69" s="44"/>
      <c r="AG69" s="44"/>
      <c r="AH69" s="44"/>
      <c r="AI69" s="44"/>
      <c r="AJ69" s="44"/>
      <c r="AK69" s="44"/>
      <c r="AL69" s="44"/>
      <c r="AM69" s="44"/>
      <c r="AN69" s="44"/>
      <c r="AO69" s="44"/>
      <c r="AP69" s="44"/>
      <c r="AQ69" s="44"/>
      <c r="AR69" s="44"/>
      <c r="AS69" s="44"/>
      <c r="AT69" s="70">
        <f t="shared" si="0"/>
        <v>65</v>
      </c>
      <c r="AU69" s="70">
        <f>Soal!M84</f>
        <v>0</v>
      </c>
      <c r="AV69" s="70" t="str">
        <f>Soal!N84</f>
        <v>x</v>
      </c>
      <c r="AW69" s="44"/>
      <c r="AX69" s="44"/>
      <c r="AY69" s="44"/>
      <c r="AZ69" s="44"/>
    </row>
    <row r="70" spans="2:52" ht="15" customHeight="1" x14ac:dyDescent="0.25">
      <c r="B70" s="143" t="s">
        <v>193</v>
      </c>
      <c r="C70" s="118" t="str">
        <f>IF($L$53="Rendah","- Cenderung kecil kemungkinan melakukan perbuatan yang menyimpang.",IF($L$53="Tinggi","- Cenderung ada indikasi atau besar berpeluang melakukan perbuatan menyimpang.","- Ada kecenderungan melakukan perbuatan yang menyimpang namun masih dengan pertimbangan normatif."))</f>
        <v>- Cenderung kecil kemungkinan melakukan perbuatan yang menyimpang.</v>
      </c>
      <c r="D70" s="118"/>
      <c r="E70" s="118"/>
      <c r="F70" s="118"/>
      <c r="G70" s="118"/>
      <c r="H70" s="118"/>
      <c r="I70" s="118"/>
      <c r="J70" s="118"/>
      <c r="K70" s="118"/>
      <c r="L70" s="118"/>
      <c r="M70" s="118"/>
      <c r="N70" s="118"/>
      <c r="O70" s="118"/>
      <c r="P70" s="118"/>
      <c r="Q70" s="118"/>
      <c r="R70" s="118"/>
      <c r="S70" s="118"/>
      <c r="T70" s="118"/>
      <c r="U70" s="118"/>
      <c r="V70" s="118"/>
      <c r="W70" s="118"/>
      <c r="X70" s="118"/>
      <c r="Y70" s="118"/>
      <c r="Z70" s="118"/>
      <c r="AA70" s="118"/>
      <c r="AB70" s="118"/>
      <c r="AC70" s="44"/>
      <c r="AD70" s="44"/>
      <c r="AE70" s="44"/>
      <c r="AF70" s="44"/>
      <c r="AG70" s="44"/>
      <c r="AH70" s="44"/>
      <c r="AI70" s="44"/>
      <c r="AJ70" s="44"/>
      <c r="AK70" s="44"/>
      <c r="AL70" s="44"/>
      <c r="AM70" s="44"/>
      <c r="AN70" s="44"/>
      <c r="AO70" s="44"/>
      <c r="AP70" s="44"/>
      <c r="AQ70" s="44"/>
      <c r="AR70" s="44"/>
      <c r="AS70" s="44"/>
      <c r="AT70" s="70">
        <f t="shared" si="0"/>
        <v>66</v>
      </c>
      <c r="AU70" s="70">
        <f>Soal!M85</f>
        <v>0</v>
      </c>
      <c r="AV70" s="70" t="str">
        <f>Soal!N85</f>
        <v>x</v>
      </c>
      <c r="AW70" s="44"/>
      <c r="AX70" s="44"/>
      <c r="AY70" s="44"/>
      <c r="AZ70" s="44"/>
    </row>
    <row r="71" spans="2:52" ht="15" customHeight="1" x14ac:dyDescent="0.25">
      <c r="B71" s="144"/>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18"/>
      <c r="AC71" s="44"/>
      <c r="AD71" s="44"/>
      <c r="AE71" s="44"/>
      <c r="AF71" s="44"/>
      <c r="AG71" s="44"/>
      <c r="AH71" s="44"/>
      <c r="AI71" s="44"/>
      <c r="AJ71" s="44"/>
      <c r="AK71" s="44"/>
      <c r="AL71" s="44"/>
      <c r="AM71" s="44"/>
      <c r="AN71" s="44"/>
      <c r="AO71" s="44"/>
      <c r="AP71" s="44"/>
      <c r="AQ71" s="44"/>
      <c r="AR71" s="44"/>
      <c r="AS71" s="44"/>
      <c r="AT71" s="70">
        <f t="shared" ref="AT71:AT134" si="233">AT70+1</f>
        <v>67</v>
      </c>
      <c r="AU71" s="70">
        <f>Soal!M86</f>
        <v>0</v>
      </c>
      <c r="AV71" s="70" t="str">
        <f>Soal!N86</f>
        <v>x</v>
      </c>
      <c r="AW71" s="44"/>
      <c r="AX71" s="44"/>
      <c r="AY71" s="44"/>
      <c r="AZ71" s="44"/>
    </row>
    <row r="72" spans="2:52" ht="15" customHeight="1" x14ac:dyDescent="0.25">
      <c r="AC72" s="44"/>
      <c r="AD72" s="44"/>
      <c r="AE72" s="44"/>
      <c r="AF72" s="44"/>
      <c r="AG72" s="44"/>
      <c r="AH72" s="44"/>
      <c r="AI72" s="44"/>
      <c r="AJ72" s="44"/>
      <c r="AK72" s="44"/>
      <c r="AL72" s="44"/>
      <c r="AM72" s="44"/>
      <c r="AN72" s="44"/>
      <c r="AO72" s="44"/>
      <c r="AP72" s="44"/>
      <c r="AQ72" s="44"/>
      <c r="AR72" s="44"/>
      <c r="AS72" s="44"/>
      <c r="AT72" s="70">
        <f t="shared" si="233"/>
        <v>68</v>
      </c>
      <c r="AU72" s="70">
        <f>Soal!M87</f>
        <v>0</v>
      </c>
      <c r="AV72" s="70" t="str">
        <f>Soal!N87</f>
        <v>x</v>
      </c>
      <c r="AW72" s="44"/>
      <c r="AX72" s="44"/>
      <c r="AY72" s="44"/>
      <c r="AZ72" s="44"/>
    </row>
    <row r="73" spans="2:52" ht="15" customHeight="1" x14ac:dyDescent="0.25">
      <c r="AC73" s="44"/>
      <c r="AD73" s="44"/>
      <c r="AE73" s="44"/>
      <c r="AF73" s="44"/>
      <c r="AG73" s="44"/>
      <c r="AH73" s="44"/>
      <c r="AI73" s="44"/>
      <c r="AJ73" s="44"/>
      <c r="AK73" s="44"/>
      <c r="AL73" s="44"/>
      <c r="AM73" s="44"/>
      <c r="AN73" s="44"/>
      <c r="AO73" s="44"/>
      <c r="AP73" s="44"/>
      <c r="AQ73" s="44"/>
      <c r="AR73" s="44"/>
      <c r="AS73" s="44"/>
      <c r="AT73" s="70">
        <f t="shared" si="233"/>
        <v>69</v>
      </c>
      <c r="AU73" s="70">
        <f>Soal!M88</f>
        <v>0</v>
      </c>
      <c r="AV73" s="70" t="str">
        <f>Soal!N88</f>
        <v>x</v>
      </c>
      <c r="AW73" s="44"/>
      <c r="AX73" s="44"/>
      <c r="AY73" s="44"/>
      <c r="AZ73" s="44"/>
    </row>
    <row r="74" spans="2:52" ht="15" customHeight="1" x14ac:dyDescent="0.25">
      <c r="AC74" s="44"/>
      <c r="AD74" s="44"/>
      <c r="AE74" s="44"/>
      <c r="AF74" s="44"/>
      <c r="AG74" s="44"/>
      <c r="AH74" s="44"/>
      <c r="AI74" s="44"/>
      <c r="AJ74" s="44"/>
      <c r="AK74" s="44"/>
      <c r="AL74" s="44"/>
      <c r="AM74" s="44"/>
      <c r="AN74" s="44"/>
      <c r="AO74" s="44"/>
      <c r="AP74" s="44"/>
      <c r="AQ74" s="44"/>
      <c r="AR74" s="44"/>
      <c r="AS74" s="44"/>
      <c r="AT74" s="70">
        <f t="shared" si="233"/>
        <v>70</v>
      </c>
      <c r="AU74" s="70">
        <f>Soal!M89</f>
        <v>0</v>
      </c>
      <c r="AV74" s="70" t="str">
        <f>Soal!N89</f>
        <v>x</v>
      </c>
      <c r="AW74" s="44"/>
      <c r="AX74" s="44"/>
      <c r="AY74" s="44"/>
      <c r="AZ74" s="44"/>
    </row>
    <row r="75" spans="2:52" ht="15" customHeight="1" x14ac:dyDescent="0.25">
      <c r="AC75" s="44"/>
      <c r="AD75" s="44"/>
      <c r="AE75" s="44"/>
      <c r="AF75" s="44"/>
      <c r="AG75" s="44"/>
      <c r="AH75" s="44"/>
      <c r="AI75" s="44"/>
      <c r="AJ75" s="44"/>
      <c r="AK75" s="44"/>
      <c r="AL75" s="44"/>
      <c r="AM75" s="44"/>
      <c r="AN75" s="44"/>
      <c r="AO75" s="44"/>
      <c r="AP75" s="44"/>
      <c r="AQ75" s="44"/>
      <c r="AR75" s="44"/>
      <c r="AS75" s="44"/>
      <c r="AT75" s="70">
        <f t="shared" si="233"/>
        <v>71</v>
      </c>
      <c r="AU75" s="70">
        <f>Soal!M90</f>
        <v>0</v>
      </c>
      <c r="AV75" s="70" t="str">
        <f>Soal!N90</f>
        <v>x</v>
      </c>
      <c r="AW75" s="44"/>
      <c r="AX75" s="44"/>
      <c r="AY75" s="44"/>
      <c r="AZ75" s="44"/>
    </row>
    <row r="76" spans="2:52" ht="15" customHeight="1" x14ac:dyDescent="0.25">
      <c r="AC76" s="44"/>
      <c r="AD76" s="44"/>
      <c r="AE76" s="44"/>
      <c r="AF76" s="44"/>
      <c r="AG76" s="44"/>
      <c r="AH76" s="44"/>
      <c r="AI76" s="44"/>
      <c r="AJ76" s="44"/>
      <c r="AK76" s="44"/>
      <c r="AL76" s="44"/>
      <c r="AM76" s="44"/>
      <c r="AN76" s="44"/>
      <c r="AO76" s="44"/>
      <c r="AP76" s="44"/>
      <c r="AQ76" s="44"/>
      <c r="AR76" s="44"/>
      <c r="AS76" s="44"/>
      <c r="AT76" s="70">
        <f t="shared" si="233"/>
        <v>72</v>
      </c>
      <c r="AU76" s="70">
        <f>Soal!M91</f>
        <v>0</v>
      </c>
      <c r="AV76" s="70" t="str">
        <f>Soal!N91</f>
        <v>x</v>
      </c>
      <c r="AW76" s="44"/>
      <c r="AX76" s="44"/>
      <c r="AY76" s="44"/>
      <c r="AZ76" s="44"/>
    </row>
    <row r="77" spans="2:52" x14ac:dyDescent="0.25">
      <c r="AT77" s="70">
        <f t="shared" si="233"/>
        <v>73</v>
      </c>
      <c r="AU77" s="70">
        <f>Soal!M92</f>
        <v>0</v>
      </c>
      <c r="AV77" s="70" t="str">
        <f>Soal!N92</f>
        <v>x</v>
      </c>
    </row>
    <row r="78" spans="2:52" ht="15" customHeight="1" x14ac:dyDescent="0.25">
      <c r="AT78" s="70">
        <f t="shared" si="233"/>
        <v>74</v>
      </c>
      <c r="AU78" s="70">
        <f>Soal!M93</f>
        <v>0</v>
      </c>
      <c r="AV78" s="70" t="str">
        <f>Soal!N93</f>
        <v>x</v>
      </c>
    </row>
    <row r="79" spans="2:52" ht="15" customHeight="1" x14ac:dyDescent="0.25">
      <c r="AT79" s="70">
        <f t="shared" si="233"/>
        <v>75</v>
      </c>
      <c r="AU79" s="70">
        <f>Soal!M94</f>
        <v>0</v>
      </c>
      <c r="AV79" s="70" t="str">
        <f>Soal!N94</f>
        <v>x</v>
      </c>
    </row>
    <row r="80" spans="2:52" ht="15" customHeight="1" x14ac:dyDescent="0.25">
      <c r="AT80" s="70">
        <f t="shared" si="233"/>
        <v>76</v>
      </c>
      <c r="AU80" s="70">
        <f>Soal!M95</f>
        <v>0</v>
      </c>
      <c r="AV80" s="70" t="str">
        <f>Soal!N95</f>
        <v>x</v>
      </c>
    </row>
    <row r="81" spans="46:48" x14ac:dyDescent="0.25">
      <c r="AT81" s="70">
        <f t="shared" si="233"/>
        <v>77</v>
      </c>
      <c r="AU81" s="70">
        <f>Soal!M96</f>
        <v>0</v>
      </c>
      <c r="AV81" s="70" t="str">
        <f>Soal!N96</f>
        <v>x</v>
      </c>
    </row>
    <row r="82" spans="46:48" ht="15" customHeight="1" x14ac:dyDescent="0.25">
      <c r="AT82" s="70">
        <f t="shared" si="233"/>
        <v>78</v>
      </c>
      <c r="AU82" s="70">
        <f>Soal!M97</f>
        <v>0</v>
      </c>
      <c r="AV82" s="70" t="str">
        <f>Soal!N97</f>
        <v>x</v>
      </c>
    </row>
    <row r="83" spans="46:48" x14ac:dyDescent="0.25">
      <c r="AT83" s="70">
        <f t="shared" si="233"/>
        <v>79</v>
      </c>
      <c r="AU83" s="70">
        <f>Soal!M98</f>
        <v>0</v>
      </c>
      <c r="AV83" s="70" t="str">
        <f>Soal!N98</f>
        <v>x</v>
      </c>
    </row>
    <row r="84" spans="46:48" ht="15" customHeight="1" x14ac:dyDescent="0.25">
      <c r="AT84" s="70">
        <f t="shared" si="233"/>
        <v>80</v>
      </c>
      <c r="AU84" s="70">
        <f>Soal!M99</f>
        <v>0</v>
      </c>
      <c r="AV84" s="70" t="str">
        <f>Soal!N99</f>
        <v>x</v>
      </c>
    </row>
    <row r="85" spans="46:48" x14ac:dyDescent="0.25">
      <c r="AT85" s="70">
        <f t="shared" si="233"/>
        <v>81</v>
      </c>
      <c r="AU85" s="70">
        <f>Soal!M100</f>
        <v>0</v>
      </c>
      <c r="AV85" s="70" t="str">
        <f>Soal!N100</f>
        <v>x</v>
      </c>
    </row>
    <row r="86" spans="46:48" ht="15" customHeight="1" x14ac:dyDescent="0.25">
      <c r="AT86" s="70">
        <f t="shared" si="233"/>
        <v>82</v>
      </c>
      <c r="AU86" s="70">
        <f>Soal!M101</f>
        <v>0</v>
      </c>
      <c r="AV86" s="70" t="str">
        <f>Soal!N101</f>
        <v>x</v>
      </c>
    </row>
    <row r="87" spans="46:48" x14ac:dyDescent="0.25">
      <c r="AT87" s="70">
        <f t="shared" si="233"/>
        <v>83</v>
      </c>
      <c r="AU87" s="70">
        <f>Soal!M102</f>
        <v>0</v>
      </c>
      <c r="AV87" s="70" t="str">
        <f>Soal!N102</f>
        <v>x</v>
      </c>
    </row>
    <row r="88" spans="46:48" ht="15" customHeight="1" x14ac:dyDescent="0.25">
      <c r="AT88" s="70">
        <f t="shared" si="233"/>
        <v>84</v>
      </c>
      <c r="AU88" s="70">
        <f>Soal!M103</f>
        <v>0</v>
      </c>
      <c r="AV88" s="70" t="str">
        <f>Soal!N103</f>
        <v>x</v>
      </c>
    </row>
    <row r="89" spans="46:48" x14ac:dyDescent="0.25">
      <c r="AT89" s="70">
        <f t="shared" si="233"/>
        <v>85</v>
      </c>
      <c r="AU89" s="70">
        <f>Soal!M104</f>
        <v>0</v>
      </c>
      <c r="AV89" s="70" t="str">
        <f>Soal!N104</f>
        <v>x</v>
      </c>
    </row>
    <row r="90" spans="46:48" ht="15" customHeight="1" x14ac:dyDescent="0.25">
      <c r="AT90" s="70">
        <f t="shared" si="233"/>
        <v>86</v>
      </c>
      <c r="AU90" s="70">
        <f>Soal!M105</f>
        <v>0</v>
      </c>
      <c r="AV90" s="70" t="str">
        <f>Soal!N105</f>
        <v>x</v>
      </c>
    </row>
    <row r="91" spans="46:48" x14ac:dyDescent="0.25">
      <c r="AT91" s="70">
        <f t="shared" si="233"/>
        <v>87</v>
      </c>
      <c r="AU91" s="70">
        <f>Soal!M106</f>
        <v>0</v>
      </c>
      <c r="AV91" s="70" t="str">
        <f>Soal!N106</f>
        <v>x</v>
      </c>
    </row>
    <row r="92" spans="46:48" x14ac:dyDescent="0.25">
      <c r="AT92" s="70">
        <f t="shared" si="233"/>
        <v>88</v>
      </c>
      <c r="AU92" s="70">
        <f>Soal!M107</f>
        <v>0</v>
      </c>
      <c r="AV92" s="70" t="str">
        <f>Soal!N107</f>
        <v>x</v>
      </c>
    </row>
    <row r="93" spans="46:48" x14ac:dyDescent="0.25">
      <c r="AT93" s="70">
        <f t="shared" si="233"/>
        <v>89</v>
      </c>
      <c r="AU93" s="70">
        <f>Soal!M108</f>
        <v>0</v>
      </c>
      <c r="AV93" s="70" t="str">
        <f>Soal!N108</f>
        <v>x</v>
      </c>
    </row>
    <row r="94" spans="46:48" x14ac:dyDescent="0.25">
      <c r="AT94" s="70">
        <f t="shared" si="233"/>
        <v>90</v>
      </c>
      <c r="AU94" s="70">
        <f>Soal!M109</f>
        <v>0</v>
      </c>
      <c r="AV94" s="70" t="str">
        <f>Soal!N109</f>
        <v>x</v>
      </c>
    </row>
    <row r="95" spans="46:48" x14ac:dyDescent="0.25">
      <c r="AT95" s="70">
        <f t="shared" si="233"/>
        <v>91</v>
      </c>
      <c r="AU95" s="70">
        <f>Soal!M110</f>
        <v>0</v>
      </c>
      <c r="AV95" s="70" t="str">
        <f>Soal!N110</f>
        <v>x</v>
      </c>
    </row>
    <row r="96" spans="46:48" x14ac:dyDescent="0.25">
      <c r="AT96" s="70">
        <f t="shared" si="233"/>
        <v>92</v>
      </c>
      <c r="AU96" s="70">
        <f>Soal!M111</f>
        <v>0</v>
      </c>
      <c r="AV96" s="70" t="str">
        <f>Soal!N111</f>
        <v>x</v>
      </c>
    </row>
    <row r="97" spans="46:48" x14ac:dyDescent="0.25">
      <c r="AT97" s="70">
        <f t="shared" si="233"/>
        <v>93</v>
      </c>
      <c r="AU97" s="70">
        <f>Soal!M112</f>
        <v>0</v>
      </c>
      <c r="AV97" s="70" t="str">
        <f>Soal!N112</f>
        <v>x</v>
      </c>
    </row>
    <row r="98" spans="46:48" x14ac:dyDescent="0.25">
      <c r="AT98" s="70">
        <f t="shared" si="233"/>
        <v>94</v>
      </c>
      <c r="AU98" s="70">
        <f>Soal!M113</f>
        <v>0</v>
      </c>
      <c r="AV98" s="70" t="str">
        <f>Soal!N113</f>
        <v>x</v>
      </c>
    </row>
    <row r="99" spans="46:48" x14ac:dyDescent="0.25">
      <c r="AT99" s="70">
        <f t="shared" si="233"/>
        <v>95</v>
      </c>
      <c r="AU99" s="70">
        <f>Soal!M114</f>
        <v>0</v>
      </c>
      <c r="AV99" s="70" t="str">
        <f>Soal!N114</f>
        <v>x</v>
      </c>
    </row>
    <row r="100" spans="46:48" x14ac:dyDescent="0.25">
      <c r="AT100" s="70">
        <f t="shared" si="233"/>
        <v>96</v>
      </c>
      <c r="AU100" s="70">
        <f>Soal!M115</f>
        <v>0</v>
      </c>
      <c r="AV100" s="70" t="str">
        <f>Soal!N115</f>
        <v>x</v>
      </c>
    </row>
    <row r="101" spans="46:48" x14ac:dyDescent="0.25">
      <c r="AT101" s="70">
        <f t="shared" si="233"/>
        <v>97</v>
      </c>
      <c r="AU101" s="70">
        <f>Soal!M116</f>
        <v>0</v>
      </c>
      <c r="AV101" s="70" t="str">
        <f>Soal!N116</f>
        <v>x</v>
      </c>
    </row>
    <row r="102" spans="46:48" x14ac:dyDescent="0.25">
      <c r="AT102" s="70">
        <f t="shared" si="233"/>
        <v>98</v>
      </c>
      <c r="AU102" s="70">
        <f>Soal!M117</f>
        <v>0</v>
      </c>
      <c r="AV102" s="70" t="str">
        <f>Soal!N117</f>
        <v>x</v>
      </c>
    </row>
    <row r="103" spans="46:48" x14ac:dyDescent="0.25">
      <c r="AT103" s="70">
        <f t="shared" si="233"/>
        <v>99</v>
      </c>
      <c r="AU103" s="70">
        <f>Soal!M118</f>
        <v>0</v>
      </c>
      <c r="AV103" s="70" t="str">
        <f>Soal!N118</f>
        <v>x</v>
      </c>
    </row>
    <row r="104" spans="46:48" x14ac:dyDescent="0.25">
      <c r="AT104" s="70">
        <f t="shared" si="233"/>
        <v>100</v>
      </c>
      <c r="AU104" s="70">
        <f>Soal!M119</f>
        <v>0</v>
      </c>
      <c r="AV104" s="70" t="str">
        <f>Soal!N119</f>
        <v>x</v>
      </c>
    </row>
    <row r="105" spans="46:48" x14ac:dyDescent="0.25">
      <c r="AT105" s="70">
        <f t="shared" si="233"/>
        <v>101</v>
      </c>
      <c r="AU105" s="70">
        <f>Soal!M120</f>
        <v>0</v>
      </c>
      <c r="AV105" s="70" t="str">
        <f>Soal!N120</f>
        <v>x</v>
      </c>
    </row>
    <row r="106" spans="46:48" x14ac:dyDescent="0.25">
      <c r="AT106" s="70">
        <f t="shared" si="233"/>
        <v>102</v>
      </c>
      <c r="AU106" s="70">
        <f>Soal!M121</f>
        <v>0</v>
      </c>
      <c r="AV106" s="70" t="str">
        <f>Soal!N121</f>
        <v>x</v>
      </c>
    </row>
    <row r="107" spans="46:48" x14ac:dyDescent="0.25">
      <c r="AT107" s="70">
        <f t="shared" si="233"/>
        <v>103</v>
      </c>
      <c r="AU107" s="70">
        <f>Soal!M122</f>
        <v>0</v>
      </c>
      <c r="AV107" s="70" t="str">
        <f>Soal!N122</f>
        <v>x</v>
      </c>
    </row>
    <row r="108" spans="46:48" x14ac:dyDescent="0.25">
      <c r="AT108" s="70">
        <f t="shared" si="233"/>
        <v>104</v>
      </c>
      <c r="AU108" s="70">
        <f>Soal!M123</f>
        <v>0</v>
      </c>
      <c r="AV108" s="70" t="str">
        <f>Soal!N123</f>
        <v>x</v>
      </c>
    </row>
    <row r="109" spans="46:48" x14ac:dyDescent="0.25">
      <c r="AT109" s="70">
        <f t="shared" si="233"/>
        <v>105</v>
      </c>
      <c r="AU109" s="70">
        <f>Soal!M124</f>
        <v>0</v>
      </c>
      <c r="AV109" s="70" t="str">
        <f>Soal!N124</f>
        <v>x</v>
      </c>
    </row>
    <row r="110" spans="46:48" x14ac:dyDescent="0.25">
      <c r="AT110" s="70">
        <f t="shared" si="233"/>
        <v>106</v>
      </c>
      <c r="AU110" s="70">
        <f>Soal!M125</f>
        <v>0</v>
      </c>
      <c r="AV110" s="70" t="str">
        <f>Soal!N125</f>
        <v>x</v>
      </c>
    </row>
    <row r="111" spans="46:48" x14ac:dyDescent="0.25">
      <c r="AT111" s="70">
        <f t="shared" si="233"/>
        <v>107</v>
      </c>
      <c r="AU111" s="70">
        <f>Soal!M126</f>
        <v>0</v>
      </c>
      <c r="AV111" s="70" t="str">
        <f>Soal!N126</f>
        <v>x</v>
      </c>
    </row>
    <row r="112" spans="46:48" x14ac:dyDescent="0.25">
      <c r="AT112" s="70">
        <f t="shared" si="233"/>
        <v>108</v>
      </c>
      <c r="AU112" s="70">
        <f>Soal!M127</f>
        <v>0</v>
      </c>
      <c r="AV112" s="70" t="str">
        <f>Soal!N127</f>
        <v>x</v>
      </c>
    </row>
    <row r="113" spans="46:48" x14ac:dyDescent="0.25">
      <c r="AT113" s="70">
        <f t="shared" si="233"/>
        <v>109</v>
      </c>
      <c r="AU113" s="70">
        <f>Soal!M128</f>
        <v>0</v>
      </c>
      <c r="AV113" s="70" t="str">
        <f>Soal!N128</f>
        <v>x</v>
      </c>
    </row>
    <row r="114" spans="46:48" x14ac:dyDescent="0.25">
      <c r="AT114" s="70">
        <f t="shared" si="233"/>
        <v>110</v>
      </c>
      <c r="AU114" s="70">
        <f>Soal!M129</f>
        <v>0</v>
      </c>
      <c r="AV114" s="70" t="str">
        <f>Soal!N129</f>
        <v>x</v>
      </c>
    </row>
    <row r="115" spans="46:48" x14ac:dyDescent="0.25">
      <c r="AT115" s="70">
        <f t="shared" si="233"/>
        <v>111</v>
      </c>
      <c r="AU115" s="70">
        <f>Soal!M130</f>
        <v>0</v>
      </c>
      <c r="AV115" s="70" t="str">
        <f>Soal!N130</f>
        <v>x</v>
      </c>
    </row>
    <row r="116" spans="46:48" x14ac:dyDescent="0.25">
      <c r="AT116" s="70">
        <f t="shared" si="233"/>
        <v>112</v>
      </c>
      <c r="AU116" s="70">
        <f>Soal!M131</f>
        <v>0</v>
      </c>
      <c r="AV116" s="70" t="str">
        <f>Soal!N131</f>
        <v>x</v>
      </c>
    </row>
    <row r="117" spans="46:48" x14ac:dyDescent="0.25">
      <c r="AT117" s="70">
        <f t="shared" si="233"/>
        <v>113</v>
      </c>
      <c r="AU117" s="70">
        <f>Soal!M132</f>
        <v>0</v>
      </c>
      <c r="AV117" s="70" t="str">
        <f>Soal!N132</f>
        <v>x</v>
      </c>
    </row>
    <row r="118" spans="46:48" x14ac:dyDescent="0.25">
      <c r="AT118" s="70">
        <f t="shared" si="233"/>
        <v>114</v>
      </c>
      <c r="AU118" s="70">
        <f>Soal!M133</f>
        <v>0</v>
      </c>
      <c r="AV118" s="70" t="str">
        <f>Soal!N133</f>
        <v>x</v>
      </c>
    </row>
    <row r="119" spans="46:48" x14ac:dyDescent="0.25">
      <c r="AT119" s="70">
        <f t="shared" si="233"/>
        <v>115</v>
      </c>
      <c r="AU119" s="70">
        <f>Soal!M134</f>
        <v>0</v>
      </c>
      <c r="AV119" s="70" t="str">
        <f>Soal!N134</f>
        <v>x</v>
      </c>
    </row>
    <row r="120" spans="46:48" x14ac:dyDescent="0.25">
      <c r="AT120" s="70">
        <f t="shared" si="233"/>
        <v>116</v>
      </c>
      <c r="AU120" s="70">
        <f>Soal!M135</f>
        <v>0</v>
      </c>
      <c r="AV120" s="70" t="str">
        <f>Soal!N135</f>
        <v>x</v>
      </c>
    </row>
    <row r="121" spans="46:48" x14ac:dyDescent="0.25">
      <c r="AT121" s="70">
        <f t="shared" si="233"/>
        <v>117</v>
      </c>
      <c r="AU121" s="70">
        <f>Soal!M136</f>
        <v>0</v>
      </c>
      <c r="AV121" s="70" t="str">
        <f>Soal!N136</f>
        <v>x</v>
      </c>
    </row>
    <row r="122" spans="46:48" x14ac:dyDescent="0.25">
      <c r="AT122" s="70">
        <f t="shared" si="233"/>
        <v>118</v>
      </c>
      <c r="AU122" s="70">
        <f>Soal!M137</f>
        <v>0</v>
      </c>
      <c r="AV122" s="70" t="str">
        <f>Soal!N137</f>
        <v>x</v>
      </c>
    </row>
    <row r="123" spans="46:48" x14ac:dyDescent="0.25">
      <c r="AT123" s="70">
        <f t="shared" si="233"/>
        <v>119</v>
      </c>
      <c r="AU123" s="70">
        <f>Soal!M138</f>
        <v>0</v>
      </c>
      <c r="AV123" s="70" t="str">
        <f>Soal!N138</f>
        <v>x</v>
      </c>
    </row>
    <row r="124" spans="46:48" x14ac:dyDescent="0.25">
      <c r="AT124" s="70">
        <f t="shared" si="233"/>
        <v>120</v>
      </c>
      <c r="AU124" s="70">
        <f>Soal!M139</f>
        <v>0</v>
      </c>
      <c r="AV124" s="70" t="str">
        <f>Soal!N139</f>
        <v>x</v>
      </c>
    </row>
    <row r="125" spans="46:48" x14ac:dyDescent="0.25">
      <c r="AT125" s="70">
        <f t="shared" si="233"/>
        <v>121</v>
      </c>
      <c r="AU125" s="70">
        <f>Soal!M140</f>
        <v>0</v>
      </c>
      <c r="AV125" s="70" t="str">
        <f>Soal!N140</f>
        <v>x</v>
      </c>
    </row>
    <row r="126" spans="46:48" x14ac:dyDescent="0.25">
      <c r="AT126" s="70">
        <f t="shared" si="233"/>
        <v>122</v>
      </c>
      <c r="AU126" s="70">
        <f>Soal!M141</f>
        <v>0</v>
      </c>
      <c r="AV126" s="70" t="str">
        <f>Soal!N141</f>
        <v>x</v>
      </c>
    </row>
    <row r="127" spans="46:48" x14ac:dyDescent="0.25">
      <c r="AT127" s="70">
        <f t="shared" si="233"/>
        <v>123</v>
      </c>
      <c r="AU127" s="70">
        <f>Soal!M142</f>
        <v>0</v>
      </c>
      <c r="AV127" s="70" t="str">
        <f>Soal!N142</f>
        <v>x</v>
      </c>
    </row>
    <row r="128" spans="46:48" x14ac:dyDescent="0.25">
      <c r="AT128" s="70">
        <f t="shared" si="233"/>
        <v>124</v>
      </c>
      <c r="AU128" s="70">
        <f>Soal!M143</f>
        <v>0</v>
      </c>
      <c r="AV128" s="70" t="str">
        <f>Soal!N143</f>
        <v>x</v>
      </c>
    </row>
    <row r="129" spans="46:48" x14ac:dyDescent="0.25">
      <c r="AT129" s="70">
        <f t="shared" si="233"/>
        <v>125</v>
      </c>
      <c r="AU129" s="70">
        <f>Soal!M144</f>
        <v>0</v>
      </c>
      <c r="AV129" s="70" t="str">
        <f>Soal!N144</f>
        <v>x</v>
      </c>
    </row>
    <row r="130" spans="46:48" x14ac:dyDescent="0.25">
      <c r="AT130" s="70">
        <f t="shared" si="233"/>
        <v>126</v>
      </c>
      <c r="AU130" s="70">
        <f>Soal!M145</f>
        <v>0</v>
      </c>
      <c r="AV130" s="70" t="str">
        <f>Soal!N145</f>
        <v>x</v>
      </c>
    </row>
    <row r="131" spans="46:48" x14ac:dyDescent="0.25">
      <c r="AT131" s="70">
        <f t="shared" si="233"/>
        <v>127</v>
      </c>
      <c r="AU131" s="70">
        <f>Soal!M146</f>
        <v>0</v>
      </c>
      <c r="AV131" s="70" t="str">
        <f>Soal!N146</f>
        <v>x</v>
      </c>
    </row>
    <row r="132" spans="46:48" x14ac:dyDescent="0.25">
      <c r="AT132" s="70">
        <f t="shared" si="233"/>
        <v>128</v>
      </c>
      <c r="AU132" s="70">
        <f>Soal!M147</f>
        <v>0</v>
      </c>
      <c r="AV132" s="70" t="str">
        <f>Soal!N147</f>
        <v>x</v>
      </c>
    </row>
    <row r="133" spans="46:48" x14ac:dyDescent="0.25">
      <c r="AT133" s="70">
        <f t="shared" si="233"/>
        <v>129</v>
      </c>
      <c r="AU133" s="70">
        <f>Soal!M148</f>
        <v>0</v>
      </c>
      <c r="AV133" s="70" t="str">
        <f>Soal!N148</f>
        <v>x</v>
      </c>
    </row>
    <row r="134" spans="46:48" x14ac:dyDescent="0.25">
      <c r="AT134" s="70">
        <f t="shared" si="233"/>
        <v>130</v>
      </c>
      <c r="AU134" s="70">
        <f>Soal!M149</f>
        <v>0</v>
      </c>
      <c r="AV134" s="70" t="str">
        <f>Soal!N149</f>
        <v>x</v>
      </c>
    </row>
    <row r="135" spans="46:48" x14ac:dyDescent="0.25">
      <c r="AT135" s="70">
        <f t="shared" ref="AT135:AT144" si="234">AT134+1</f>
        <v>131</v>
      </c>
      <c r="AU135" s="70">
        <f>Soal!M150</f>
        <v>0</v>
      </c>
      <c r="AV135" s="70" t="str">
        <f>Soal!N150</f>
        <v>x</v>
      </c>
    </row>
    <row r="136" spans="46:48" x14ac:dyDescent="0.25">
      <c r="AT136" s="70">
        <f t="shared" si="234"/>
        <v>132</v>
      </c>
      <c r="AU136" s="70">
        <f>Soal!M151</f>
        <v>0</v>
      </c>
      <c r="AV136" s="70" t="str">
        <f>Soal!N151</f>
        <v>x</v>
      </c>
    </row>
    <row r="137" spans="46:48" x14ac:dyDescent="0.25">
      <c r="AT137" s="70">
        <f t="shared" si="234"/>
        <v>133</v>
      </c>
      <c r="AU137" s="70">
        <f>Soal!M152</f>
        <v>0</v>
      </c>
      <c r="AV137" s="70" t="str">
        <f>Soal!N152</f>
        <v>x</v>
      </c>
    </row>
    <row r="138" spans="46:48" x14ac:dyDescent="0.25">
      <c r="AT138" s="70">
        <f t="shared" si="234"/>
        <v>134</v>
      </c>
      <c r="AU138" s="70">
        <f>Soal!M153</f>
        <v>0</v>
      </c>
      <c r="AV138" s="70" t="str">
        <f>Soal!N153</f>
        <v>x</v>
      </c>
    </row>
    <row r="139" spans="46:48" x14ac:dyDescent="0.25">
      <c r="AT139" s="70">
        <f t="shared" si="234"/>
        <v>135</v>
      </c>
      <c r="AU139" s="70">
        <f>Soal!M154</f>
        <v>0</v>
      </c>
      <c r="AV139" s="70" t="str">
        <f>Soal!N154</f>
        <v>x</v>
      </c>
    </row>
    <row r="140" spans="46:48" x14ac:dyDescent="0.25">
      <c r="AT140" s="70">
        <f t="shared" si="234"/>
        <v>136</v>
      </c>
      <c r="AU140" s="70">
        <f>Soal!M155</f>
        <v>0</v>
      </c>
      <c r="AV140" s="70" t="str">
        <f>Soal!N155</f>
        <v>x</v>
      </c>
    </row>
    <row r="141" spans="46:48" x14ac:dyDescent="0.25">
      <c r="AT141" s="70">
        <f t="shared" si="234"/>
        <v>137</v>
      </c>
      <c r="AU141" s="70">
        <f>Soal!M156</f>
        <v>0</v>
      </c>
      <c r="AV141" s="70" t="str">
        <f>Soal!N156</f>
        <v>x</v>
      </c>
    </row>
    <row r="142" spans="46:48" x14ac:dyDescent="0.25">
      <c r="AT142" s="70">
        <f t="shared" si="234"/>
        <v>138</v>
      </c>
      <c r="AU142" s="70">
        <f>Soal!M157</f>
        <v>0</v>
      </c>
      <c r="AV142" s="70" t="str">
        <f>Soal!N157</f>
        <v>x</v>
      </c>
    </row>
    <row r="143" spans="46:48" x14ac:dyDescent="0.25">
      <c r="AT143" s="70">
        <f t="shared" si="234"/>
        <v>139</v>
      </c>
      <c r="AU143" s="70">
        <f>Soal!M158</f>
        <v>0</v>
      </c>
      <c r="AV143" s="70" t="str">
        <f>Soal!N158</f>
        <v>x</v>
      </c>
    </row>
    <row r="144" spans="46:48" x14ac:dyDescent="0.25">
      <c r="AT144" s="70">
        <f t="shared" si="234"/>
        <v>140</v>
      </c>
      <c r="AU144" s="70">
        <f>Soal!M159</f>
        <v>0</v>
      </c>
      <c r="AV144" s="70" t="str">
        <f>Soal!N159</f>
        <v>x</v>
      </c>
    </row>
  </sheetData>
  <sheetProtection password="C53D" sheet="1" objects="1" scenarios="1"/>
  <mergeCells count="101">
    <mergeCell ref="R45:AH45"/>
    <mergeCell ref="R46:AH46"/>
    <mergeCell ref="R47:AH47"/>
    <mergeCell ref="R48:AH48"/>
    <mergeCell ref="R49:AH49"/>
    <mergeCell ref="AQ56:AQ57"/>
    <mergeCell ref="AP58:AP59"/>
    <mergeCell ref="AQ58:AQ59"/>
    <mergeCell ref="AP60:AP61"/>
    <mergeCell ref="AQ60:AQ61"/>
    <mergeCell ref="R50:AH50"/>
    <mergeCell ref="R51:AH51"/>
    <mergeCell ref="R52:AH52"/>
    <mergeCell ref="R53:AH53"/>
    <mergeCell ref="AP62:AP63"/>
    <mergeCell ref="AQ62:AQ63"/>
    <mergeCell ref="AP28:AP29"/>
    <mergeCell ref="AQ28:AQ29"/>
    <mergeCell ref="AP30:AP31"/>
    <mergeCell ref="AQ30:AQ31"/>
    <mergeCell ref="AP32:AP33"/>
    <mergeCell ref="AQ32:AQ33"/>
    <mergeCell ref="AP34:AP35"/>
    <mergeCell ref="AQ34:AQ35"/>
    <mergeCell ref="AP36:AP37"/>
    <mergeCell ref="AQ36:AQ37"/>
    <mergeCell ref="AP38:AP39"/>
    <mergeCell ref="AQ38:AQ39"/>
    <mergeCell ref="AP40:AP41"/>
    <mergeCell ref="AQ40:AQ41"/>
    <mergeCell ref="AQ50:AQ51"/>
    <mergeCell ref="AP52:AP53"/>
    <mergeCell ref="AQ52:AQ53"/>
    <mergeCell ref="AP54:AP55"/>
    <mergeCell ref="AQ54:AQ55"/>
    <mergeCell ref="AQ19:AQ20"/>
    <mergeCell ref="AQ21:AQ22"/>
    <mergeCell ref="AQ23:AQ24"/>
    <mergeCell ref="AP19:AP20"/>
    <mergeCell ref="AP21:AP22"/>
    <mergeCell ref="AP23:AP24"/>
    <mergeCell ref="B70:B71"/>
    <mergeCell ref="B56:B57"/>
    <mergeCell ref="B58:B59"/>
    <mergeCell ref="B60:B61"/>
    <mergeCell ref="B62:B63"/>
    <mergeCell ref="B64:B65"/>
    <mergeCell ref="B66:B67"/>
    <mergeCell ref="B68:B69"/>
    <mergeCell ref="AP50:AP51"/>
    <mergeCell ref="AP56:AP57"/>
    <mergeCell ref="C50:I50"/>
    <mergeCell ref="C51:I51"/>
    <mergeCell ref="C52:I52"/>
    <mergeCell ref="C53:I53"/>
    <mergeCell ref="L50:N50"/>
    <mergeCell ref="L51:N51"/>
    <mergeCell ref="L52:N52"/>
    <mergeCell ref="L53:N53"/>
    <mergeCell ref="L46:N46"/>
    <mergeCell ref="L47:N47"/>
    <mergeCell ref="L48:N48"/>
    <mergeCell ref="L49:N49"/>
    <mergeCell ref="O45:Q45"/>
    <mergeCell ref="O46:Q46"/>
    <mergeCell ref="O47:Q47"/>
    <mergeCell ref="O48:Q48"/>
    <mergeCell ref="O49:Q49"/>
    <mergeCell ref="C8:I8"/>
    <mergeCell ref="AQ11:AQ12"/>
    <mergeCell ref="AQ13:AQ14"/>
    <mergeCell ref="AQ15:AQ16"/>
    <mergeCell ref="AQ17:AQ18"/>
    <mergeCell ref="AP11:AP12"/>
    <mergeCell ref="AP13:AP14"/>
    <mergeCell ref="AP15:AP16"/>
    <mergeCell ref="AP17:AP18"/>
    <mergeCell ref="R1:T1"/>
    <mergeCell ref="C66:AB67"/>
    <mergeCell ref="C68:AB69"/>
    <mergeCell ref="C70:AB71"/>
    <mergeCell ref="C56:AB57"/>
    <mergeCell ref="C58:AB59"/>
    <mergeCell ref="C60:AB61"/>
    <mergeCell ref="C62:AB63"/>
    <mergeCell ref="C64:AB65"/>
    <mergeCell ref="C3:I3"/>
    <mergeCell ref="C4:I4"/>
    <mergeCell ref="C5:I5"/>
    <mergeCell ref="C6:I6"/>
    <mergeCell ref="C45:J45"/>
    <mergeCell ref="C46:I46"/>
    <mergeCell ref="C47:I47"/>
    <mergeCell ref="C48:I48"/>
    <mergeCell ref="C49:I49"/>
    <mergeCell ref="L45:N45"/>
    <mergeCell ref="O50:Q50"/>
    <mergeCell ref="O51:Q51"/>
    <mergeCell ref="O52:Q52"/>
    <mergeCell ref="O53:Q53"/>
    <mergeCell ref="C7:I7"/>
  </mergeCells>
  <printOptions horizontalCentered="1"/>
  <pageMargins left="0.39370078740157483" right="0.39370078740157483" top="0.39370078740157483" bottom="0.39370078740157483" header="0.31496062992125984" footer="0.31496062992125984"/>
  <pageSetup paperSize="9" scale="97"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AM49"/>
  <sheetViews>
    <sheetView workbookViewId="0">
      <selection activeCell="B12" sqref="B12"/>
    </sheetView>
  </sheetViews>
  <sheetFormatPr defaultColWidth="8.85546875" defaultRowHeight="15" x14ac:dyDescent="0.25"/>
  <cols>
    <col min="1" max="39" width="4.7109375" style="1" customWidth="1"/>
    <col min="40" max="16384" width="8.85546875" style="1"/>
  </cols>
  <sheetData>
    <row r="1" spans="1:39" x14ac:dyDescent="0.3">
      <c r="A1" s="58" t="s">
        <v>202</v>
      </c>
      <c r="B1" s="60"/>
      <c r="C1" s="60"/>
      <c r="D1" s="60"/>
      <c r="E1" s="60"/>
      <c r="F1" s="60"/>
      <c r="G1" s="60"/>
      <c r="H1" s="60"/>
    </row>
    <row r="3" spans="1:39" x14ac:dyDescent="0.3">
      <c r="A3" s="2" t="s">
        <v>147</v>
      </c>
      <c r="C3" s="61"/>
      <c r="D3" s="59" t="s">
        <v>143</v>
      </c>
      <c r="E3" s="62"/>
      <c r="F3" s="63"/>
      <c r="G3" s="63"/>
      <c r="H3" s="63"/>
      <c r="I3" s="63"/>
      <c r="J3" s="63"/>
      <c r="K3" s="64"/>
    </row>
    <row r="4" spans="1:39" x14ac:dyDescent="0.3">
      <c r="A4" s="2" t="s">
        <v>142</v>
      </c>
      <c r="C4" s="65"/>
      <c r="D4" s="59" t="s">
        <v>143</v>
      </c>
      <c r="E4" s="66"/>
      <c r="F4" s="67"/>
      <c r="G4" s="67"/>
      <c r="H4" s="67"/>
      <c r="I4" s="67"/>
      <c r="J4" s="67"/>
    </row>
    <row r="5" spans="1:39" x14ac:dyDescent="0.3">
      <c r="A5" s="2" t="s">
        <v>144</v>
      </c>
      <c r="C5" s="65"/>
      <c r="D5" s="59" t="s">
        <v>143</v>
      </c>
      <c r="E5" s="68"/>
      <c r="F5" s="40"/>
      <c r="G5" s="40"/>
      <c r="H5" s="40"/>
      <c r="I5" s="40"/>
      <c r="J5" s="40"/>
    </row>
    <row r="6" spans="1:39" x14ac:dyDescent="0.3">
      <c r="A6" s="2" t="s">
        <v>145</v>
      </c>
      <c r="C6" s="61"/>
      <c r="D6" s="59" t="s">
        <v>143</v>
      </c>
      <c r="E6" s="69"/>
      <c r="F6" s="67"/>
      <c r="G6" s="67"/>
      <c r="H6" s="67"/>
      <c r="I6" s="67"/>
      <c r="J6" s="67"/>
    </row>
    <row r="7" spans="1:39" x14ac:dyDescent="0.3">
      <c r="A7" s="2" t="s">
        <v>146</v>
      </c>
      <c r="C7" s="65"/>
      <c r="D7" s="59" t="s">
        <v>143</v>
      </c>
      <c r="E7" s="66"/>
      <c r="F7" s="67"/>
      <c r="G7" s="67"/>
      <c r="H7" s="67"/>
      <c r="I7" s="67"/>
      <c r="J7" s="67"/>
    </row>
    <row r="8" spans="1:39" x14ac:dyDescent="0.3">
      <c r="A8" s="2" t="s">
        <v>148</v>
      </c>
      <c r="C8" s="65"/>
      <c r="D8" s="59" t="s">
        <v>143</v>
      </c>
      <c r="E8" s="68"/>
      <c r="F8" s="40"/>
      <c r="G8" s="40"/>
      <c r="H8" s="40"/>
      <c r="I8" s="40"/>
      <c r="J8" s="40"/>
    </row>
    <row r="11" spans="1:39" s="54" customFormat="1" x14ac:dyDescent="0.3">
      <c r="A11" s="43"/>
      <c r="B11" s="43" t="s">
        <v>150</v>
      </c>
      <c r="C11" s="43" t="s">
        <v>151</v>
      </c>
      <c r="D11" s="43"/>
      <c r="E11" s="43"/>
      <c r="F11" s="43" t="s">
        <v>150</v>
      </c>
      <c r="G11" s="43" t="s">
        <v>151</v>
      </c>
      <c r="H11" s="43"/>
      <c r="I11" s="43"/>
      <c r="J11" s="43" t="s">
        <v>150</v>
      </c>
      <c r="K11" s="43" t="s">
        <v>151</v>
      </c>
      <c r="L11" s="43"/>
      <c r="M11" s="43"/>
      <c r="N11" s="43" t="s">
        <v>150</v>
      </c>
      <c r="O11" s="43" t="s">
        <v>151</v>
      </c>
      <c r="P11" s="43"/>
      <c r="Q11" s="43"/>
      <c r="R11" s="43" t="s">
        <v>150</v>
      </c>
      <c r="S11" s="43" t="s">
        <v>151</v>
      </c>
      <c r="T11" s="43"/>
      <c r="U11" s="43"/>
      <c r="V11" s="43" t="s">
        <v>150</v>
      </c>
      <c r="W11" s="43" t="s">
        <v>151</v>
      </c>
      <c r="X11" s="43"/>
      <c r="Y11" s="43"/>
      <c r="Z11" s="43" t="s">
        <v>150</v>
      </c>
      <c r="AA11" s="43" t="s">
        <v>151</v>
      </c>
      <c r="AB11" s="43"/>
      <c r="AC11" s="43"/>
      <c r="AD11" s="43" t="s">
        <v>150</v>
      </c>
      <c r="AE11" s="43" t="s">
        <v>151</v>
      </c>
      <c r="AF11" s="43"/>
      <c r="AG11" s="43"/>
      <c r="AH11" s="43" t="s">
        <v>150</v>
      </c>
      <c r="AI11" s="43" t="s">
        <v>151</v>
      </c>
      <c r="AJ11" s="43"/>
      <c r="AK11" s="43"/>
      <c r="AL11" s="43" t="s">
        <v>150</v>
      </c>
      <c r="AM11" s="43" t="s">
        <v>151</v>
      </c>
    </row>
    <row r="12" spans="1:39" s="54" customFormat="1" x14ac:dyDescent="0.3">
      <c r="A12" s="70">
        <v>1</v>
      </c>
      <c r="B12" s="70"/>
      <c r="C12" s="70"/>
      <c r="D12" s="43"/>
      <c r="E12" s="70">
        <v>15</v>
      </c>
      <c r="F12" s="70"/>
      <c r="G12" s="70"/>
      <c r="H12" s="43"/>
      <c r="I12" s="70">
        <v>29</v>
      </c>
      <c r="J12" s="70"/>
      <c r="K12" s="70"/>
      <c r="L12" s="43"/>
      <c r="M12" s="70">
        <v>43</v>
      </c>
      <c r="N12" s="70"/>
      <c r="O12" s="70"/>
      <c r="P12" s="43"/>
      <c r="Q12" s="70">
        <v>57</v>
      </c>
      <c r="R12" s="70"/>
      <c r="S12" s="70"/>
      <c r="T12" s="43"/>
      <c r="U12" s="70">
        <v>71</v>
      </c>
      <c r="V12" s="70"/>
      <c r="W12" s="70"/>
      <c r="X12" s="43"/>
      <c r="Y12" s="70">
        <v>85</v>
      </c>
      <c r="Z12" s="70"/>
      <c r="AA12" s="70"/>
      <c r="AB12" s="43"/>
      <c r="AC12" s="70">
        <v>99</v>
      </c>
      <c r="AD12" s="70"/>
      <c r="AE12" s="70"/>
      <c r="AF12" s="43"/>
      <c r="AG12" s="70">
        <v>113</v>
      </c>
      <c r="AH12" s="70"/>
      <c r="AI12" s="70"/>
      <c r="AJ12" s="43"/>
      <c r="AK12" s="70">
        <v>127</v>
      </c>
      <c r="AL12" s="70"/>
      <c r="AM12" s="70"/>
    </row>
    <row r="13" spans="1:39" s="54" customFormat="1" x14ac:dyDescent="0.3">
      <c r="A13" s="43"/>
      <c r="B13" s="43" t="s">
        <v>150</v>
      </c>
      <c r="C13" s="43" t="s">
        <v>151</v>
      </c>
      <c r="D13" s="43"/>
      <c r="E13" s="43"/>
      <c r="F13" s="43" t="s">
        <v>150</v>
      </c>
      <c r="G13" s="43" t="s">
        <v>151</v>
      </c>
      <c r="H13" s="43"/>
      <c r="I13" s="43"/>
      <c r="J13" s="43" t="s">
        <v>150</v>
      </c>
      <c r="K13" s="43" t="s">
        <v>151</v>
      </c>
      <c r="L13" s="43"/>
      <c r="M13" s="43"/>
      <c r="N13" s="43" t="s">
        <v>150</v>
      </c>
      <c r="O13" s="43" t="s">
        <v>151</v>
      </c>
      <c r="P13" s="43"/>
      <c r="Q13" s="43"/>
      <c r="R13" s="43" t="s">
        <v>150</v>
      </c>
      <c r="S13" s="43" t="s">
        <v>151</v>
      </c>
      <c r="T13" s="43"/>
      <c r="U13" s="43"/>
      <c r="V13" s="43" t="s">
        <v>150</v>
      </c>
      <c r="W13" s="43" t="s">
        <v>151</v>
      </c>
      <c r="X13" s="43"/>
      <c r="Y13" s="43"/>
      <c r="Z13" s="43" t="s">
        <v>150</v>
      </c>
      <c r="AA13" s="43" t="s">
        <v>151</v>
      </c>
      <c r="AB13" s="43"/>
      <c r="AC13" s="43"/>
      <c r="AD13" s="43" t="s">
        <v>150</v>
      </c>
      <c r="AE13" s="43" t="s">
        <v>151</v>
      </c>
      <c r="AF13" s="43"/>
      <c r="AG13" s="43"/>
      <c r="AH13" s="43" t="s">
        <v>150</v>
      </c>
      <c r="AI13" s="43" t="s">
        <v>151</v>
      </c>
      <c r="AJ13" s="43"/>
      <c r="AK13" s="43"/>
      <c r="AL13" s="43" t="s">
        <v>150</v>
      </c>
      <c r="AM13" s="43" t="s">
        <v>151</v>
      </c>
    </row>
    <row r="14" spans="1:39" s="54" customFormat="1" x14ac:dyDescent="0.3">
      <c r="A14" s="70">
        <f>A12+1</f>
        <v>2</v>
      </c>
      <c r="B14" s="70"/>
      <c r="C14" s="70"/>
      <c r="D14" s="43"/>
      <c r="E14" s="70">
        <f>E12+1</f>
        <v>16</v>
      </c>
      <c r="F14" s="70"/>
      <c r="G14" s="70"/>
      <c r="H14" s="43"/>
      <c r="I14" s="70">
        <f>I12+1</f>
        <v>30</v>
      </c>
      <c r="J14" s="70"/>
      <c r="K14" s="70"/>
      <c r="L14" s="43"/>
      <c r="M14" s="70">
        <f>M12+1</f>
        <v>44</v>
      </c>
      <c r="N14" s="70"/>
      <c r="O14" s="70"/>
      <c r="P14" s="43"/>
      <c r="Q14" s="70">
        <f>Q12+1</f>
        <v>58</v>
      </c>
      <c r="R14" s="70"/>
      <c r="S14" s="70"/>
      <c r="T14" s="43"/>
      <c r="U14" s="70">
        <f>U12+1</f>
        <v>72</v>
      </c>
      <c r="V14" s="70"/>
      <c r="W14" s="70"/>
      <c r="X14" s="43"/>
      <c r="Y14" s="70">
        <f>Y12+1</f>
        <v>86</v>
      </c>
      <c r="Z14" s="70"/>
      <c r="AA14" s="70"/>
      <c r="AB14" s="43"/>
      <c r="AC14" s="70">
        <f>AC12+1</f>
        <v>100</v>
      </c>
      <c r="AD14" s="70"/>
      <c r="AE14" s="70"/>
      <c r="AF14" s="43"/>
      <c r="AG14" s="70">
        <f>AG12+1</f>
        <v>114</v>
      </c>
      <c r="AH14" s="70"/>
      <c r="AI14" s="70"/>
      <c r="AJ14" s="43"/>
      <c r="AK14" s="70">
        <f>AK12+1</f>
        <v>128</v>
      </c>
      <c r="AL14" s="70"/>
      <c r="AM14" s="70"/>
    </row>
    <row r="15" spans="1:39" s="54" customFormat="1" x14ac:dyDescent="0.3">
      <c r="A15" s="43"/>
      <c r="B15" s="43" t="s">
        <v>150</v>
      </c>
      <c r="C15" s="43" t="s">
        <v>151</v>
      </c>
      <c r="D15" s="43"/>
      <c r="E15" s="43"/>
      <c r="F15" s="43" t="s">
        <v>150</v>
      </c>
      <c r="G15" s="43" t="s">
        <v>151</v>
      </c>
      <c r="H15" s="43"/>
      <c r="I15" s="43"/>
      <c r="J15" s="43" t="s">
        <v>150</v>
      </c>
      <c r="K15" s="43" t="s">
        <v>151</v>
      </c>
      <c r="L15" s="43"/>
      <c r="M15" s="43"/>
      <c r="N15" s="43" t="s">
        <v>150</v>
      </c>
      <c r="O15" s="43" t="s">
        <v>151</v>
      </c>
      <c r="P15" s="43"/>
      <c r="Q15" s="43"/>
      <c r="R15" s="43" t="s">
        <v>150</v>
      </c>
      <c r="S15" s="43" t="s">
        <v>151</v>
      </c>
      <c r="T15" s="43"/>
      <c r="U15" s="43"/>
      <c r="V15" s="43" t="s">
        <v>150</v>
      </c>
      <c r="W15" s="43" t="s">
        <v>151</v>
      </c>
      <c r="X15" s="43"/>
      <c r="Y15" s="43"/>
      <c r="Z15" s="43" t="s">
        <v>150</v>
      </c>
      <c r="AA15" s="43" t="s">
        <v>151</v>
      </c>
      <c r="AB15" s="43"/>
      <c r="AC15" s="43"/>
      <c r="AD15" s="43" t="s">
        <v>150</v>
      </c>
      <c r="AE15" s="43" t="s">
        <v>151</v>
      </c>
      <c r="AF15" s="43"/>
      <c r="AG15" s="43"/>
      <c r="AH15" s="43" t="s">
        <v>150</v>
      </c>
      <c r="AI15" s="43" t="s">
        <v>151</v>
      </c>
      <c r="AJ15" s="43"/>
      <c r="AK15" s="43"/>
      <c r="AL15" s="43" t="s">
        <v>150</v>
      </c>
      <c r="AM15" s="43" t="s">
        <v>151</v>
      </c>
    </row>
    <row r="16" spans="1:39" s="54" customFormat="1" x14ac:dyDescent="0.3">
      <c r="A16" s="70">
        <f>A14+1</f>
        <v>3</v>
      </c>
      <c r="B16" s="70"/>
      <c r="C16" s="70"/>
      <c r="D16" s="43"/>
      <c r="E16" s="70">
        <f>E14+1</f>
        <v>17</v>
      </c>
      <c r="F16" s="70"/>
      <c r="G16" s="70"/>
      <c r="H16" s="43"/>
      <c r="I16" s="70">
        <f>I14+1</f>
        <v>31</v>
      </c>
      <c r="J16" s="70"/>
      <c r="K16" s="70"/>
      <c r="L16" s="43"/>
      <c r="M16" s="70">
        <f>M14+1</f>
        <v>45</v>
      </c>
      <c r="N16" s="70"/>
      <c r="O16" s="70"/>
      <c r="P16" s="43"/>
      <c r="Q16" s="70">
        <f>Q14+1</f>
        <v>59</v>
      </c>
      <c r="R16" s="70"/>
      <c r="S16" s="70"/>
      <c r="T16" s="43"/>
      <c r="U16" s="70">
        <f>U14+1</f>
        <v>73</v>
      </c>
      <c r="V16" s="70"/>
      <c r="W16" s="70"/>
      <c r="X16" s="43"/>
      <c r="Y16" s="70">
        <f>Y14+1</f>
        <v>87</v>
      </c>
      <c r="Z16" s="70"/>
      <c r="AA16" s="70"/>
      <c r="AB16" s="43"/>
      <c r="AC16" s="70">
        <f>AC14+1</f>
        <v>101</v>
      </c>
      <c r="AD16" s="70"/>
      <c r="AE16" s="70"/>
      <c r="AF16" s="43"/>
      <c r="AG16" s="70">
        <f>AG14+1</f>
        <v>115</v>
      </c>
      <c r="AH16" s="70"/>
      <c r="AI16" s="70"/>
      <c r="AJ16" s="43"/>
      <c r="AK16" s="70">
        <f>AK14+1</f>
        <v>129</v>
      </c>
      <c r="AL16" s="70"/>
      <c r="AM16" s="70"/>
    </row>
    <row r="17" spans="1:39" s="54" customFormat="1" x14ac:dyDescent="0.3">
      <c r="A17" s="43"/>
      <c r="B17" s="43" t="s">
        <v>150</v>
      </c>
      <c r="C17" s="43" t="s">
        <v>151</v>
      </c>
      <c r="D17" s="43"/>
      <c r="E17" s="43"/>
      <c r="F17" s="43" t="s">
        <v>150</v>
      </c>
      <c r="G17" s="43" t="s">
        <v>151</v>
      </c>
      <c r="H17" s="43"/>
      <c r="I17" s="43"/>
      <c r="J17" s="43" t="s">
        <v>150</v>
      </c>
      <c r="K17" s="43" t="s">
        <v>151</v>
      </c>
      <c r="L17" s="43"/>
      <c r="M17" s="43"/>
      <c r="N17" s="43" t="s">
        <v>150</v>
      </c>
      <c r="O17" s="43" t="s">
        <v>151</v>
      </c>
      <c r="P17" s="43"/>
      <c r="Q17" s="43"/>
      <c r="R17" s="43" t="s">
        <v>150</v>
      </c>
      <c r="S17" s="43" t="s">
        <v>151</v>
      </c>
      <c r="T17" s="43"/>
      <c r="U17" s="43"/>
      <c r="V17" s="43" t="s">
        <v>150</v>
      </c>
      <c r="W17" s="43" t="s">
        <v>151</v>
      </c>
      <c r="X17" s="43"/>
      <c r="Y17" s="43"/>
      <c r="Z17" s="43" t="s">
        <v>150</v>
      </c>
      <c r="AA17" s="43" t="s">
        <v>151</v>
      </c>
      <c r="AB17" s="43"/>
      <c r="AC17" s="43"/>
      <c r="AD17" s="43" t="s">
        <v>150</v>
      </c>
      <c r="AE17" s="43" t="s">
        <v>151</v>
      </c>
      <c r="AF17" s="43"/>
      <c r="AG17" s="43"/>
      <c r="AH17" s="43" t="s">
        <v>150</v>
      </c>
      <c r="AI17" s="43" t="s">
        <v>151</v>
      </c>
      <c r="AJ17" s="43"/>
      <c r="AK17" s="43"/>
      <c r="AL17" s="43" t="s">
        <v>150</v>
      </c>
      <c r="AM17" s="43" t="s">
        <v>151</v>
      </c>
    </row>
    <row r="18" spans="1:39" s="54" customFormat="1" x14ac:dyDescent="0.3">
      <c r="A18" s="70">
        <f>A16+1</f>
        <v>4</v>
      </c>
      <c r="B18" s="70"/>
      <c r="C18" s="70"/>
      <c r="D18" s="43"/>
      <c r="E18" s="70">
        <f>E16+1</f>
        <v>18</v>
      </c>
      <c r="F18" s="70"/>
      <c r="G18" s="70"/>
      <c r="H18" s="43"/>
      <c r="I18" s="70">
        <f>I16+1</f>
        <v>32</v>
      </c>
      <c r="J18" s="70"/>
      <c r="K18" s="70"/>
      <c r="L18" s="43"/>
      <c r="M18" s="70">
        <f>M16+1</f>
        <v>46</v>
      </c>
      <c r="N18" s="70"/>
      <c r="O18" s="70"/>
      <c r="P18" s="43"/>
      <c r="Q18" s="70">
        <f>Q16+1</f>
        <v>60</v>
      </c>
      <c r="R18" s="70"/>
      <c r="S18" s="70"/>
      <c r="T18" s="43"/>
      <c r="U18" s="70">
        <f>U16+1</f>
        <v>74</v>
      </c>
      <c r="V18" s="70"/>
      <c r="W18" s="70"/>
      <c r="X18" s="43"/>
      <c r="Y18" s="70">
        <f>Y16+1</f>
        <v>88</v>
      </c>
      <c r="Z18" s="70"/>
      <c r="AA18" s="70"/>
      <c r="AB18" s="43"/>
      <c r="AC18" s="70">
        <f>AC16+1</f>
        <v>102</v>
      </c>
      <c r="AD18" s="70"/>
      <c r="AE18" s="70"/>
      <c r="AF18" s="43"/>
      <c r="AG18" s="70">
        <f>AG16+1</f>
        <v>116</v>
      </c>
      <c r="AH18" s="70"/>
      <c r="AI18" s="70"/>
      <c r="AJ18" s="43"/>
      <c r="AK18" s="70">
        <f>AK16+1</f>
        <v>130</v>
      </c>
      <c r="AL18" s="70"/>
      <c r="AM18" s="70"/>
    </row>
    <row r="19" spans="1:39" s="54" customFormat="1" x14ac:dyDescent="0.3">
      <c r="A19" s="43"/>
      <c r="B19" s="43" t="s">
        <v>150</v>
      </c>
      <c r="C19" s="43" t="s">
        <v>151</v>
      </c>
      <c r="D19" s="43"/>
      <c r="E19" s="43"/>
      <c r="F19" s="43" t="s">
        <v>150</v>
      </c>
      <c r="G19" s="43" t="s">
        <v>151</v>
      </c>
      <c r="H19" s="43"/>
      <c r="I19" s="43"/>
      <c r="J19" s="43" t="s">
        <v>150</v>
      </c>
      <c r="K19" s="43" t="s">
        <v>151</v>
      </c>
      <c r="L19" s="43"/>
      <c r="M19" s="43"/>
      <c r="N19" s="43" t="s">
        <v>150</v>
      </c>
      <c r="O19" s="43" t="s">
        <v>151</v>
      </c>
      <c r="P19" s="43"/>
      <c r="Q19" s="43"/>
      <c r="R19" s="43" t="s">
        <v>150</v>
      </c>
      <c r="S19" s="43" t="s">
        <v>151</v>
      </c>
      <c r="T19" s="43"/>
      <c r="U19" s="43"/>
      <c r="V19" s="43" t="s">
        <v>150</v>
      </c>
      <c r="W19" s="43" t="s">
        <v>151</v>
      </c>
      <c r="X19" s="43"/>
      <c r="Y19" s="43"/>
      <c r="Z19" s="43" t="s">
        <v>150</v>
      </c>
      <c r="AA19" s="43" t="s">
        <v>151</v>
      </c>
      <c r="AB19" s="43"/>
      <c r="AC19" s="43"/>
      <c r="AD19" s="43" t="s">
        <v>150</v>
      </c>
      <c r="AE19" s="43" t="s">
        <v>151</v>
      </c>
      <c r="AF19" s="43"/>
      <c r="AG19" s="43"/>
      <c r="AH19" s="43" t="s">
        <v>150</v>
      </c>
      <c r="AI19" s="43" t="s">
        <v>151</v>
      </c>
      <c r="AJ19" s="43"/>
      <c r="AK19" s="43"/>
      <c r="AL19" s="43" t="s">
        <v>150</v>
      </c>
      <c r="AM19" s="43" t="s">
        <v>151</v>
      </c>
    </row>
    <row r="20" spans="1:39" s="54" customFormat="1" x14ac:dyDescent="0.3">
      <c r="A20" s="70">
        <f>A18+1</f>
        <v>5</v>
      </c>
      <c r="B20" s="70"/>
      <c r="C20" s="70"/>
      <c r="D20" s="43"/>
      <c r="E20" s="70">
        <f>E18+1</f>
        <v>19</v>
      </c>
      <c r="F20" s="70"/>
      <c r="G20" s="70"/>
      <c r="H20" s="43"/>
      <c r="I20" s="70">
        <f>I18+1</f>
        <v>33</v>
      </c>
      <c r="J20" s="70"/>
      <c r="K20" s="70"/>
      <c r="L20" s="43"/>
      <c r="M20" s="70">
        <f>M18+1</f>
        <v>47</v>
      </c>
      <c r="N20" s="70"/>
      <c r="O20" s="70"/>
      <c r="P20" s="43"/>
      <c r="Q20" s="70">
        <f>Q18+1</f>
        <v>61</v>
      </c>
      <c r="R20" s="70"/>
      <c r="S20" s="70"/>
      <c r="T20" s="43"/>
      <c r="U20" s="70">
        <f>U18+1</f>
        <v>75</v>
      </c>
      <c r="V20" s="70"/>
      <c r="W20" s="70"/>
      <c r="X20" s="43"/>
      <c r="Y20" s="70">
        <f>Y18+1</f>
        <v>89</v>
      </c>
      <c r="Z20" s="70"/>
      <c r="AA20" s="70"/>
      <c r="AB20" s="43"/>
      <c r="AC20" s="70">
        <f>AC18+1</f>
        <v>103</v>
      </c>
      <c r="AD20" s="70"/>
      <c r="AE20" s="70"/>
      <c r="AF20" s="43"/>
      <c r="AG20" s="70">
        <f>AG18+1</f>
        <v>117</v>
      </c>
      <c r="AH20" s="70"/>
      <c r="AI20" s="70"/>
      <c r="AJ20" s="43"/>
      <c r="AK20" s="70">
        <f>AK18+1</f>
        <v>131</v>
      </c>
      <c r="AL20" s="70"/>
      <c r="AM20" s="70"/>
    </row>
    <row r="21" spans="1:39" s="54" customFormat="1" x14ac:dyDescent="0.25">
      <c r="A21" s="43"/>
      <c r="B21" s="43" t="s">
        <v>150</v>
      </c>
      <c r="C21" s="43" t="s">
        <v>151</v>
      </c>
      <c r="D21" s="43"/>
      <c r="E21" s="43"/>
      <c r="F21" s="43" t="s">
        <v>150</v>
      </c>
      <c r="G21" s="43" t="s">
        <v>151</v>
      </c>
      <c r="H21" s="43"/>
      <c r="I21" s="43"/>
      <c r="J21" s="43" t="s">
        <v>150</v>
      </c>
      <c r="K21" s="43" t="s">
        <v>151</v>
      </c>
      <c r="L21" s="43"/>
      <c r="M21" s="43"/>
      <c r="N21" s="43" t="s">
        <v>150</v>
      </c>
      <c r="O21" s="43" t="s">
        <v>151</v>
      </c>
      <c r="P21" s="43"/>
      <c r="Q21" s="43"/>
      <c r="R21" s="43" t="s">
        <v>150</v>
      </c>
      <c r="S21" s="43" t="s">
        <v>151</v>
      </c>
      <c r="T21" s="43"/>
      <c r="U21" s="43"/>
      <c r="V21" s="43" t="s">
        <v>150</v>
      </c>
      <c r="W21" s="43" t="s">
        <v>151</v>
      </c>
      <c r="X21" s="43"/>
      <c r="Y21" s="43"/>
      <c r="Z21" s="43" t="s">
        <v>150</v>
      </c>
      <c r="AA21" s="43" t="s">
        <v>151</v>
      </c>
      <c r="AB21" s="43"/>
      <c r="AC21" s="43"/>
      <c r="AD21" s="43" t="s">
        <v>150</v>
      </c>
      <c r="AE21" s="43" t="s">
        <v>151</v>
      </c>
      <c r="AF21" s="43"/>
      <c r="AG21" s="43"/>
      <c r="AH21" s="43" t="s">
        <v>150</v>
      </c>
      <c r="AI21" s="43" t="s">
        <v>151</v>
      </c>
      <c r="AJ21" s="43"/>
      <c r="AK21" s="43"/>
      <c r="AL21" s="43" t="s">
        <v>150</v>
      </c>
      <c r="AM21" s="43" t="s">
        <v>151</v>
      </c>
    </row>
    <row r="22" spans="1:39" s="54" customFormat="1" x14ac:dyDescent="0.25">
      <c r="A22" s="70">
        <f>A20+1</f>
        <v>6</v>
      </c>
      <c r="B22" s="70"/>
      <c r="C22" s="70"/>
      <c r="D22" s="43"/>
      <c r="E22" s="70">
        <f>E20+1</f>
        <v>20</v>
      </c>
      <c r="F22" s="70"/>
      <c r="G22" s="70"/>
      <c r="H22" s="43"/>
      <c r="I22" s="70">
        <f>I20+1</f>
        <v>34</v>
      </c>
      <c r="J22" s="70"/>
      <c r="K22" s="70"/>
      <c r="L22" s="43"/>
      <c r="M22" s="70">
        <f>M20+1</f>
        <v>48</v>
      </c>
      <c r="N22" s="70"/>
      <c r="O22" s="70"/>
      <c r="P22" s="43"/>
      <c r="Q22" s="70">
        <f>Q20+1</f>
        <v>62</v>
      </c>
      <c r="R22" s="70"/>
      <c r="S22" s="70"/>
      <c r="T22" s="43"/>
      <c r="U22" s="70">
        <f>U20+1</f>
        <v>76</v>
      </c>
      <c r="V22" s="70"/>
      <c r="W22" s="70"/>
      <c r="X22" s="43"/>
      <c r="Y22" s="70">
        <f>Y20+1</f>
        <v>90</v>
      </c>
      <c r="Z22" s="70"/>
      <c r="AA22" s="70"/>
      <c r="AB22" s="43"/>
      <c r="AC22" s="70">
        <f>AC20+1</f>
        <v>104</v>
      </c>
      <c r="AD22" s="70"/>
      <c r="AE22" s="70"/>
      <c r="AF22" s="43"/>
      <c r="AG22" s="70">
        <f>AG20+1</f>
        <v>118</v>
      </c>
      <c r="AH22" s="70"/>
      <c r="AI22" s="70"/>
      <c r="AJ22" s="43"/>
      <c r="AK22" s="70">
        <f>AK20+1</f>
        <v>132</v>
      </c>
      <c r="AL22" s="70"/>
      <c r="AM22" s="70"/>
    </row>
    <row r="23" spans="1:39" s="54" customFormat="1" x14ac:dyDescent="0.25">
      <c r="A23" s="43"/>
      <c r="B23" s="43" t="s">
        <v>150</v>
      </c>
      <c r="C23" s="43" t="s">
        <v>151</v>
      </c>
      <c r="D23" s="43"/>
      <c r="E23" s="43"/>
      <c r="F23" s="43" t="s">
        <v>150</v>
      </c>
      <c r="G23" s="43" t="s">
        <v>151</v>
      </c>
      <c r="H23" s="43"/>
      <c r="I23" s="43"/>
      <c r="J23" s="43" t="s">
        <v>150</v>
      </c>
      <c r="K23" s="43" t="s">
        <v>151</v>
      </c>
      <c r="L23" s="43"/>
      <c r="M23" s="43"/>
      <c r="N23" s="43" t="s">
        <v>150</v>
      </c>
      <c r="O23" s="43" t="s">
        <v>151</v>
      </c>
      <c r="P23" s="43"/>
      <c r="Q23" s="43"/>
      <c r="R23" s="43" t="s">
        <v>150</v>
      </c>
      <c r="S23" s="43" t="s">
        <v>151</v>
      </c>
      <c r="T23" s="43"/>
      <c r="U23" s="43"/>
      <c r="V23" s="43" t="s">
        <v>150</v>
      </c>
      <c r="W23" s="43" t="s">
        <v>151</v>
      </c>
      <c r="X23" s="43"/>
      <c r="Y23" s="43"/>
      <c r="Z23" s="43" t="s">
        <v>150</v>
      </c>
      <c r="AA23" s="43" t="s">
        <v>151</v>
      </c>
      <c r="AB23" s="43"/>
      <c r="AC23" s="43"/>
      <c r="AD23" s="43" t="s">
        <v>150</v>
      </c>
      <c r="AE23" s="43" t="s">
        <v>151</v>
      </c>
      <c r="AF23" s="43"/>
      <c r="AG23" s="43"/>
      <c r="AH23" s="43" t="s">
        <v>150</v>
      </c>
      <c r="AI23" s="43" t="s">
        <v>151</v>
      </c>
      <c r="AJ23" s="43"/>
      <c r="AK23" s="43"/>
      <c r="AL23" s="43" t="s">
        <v>150</v>
      </c>
      <c r="AM23" s="43" t="s">
        <v>151</v>
      </c>
    </row>
    <row r="24" spans="1:39" s="54" customFormat="1" x14ac:dyDescent="0.25">
      <c r="A24" s="70">
        <f>A22+1</f>
        <v>7</v>
      </c>
      <c r="B24" s="70"/>
      <c r="C24" s="70"/>
      <c r="D24" s="43"/>
      <c r="E24" s="70">
        <f>E22+1</f>
        <v>21</v>
      </c>
      <c r="F24" s="70"/>
      <c r="G24" s="70"/>
      <c r="H24" s="43"/>
      <c r="I24" s="70">
        <f>I22+1</f>
        <v>35</v>
      </c>
      <c r="J24" s="70"/>
      <c r="K24" s="70"/>
      <c r="L24" s="43"/>
      <c r="M24" s="70">
        <f>M22+1</f>
        <v>49</v>
      </c>
      <c r="N24" s="70"/>
      <c r="O24" s="70"/>
      <c r="P24" s="43"/>
      <c r="Q24" s="70">
        <f>Q22+1</f>
        <v>63</v>
      </c>
      <c r="R24" s="70"/>
      <c r="S24" s="70"/>
      <c r="T24" s="43"/>
      <c r="U24" s="70">
        <f>U22+1</f>
        <v>77</v>
      </c>
      <c r="V24" s="70"/>
      <c r="W24" s="70"/>
      <c r="X24" s="43"/>
      <c r="Y24" s="70">
        <f>Y22+1</f>
        <v>91</v>
      </c>
      <c r="Z24" s="70"/>
      <c r="AA24" s="70"/>
      <c r="AB24" s="43"/>
      <c r="AC24" s="70">
        <f>AC22+1</f>
        <v>105</v>
      </c>
      <c r="AD24" s="70"/>
      <c r="AE24" s="70"/>
      <c r="AF24" s="43"/>
      <c r="AG24" s="70">
        <f>AG22+1</f>
        <v>119</v>
      </c>
      <c r="AH24" s="70"/>
      <c r="AI24" s="70"/>
      <c r="AJ24" s="43"/>
      <c r="AK24" s="70">
        <f>AK22+1</f>
        <v>133</v>
      </c>
      <c r="AL24" s="70"/>
      <c r="AM24" s="70"/>
    </row>
    <row r="25" spans="1:39" s="54" customFormat="1" x14ac:dyDescent="0.25">
      <c r="A25" s="43"/>
      <c r="B25" s="43" t="s">
        <v>150</v>
      </c>
      <c r="C25" s="43" t="s">
        <v>151</v>
      </c>
      <c r="D25" s="43"/>
      <c r="E25" s="43"/>
      <c r="F25" s="43" t="s">
        <v>150</v>
      </c>
      <c r="G25" s="43" t="s">
        <v>151</v>
      </c>
      <c r="H25" s="43"/>
      <c r="I25" s="43"/>
      <c r="J25" s="43" t="s">
        <v>150</v>
      </c>
      <c r="K25" s="43" t="s">
        <v>151</v>
      </c>
      <c r="L25" s="43"/>
      <c r="M25" s="43"/>
      <c r="N25" s="43" t="s">
        <v>150</v>
      </c>
      <c r="O25" s="43" t="s">
        <v>151</v>
      </c>
      <c r="P25" s="43"/>
      <c r="Q25" s="43"/>
      <c r="R25" s="43" t="s">
        <v>150</v>
      </c>
      <c r="S25" s="43" t="s">
        <v>151</v>
      </c>
      <c r="T25" s="43"/>
      <c r="U25" s="43"/>
      <c r="V25" s="43" t="s">
        <v>150</v>
      </c>
      <c r="W25" s="43" t="s">
        <v>151</v>
      </c>
      <c r="X25" s="43"/>
      <c r="Y25" s="43"/>
      <c r="Z25" s="43" t="s">
        <v>150</v>
      </c>
      <c r="AA25" s="43" t="s">
        <v>151</v>
      </c>
      <c r="AB25" s="43"/>
      <c r="AC25" s="43"/>
      <c r="AD25" s="43" t="s">
        <v>150</v>
      </c>
      <c r="AE25" s="43" t="s">
        <v>151</v>
      </c>
      <c r="AF25" s="43"/>
      <c r="AG25" s="43"/>
      <c r="AH25" s="43" t="s">
        <v>150</v>
      </c>
      <c r="AI25" s="43" t="s">
        <v>151</v>
      </c>
      <c r="AJ25" s="43"/>
      <c r="AK25" s="43"/>
      <c r="AL25" s="43" t="s">
        <v>150</v>
      </c>
      <c r="AM25" s="43" t="s">
        <v>151</v>
      </c>
    </row>
    <row r="26" spans="1:39" s="54" customFormat="1" x14ac:dyDescent="0.25">
      <c r="A26" s="70">
        <f>A24+1</f>
        <v>8</v>
      </c>
      <c r="B26" s="70"/>
      <c r="C26" s="70"/>
      <c r="D26" s="43"/>
      <c r="E26" s="70">
        <f>E24+1</f>
        <v>22</v>
      </c>
      <c r="F26" s="70"/>
      <c r="G26" s="70"/>
      <c r="H26" s="43"/>
      <c r="I26" s="70">
        <f>I24+1</f>
        <v>36</v>
      </c>
      <c r="J26" s="70"/>
      <c r="K26" s="70"/>
      <c r="L26" s="43"/>
      <c r="M26" s="70">
        <f>M24+1</f>
        <v>50</v>
      </c>
      <c r="N26" s="70"/>
      <c r="O26" s="70"/>
      <c r="P26" s="43"/>
      <c r="Q26" s="70">
        <f>Q24+1</f>
        <v>64</v>
      </c>
      <c r="R26" s="70"/>
      <c r="S26" s="70"/>
      <c r="T26" s="43"/>
      <c r="U26" s="70">
        <f>U24+1</f>
        <v>78</v>
      </c>
      <c r="V26" s="70"/>
      <c r="W26" s="70"/>
      <c r="X26" s="43"/>
      <c r="Y26" s="70">
        <f>Y24+1</f>
        <v>92</v>
      </c>
      <c r="Z26" s="70"/>
      <c r="AA26" s="70"/>
      <c r="AB26" s="43"/>
      <c r="AC26" s="70">
        <f>AC24+1</f>
        <v>106</v>
      </c>
      <c r="AD26" s="70"/>
      <c r="AE26" s="70"/>
      <c r="AF26" s="43"/>
      <c r="AG26" s="70">
        <f>AG24+1</f>
        <v>120</v>
      </c>
      <c r="AH26" s="70"/>
      <c r="AI26" s="70"/>
      <c r="AJ26" s="43"/>
      <c r="AK26" s="70">
        <f>AK24+1</f>
        <v>134</v>
      </c>
      <c r="AL26" s="70"/>
      <c r="AM26" s="70"/>
    </row>
    <row r="27" spans="1:39" s="54" customFormat="1" x14ac:dyDescent="0.25">
      <c r="A27" s="43"/>
      <c r="B27" s="43" t="s">
        <v>150</v>
      </c>
      <c r="C27" s="43" t="s">
        <v>151</v>
      </c>
      <c r="D27" s="43"/>
      <c r="E27" s="43"/>
      <c r="F27" s="43" t="s">
        <v>150</v>
      </c>
      <c r="G27" s="43" t="s">
        <v>151</v>
      </c>
      <c r="H27" s="43"/>
      <c r="I27" s="43"/>
      <c r="J27" s="43" t="s">
        <v>150</v>
      </c>
      <c r="K27" s="43" t="s">
        <v>151</v>
      </c>
      <c r="L27" s="43"/>
      <c r="M27" s="43"/>
      <c r="N27" s="43" t="s">
        <v>150</v>
      </c>
      <c r="O27" s="43" t="s">
        <v>151</v>
      </c>
      <c r="P27" s="43"/>
      <c r="Q27" s="43"/>
      <c r="R27" s="43" t="s">
        <v>150</v>
      </c>
      <c r="S27" s="43" t="s">
        <v>151</v>
      </c>
      <c r="T27" s="43"/>
      <c r="U27" s="43"/>
      <c r="V27" s="43" t="s">
        <v>150</v>
      </c>
      <c r="W27" s="43" t="s">
        <v>151</v>
      </c>
      <c r="X27" s="43"/>
      <c r="Y27" s="43"/>
      <c r="Z27" s="43" t="s">
        <v>150</v>
      </c>
      <c r="AA27" s="43" t="s">
        <v>151</v>
      </c>
      <c r="AB27" s="43"/>
      <c r="AC27" s="43"/>
      <c r="AD27" s="43" t="s">
        <v>150</v>
      </c>
      <c r="AE27" s="43" t="s">
        <v>151</v>
      </c>
      <c r="AF27" s="43"/>
      <c r="AG27" s="43"/>
      <c r="AH27" s="43" t="s">
        <v>150</v>
      </c>
      <c r="AI27" s="43" t="s">
        <v>151</v>
      </c>
      <c r="AJ27" s="43"/>
      <c r="AK27" s="43"/>
      <c r="AL27" s="43" t="s">
        <v>150</v>
      </c>
      <c r="AM27" s="43" t="s">
        <v>151</v>
      </c>
    </row>
    <row r="28" spans="1:39" s="54" customFormat="1" x14ac:dyDescent="0.25">
      <c r="A28" s="70">
        <f>A26+1</f>
        <v>9</v>
      </c>
      <c r="B28" s="70"/>
      <c r="C28" s="70"/>
      <c r="D28" s="43"/>
      <c r="E28" s="70">
        <f>E26+1</f>
        <v>23</v>
      </c>
      <c r="F28" s="70"/>
      <c r="G28" s="70"/>
      <c r="H28" s="43"/>
      <c r="I28" s="70">
        <f>I26+1</f>
        <v>37</v>
      </c>
      <c r="J28" s="70"/>
      <c r="K28" s="70"/>
      <c r="L28" s="43"/>
      <c r="M28" s="70">
        <f>M26+1</f>
        <v>51</v>
      </c>
      <c r="N28" s="70"/>
      <c r="O28" s="70"/>
      <c r="P28" s="43"/>
      <c r="Q28" s="70">
        <f>Q26+1</f>
        <v>65</v>
      </c>
      <c r="R28" s="70"/>
      <c r="S28" s="70"/>
      <c r="T28" s="43"/>
      <c r="U28" s="70">
        <f>U26+1</f>
        <v>79</v>
      </c>
      <c r="V28" s="70"/>
      <c r="W28" s="70"/>
      <c r="X28" s="43"/>
      <c r="Y28" s="70">
        <f>Y26+1</f>
        <v>93</v>
      </c>
      <c r="Z28" s="70"/>
      <c r="AA28" s="70"/>
      <c r="AB28" s="43"/>
      <c r="AC28" s="70">
        <f>AC26+1</f>
        <v>107</v>
      </c>
      <c r="AD28" s="70"/>
      <c r="AE28" s="70"/>
      <c r="AF28" s="43"/>
      <c r="AG28" s="70">
        <f>AG26+1</f>
        <v>121</v>
      </c>
      <c r="AH28" s="70"/>
      <c r="AI28" s="70"/>
      <c r="AJ28" s="43"/>
      <c r="AK28" s="70">
        <f>AK26+1</f>
        <v>135</v>
      </c>
      <c r="AL28" s="70"/>
      <c r="AM28" s="70"/>
    </row>
    <row r="29" spans="1:39" s="54" customFormat="1" x14ac:dyDescent="0.25">
      <c r="A29" s="43"/>
      <c r="B29" s="43" t="s">
        <v>150</v>
      </c>
      <c r="C29" s="43" t="s">
        <v>151</v>
      </c>
      <c r="D29" s="43"/>
      <c r="E29" s="43"/>
      <c r="F29" s="43" t="s">
        <v>150</v>
      </c>
      <c r="G29" s="43" t="s">
        <v>151</v>
      </c>
      <c r="H29" s="43"/>
      <c r="I29" s="43"/>
      <c r="J29" s="43" t="s">
        <v>150</v>
      </c>
      <c r="K29" s="43" t="s">
        <v>151</v>
      </c>
      <c r="L29" s="43"/>
      <c r="M29" s="43"/>
      <c r="N29" s="43" t="s">
        <v>150</v>
      </c>
      <c r="O29" s="43" t="s">
        <v>151</v>
      </c>
      <c r="P29" s="43"/>
      <c r="Q29" s="43"/>
      <c r="R29" s="43" t="s">
        <v>150</v>
      </c>
      <c r="S29" s="43" t="s">
        <v>151</v>
      </c>
      <c r="T29" s="43"/>
      <c r="U29" s="43"/>
      <c r="V29" s="43" t="s">
        <v>150</v>
      </c>
      <c r="W29" s="43" t="s">
        <v>151</v>
      </c>
      <c r="X29" s="43"/>
      <c r="Y29" s="43"/>
      <c r="Z29" s="43" t="s">
        <v>150</v>
      </c>
      <c r="AA29" s="43" t="s">
        <v>151</v>
      </c>
      <c r="AB29" s="43"/>
      <c r="AC29" s="43"/>
      <c r="AD29" s="43" t="s">
        <v>150</v>
      </c>
      <c r="AE29" s="43" t="s">
        <v>151</v>
      </c>
      <c r="AF29" s="43"/>
      <c r="AG29" s="43"/>
      <c r="AH29" s="43" t="s">
        <v>150</v>
      </c>
      <c r="AI29" s="43" t="s">
        <v>151</v>
      </c>
      <c r="AJ29" s="43"/>
      <c r="AK29" s="43"/>
      <c r="AL29" s="43" t="s">
        <v>150</v>
      </c>
      <c r="AM29" s="43" t="s">
        <v>151</v>
      </c>
    </row>
    <row r="30" spans="1:39" s="54" customFormat="1" x14ac:dyDescent="0.25">
      <c r="A30" s="70">
        <f>A28+1</f>
        <v>10</v>
      </c>
      <c r="B30" s="70"/>
      <c r="C30" s="70"/>
      <c r="D30" s="43"/>
      <c r="E30" s="70">
        <f>E28+1</f>
        <v>24</v>
      </c>
      <c r="F30" s="70"/>
      <c r="G30" s="70"/>
      <c r="H30" s="43"/>
      <c r="I30" s="70">
        <f>I28+1</f>
        <v>38</v>
      </c>
      <c r="J30" s="70"/>
      <c r="K30" s="70"/>
      <c r="L30" s="43"/>
      <c r="M30" s="70">
        <f>M28+1</f>
        <v>52</v>
      </c>
      <c r="N30" s="70"/>
      <c r="O30" s="70"/>
      <c r="P30" s="43"/>
      <c r="Q30" s="70">
        <f>Q28+1</f>
        <v>66</v>
      </c>
      <c r="R30" s="70"/>
      <c r="S30" s="70"/>
      <c r="T30" s="43"/>
      <c r="U30" s="70">
        <f>U28+1</f>
        <v>80</v>
      </c>
      <c r="V30" s="70"/>
      <c r="W30" s="70"/>
      <c r="X30" s="43"/>
      <c r="Y30" s="70">
        <f>Y28+1</f>
        <v>94</v>
      </c>
      <c r="Z30" s="70"/>
      <c r="AA30" s="70"/>
      <c r="AB30" s="43"/>
      <c r="AC30" s="70">
        <f>AC28+1</f>
        <v>108</v>
      </c>
      <c r="AD30" s="70"/>
      <c r="AE30" s="70"/>
      <c r="AF30" s="43"/>
      <c r="AG30" s="70">
        <f>AG28+1</f>
        <v>122</v>
      </c>
      <c r="AH30" s="70"/>
      <c r="AI30" s="70"/>
      <c r="AJ30" s="43"/>
      <c r="AK30" s="70">
        <f>AK28+1</f>
        <v>136</v>
      </c>
      <c r="AL30" s="70"/>
      <c r="AM30" s="70"/>
    </row>
    <row r="31" spans="1:39" s="54" customFormat="1" x14ac:dyDescent="0.25">
      <c r="A31" s="43"/>
      <c r="B31" s="43" t="s">
        <v>150</v>
      </c>
      <c r="C31" s="43" t="s">
        <v>151</v>
      </c>
      <c r="D31" s="43"/>
      <c r="E31" s="43"/>
      <c r="F31" s="43" t="s">
        <v>150</v>
      </c>
      <c r="G31" s="43" t="s">
        <v>151</v>
      </c>
      <c r="H31" s="43"/>
      <c r="I31" s="43"/>
      <c r="J31" s="43" t="s">
        <v>150</v>
      </c>
      <c r="K31" s="43" t="s">
        <v>151</v>
      </c>
      <c r="L31" s="43"/>
      <c r="M31" s="43"/>
      <c r="N31" s="43" t="s">
        <v>150</v>
      </c>
      <c r="O31" s="43" t="s">
        <v>151</v>
      </c>
      <c r="P31" s="43"/>
      <c r="Q31" s="43"/>
      <c r="R31" s="43" t="s">
        <v>150</v>
      </c>
      <c r="S31" s="43" t="s">
        <v>151</v>
      </c>
      <c r="T31" s="43"/>
      <c r="U31" s="43"/>
      <c r="V31" s="43" t="s">
        <v>150</v>
      </c>
      <c r="W31" s="43" t="s">
        <v>151</v>
      </c>
      <c r="X31" s="43"/>
      <c r="Y31" s="43"/>
      <c r="Z31" s="43" t="s">
        <v>150</v>
      </c>
      <c r="AA31" s="43" t="s">
        <v>151</v>
      </c>
      <c r="AB31" s="43"/>
      <c r="AC31" s="43"/>
      <c r="AD31" s="43" t="s">
        <v>150</v>
      </c>
      <c r="AE31" s="43" t="s">
        <v>151</v>
      </c>
      <c r="AF31" s="43"/>
      <c r="AG31" s="43"/>
      <c r="AH31" s="43" t="s">
        <v>150</v>
      </c>
      <c r="AI31" s="43" t="s">
        <v>151</v>
      </c>
      <c r="AJ31" s="43"/>
      <c r="AK31" s="43"/>
      <c r="AL31" s="43" t="s">
        <v>150</v>
      </c>
      <c r="AM31" s="43" t="s">
        <v>151</v>
      </c>
    </row>
    <row r="32" spans="1:39" s="54" customFormat="1" x14ac:dyDescent="0.25">
      <c r="A32" s="70">
        <f>A30+1</f>
        <v>11</v>
      </c>
      <c r="B32" s="70"/>
      <c r="C32" s="70"/>
      <c r="D32" s="43"/>
      <c r="E32" s="70">
        <f>E30+1</f>
        <v>25</v>
      </c>
      <c r="F32" s="70"/>
      <c r="G32" s="70"/>
      <c r="H32" s="43"/>
      <c r="I32" s="70">
        <f>I30+1</f>
        <v>39</v>
      </c>
      <c r="J32" s="70"/>
      <c r="K32" s="70"/>
      <c r="L32" s="43"/>
      <c r="M32" s="70">
        <f>M30+1</f>
        <v>53</v>
      </c>
      <c r="N32" s="70"/>
      <c r="O32" s="70"/>
      <c r="P32" s="43"/>
      <c r="Q32" s="70">
        <f>Q30+1</f>
        <v>67</v>
      </c>
      <c r="R32" s="70"/>
      <c r="S32" s="70"/>
      <c r="T32" s="43"/>
      <c r="U32" s="70">
        <f>U30+1</f>
        <v>81</v>
      </c>
      <c r="V32" s="70"/>
      <c r="W32" s="70"/>
      <c r="X32" s="43"/>
      <c r="Y32" s="70">
        <f>Y30+1</f>
        <v>95</v>
      </c>
      <c r="Z32" s="70"/>
      <c r="AA32" s="70"/>
      <c r="AB32" s="43"/>
      <c r="AC32" s="70">
        <f>AC30+1</f>
        <v>109</v>
      </c>
      <c r="AD32" s="70"/>
      <c r="AE32" s="70"/>
      <c r="AF32" s="43"/>
      <c r="AG32" s="70">
        <f>AG30+1</f>
        <v>123</v>
      </c>
      <c r="AH32" s="70"/>
      <c r="AI32" s="70"/>
      <c r="AJ32" s="43"/>
      <c r="AK32" s="70">
        <f>AK30+1</f>
        <v>137</v>
      </c>
      <c r="AL32" s="70"/>
      <c r="AM32" s="70"/>
    </row>
    <row r="33" spans="1:39" s="54" customFormat="1" x14ac:dyDescent="0.25">
      <c r="A33" s="43"/>
      <c r="B33" s="43" t="s">
        <v>150</v>
      </c>
      <c r="C33" s="43" t="s">
        <v>151</v>
      </c>
      <c r="D33" s="43"/>
      <c r="E33" s="43"/>
      <c r="F33" s="43" t="s">
        <v>150</v>
      </c>
      <c r="G33" s="43" t="s">
        <v>151</v>
      </c>
      <c r="H33" s="43"/>
      <c r="I33" s="43"/>
      <c r="J33" s="43" t="s">
        <v>150</v>
      </c>
      <c r="K33" s="43" t="s">
        <v>151</v>
      </c>
      <c r="L33" s="43"/>
      <c r="M33" s="43"/>
      <c r="N33" s="43" t="s">
        <v>150</v>
      </c>
      <c r="O33" s="43" t="s">
        <v>151</v>
      </c>
      <c r="P33" s="43"/>
      <c r="Q33" s="43"/>
      <c r="R33" s="43" t="s">
        <v>150</v>
      </c>
      <c r="S33" s="43" t="s">
        <v>151</v>
      </c>
      <c r="T33" s="43"/>
      <c r="U33" s="43"/>
      <c r="V33" s="43" t="s">
        <v>150</v>
      </c>
      <c r="W33" s="43" t="s">
        <v>151</v>
      </c>
      <c r="X33" s="43"/>
      <c r="Y33" s="43"/>
      <c r="Z33" s="43" t="s">
        <v>150</v>
      </c>
      <c r="AA33" s="43" t="s">
        <v>151</v>
      </c>
      <c r="AB33" s="43"/>
      <c r="AC33" s="43"/>
      <c r="AD33" s="43" t="s">
        <v>150</v>
      </c>
      <c r="AE33" s="43" t="s">
        <v>151</v>
      </c>
      <c r="AF33" s="43"/>
      <c r="AG33" s="43"/>
      <c r="AH33" s="43" t="s">
        <v>150</v>
      </c>
      <c r="AI33" s="43" t="s">
        <v>151</v>
      </c>
      <c r="AJ33" s="43"/>
      <c r="AK33" s="43"/>
      <c r="AL33" s="43" t="s">
        <v>150</v>
      </c>
      <c r="AM33" s="43" t="s">
        <v>151</v>
      </c>
    </row>
    <row r="34" spans="1:39" s="54" customFormat="1" x14ac:dyDescent="0.25">
      <c r="A34" s="70">
        <f>A32+1</f>
        <v>12</v>
      </c>
      <c r="B34" s="70"/>
      <c r="C34" s="70"/>
      <c r="D34" s="43"/>
      <c r="E34" s="70">
        <f>E32+1</f>
        <v>26</v>
      </c>
      <c r="F34" s="70"/>
      <c r="G34" s="70"/>
      <c r="H34" s="43"/>
      <c r="I34" s="70">
        <f>I32+1</f>
        <v>40</v>
      </c>
      <c r="J34" s="70"/>
      <c r="K34" s="70"/>
      <c r="L34" s="43"/>
      <c r="M34" s="70">
        <f>M32+1</f>
        <v>54</v>
      </c>
      <c r="N34" s="70"/>
      <c r="O34" s="70"/>
      <c r="P34" s="43"/>
      <c r="Q34" s="70">
        <f>Q32+1</f>
        <v>68</v>
      </c>
      <c r="R34" s="70"/>
      <c r="S34" s="70"/>
      <c r="T34" s="43"/>
      <c r="U34" s="70">
        <f>U32+1</f>
        <v>82</v>
      </c>
      <c r="V34" s="70"/>
      <c r="W34" s="70"/>
      <c r="X34" s="43"/>
      <c r="Y34" s="70">
        <f>Y32+1</f>
        <v>96</v>
      </c>
      <c r="Z34" s="70"/>
      <c r="AA34" s="70"/>
      <c r="AB34" s="43"/>
      <c r="AC34" s="70">
        <f>AC32+1</f>
        <v>110</v>
      </c>
      <c r="AD34" s="70"/>
      <c r="AE34" s="70"/>
      <c r="AF34" s="43"/>
      <c r="AG34" s="70">
        <f>AG32+1</f>
        <v>124</v>
      </c>
      <c r="AH34" s="70"/>
      <c r="AI34" s="70"/>
      <c r="AJ34" s="43"/>
      <c r="AK34" s="70">
        <f>AK32+1</f>
        <v>138</v>
      </c>
      <c r="AL34" s="70"/>
      <c r="AM34" s="70"/>
    </row>
    <row r="35" spans="1:39" s="54" customFormat="1" x14ac:dyDescent="0.25">
      <c r="A35" s="43"/>
      <c r="B35" s="43" t="s">
        <v>150</v>
      </c>
      <c r="C35" s="43" t="s">
        <v>151</v>
      </c>
      <c r="D35" s="43"/>
      <c r="E35" s="43"/>
      <c r="F35" s="43" t="s">
        <v>150</v>
      </c>
      <c r="G35" s="43" t="s">
        <v>151</v>
      </c>
      <c r="H35" s="43"/>
      <c r="I35" s="43"/>
      <c r="J35" s="43" t="s">
        <v>150</v>
      </c>
      <c r="K35" s="43" t="s">
        <v>151</v>
      </c>
      <c r="L35" s="43"/>
      <c r="M35" s="43"/>
      <c r="N35" s="43" t="s">
        <v>150</v>
      </c>
      <c r="O35" s="43" t="s">
        <v>151</v>
      </c>
      <c r="P35" s="43"/>
      <c r="Q35" s="43"/>
      <c r="R35" s="43" t="s">
        <v>150</v>
      </c>
      <c r="S35" s="43" t="s">
        <v>151</v>
      </c>
      <c r="T35" s="43"/>
      <c r="U35" s="43"/>
      <c r="V35" s="43" t="s">
        <v>150</v>
      </c>
      <c r="W35" s="43" t="s">
        <v>151</v>
      </c>
      <c r="X35" s="43"/>
      <c r="Y35" s="43"/>
      <c r="Z35" s="43" t="s">
        <v>150</v>
      </c>
      <c r="AA35" s="43" t="s">
        <v>151</v>
      </c>
      <c r="AB35" s="43"/>
      <c r="AC35" s="43"/>
      <c r="AD35" s="43" t="s">
        <v>150</v>
      </c>
      <c r="AE35" s="43" t="s">
        <v>151</v>
      </c>
      <c r="AF35" s="43"/>
      <c r="AG35" s="43"/>
      <c r="AH35" s="43" t="s">
        <v>150</v>
      </c>
      <c r="AI35" s="43" t="s">
        <v>151</v>
      </c>
      <c r="AJ35" s="43"/>
      <c r="AK35" s="43"/>
      <c r="AL35" s="43" t="s">
        <v>150</v>
      </c>
      <c r="AM35" s="43" t="s">
        <v>151</v>
      </c>
    </row>
    <row r="36" spans="1:39" s="54" customFormat="1" x14ac:dyDescent="0.25">
      <c r="A36" s="70">
        <f>A34+1</f>
        <v>13</v>
      </c>
      <c r="B36" s="70"/>
      <c r="C36" s="70"/>
      <c r="D36" s="43"/>
      <c r="E36" s="70">
        <f>E34+1</f>
        <v>27</v>
      </c>
      <c r="F36" s="70"/>
      <c r="G36" s="70"/>
      <c r="H36" s="43"/>
      <c r="I36" s="70">
        <f>I34+1</f>
        <v>41</v>
      </c>
      <c r="J36" s="70"/>
      <c r="K36" s="70"/>
      <c r="L36" s="43"/>
      <c r="M36" s="70">
        <f>M34+1</f>
        <v>55</v>
      </c>
      <c r="N36" s="70"/>
      <c r="O36" s="70"/>
      <c r="P36" s="43"/>
      <c r="Q36" s="70">
        <f>Q34+1</f>
        <v>69</v>
      </c>
      <c r="R36" s="70"/>
      <c r="S36" s="70"/>
      <c r="T36" s="43"/>
      <c r="U36" s="70">
        <f>U34+1</f>
        <v>83</v>
      </c>
      <c r="V36" s="70"/>
      <c r="W36" s="70"/>
      <c r="X36" s="43"/>
      <c r="Y36" s="70">
        <f>Y34+1</f>
        <v>97</v>
      </c>
      <c r="Z36" s="70"/>
      <c r="AA36" s="70"/>
      <c r="AB36" s="43"/>
      <c r="AC36" s="70">
        <f>AC34+1</f>
        <v>111</v>
      </c>
      <c r="AD36" s="70"/>
      <c r="AE36" s="70"/>
      <c r="AF36" s="43"/>
      <c r="AG36" s="70">
        <f>AG34+1</f>
        <v>125</v>
      </c>
      <c r="AH36" s="70"/>
      <c r="AI36" s="70"/>
      <c r="AJ36" s="43"/>
      <c r="AK36" s="70">
        <f>AK34+1</f>
        <v>139</v>
      </c>
      <c r="AL36" s="70"/>
      <c r="AM36" s="70"/>
    </row>
    <row r="37" spans="1:39" s="54" customFormat="1" x14ac:dyDescent="0.25">
      <c r="A37" s="43"/>
      <c r="B37" s="43" t="s">
        <v>150</v>
      </c>
      <c r="C37" s="43" t="s">
        <v>151</v>
      </c>
      <c r="D37" s="43"/>
      <c r="E37" s="43"/>
      <c r="F37" s="43" t="s">
        <v>150</v>
      </c>
      <c r="G37" s="43" t="s">
        <v>151</v>
      </c>
      <c r="H37" s="43"/>
      <c r="I37" s="43"/>
      <c r="J37" s="43" t="s">
        <v>150</v>
      </c>
      <c r="K37" s="43" t="s">
        <v>151</v>
      </c>
      <c r="L37" s="43"/>
      <c r="M37" s="43"/>
      <c r="N37" s="43" t="s">
        <v>150</v>
      </c>
      <c r="O37" s="43" t="s">
        <v>151</v>
      </c>
      <c r="P37" s="43"/>
      <c r="Q37" s="43"/>
      <c r="R37" s="43" t="s">
        <v>150</v>
      </c>
      <c r="S37" s="43" t="s">
        <v>151</v>
      </c>
      <c r="T37" s="43"/>
      <c r="U37" s="43"/>
      <c r="V37" s="43" t="s">
        <v>150</v>
      </c>
      <c r="W37" s="43" t="s">
        <v>151</v>
      </c>
      <c r="X37" s="43"/>
      <c r="Y37" s="43"/>
      <c r="Z37" s="43" t="s">
        <v>150</v>
      </c>
      <c r="AA37" s="43" t="s">
        <v>151</v>
      </c>
      <c r="AB37" s="43"/>
      <c r="AC37" s="43"/>
      <c r="AD37" s="43" t="s">
        <v>150</v>
      </c>
      <c r="AE37" s="43" t="s">
        <v>151</v>
      </c>
      <c r="AF37" s="43"/>
      <c r="AG37" s="43"/>
      <c r="AH37" s="43" t="s">
        <v>150</v>
      </c>
      <c r="AI37" s="43" t="s">
        <v>151</v>
      </c>
      <c r="AJ37" s="43"/>
      <c r="AK37" s="43"/>
      <c r="AL37" s="43" t="s">
        <v>150</v>
      </c>
      <c r="AM37" s="43" t="s">
        <v>151</v>
      </c>
    </row>
    <row r="38" spans="1:39" s="54" customFormat="1" x14ac:dyDescent="0.25">
      <c r="A38" s="70">
        <f>A36+1</f>
        <v>14</v>
      </c>
      <c r="B38" s="70"/>
      <c r="C38" s="70"/>
      <c r="D38" s="43"/>
      <c r="E38" s="70">
        <f>E36+1</f>
        <v>28</v>
      </c>
      <c r="F38" s="70"/>
      <c r="G38" s="70"/>
      <c r="H38" s="43"/>
      <c r="I38" s="70">
        <f>I36+1</f>
        <v>42</v>
      </c>
      <c r="J38" s="70"/>
      <c r="K38" s="70"/>
      <c r="L38" s="43"/>
      <c r="M38" s="70">
        <f>M36+1</f>
        <v>56</v>
      </c>
      <c r="N38" s="70"/>
      <c r="O38" s="70"/>
      <c r="P38" s="43"/>
      <c r="Q38" s="70">
        <f>Q36+1</f>
        <v>70</v>
      </c>
      <c r="R38" s="70"/>
      <c r="S38" s="70"/>
      <c r="T38" s="43"/>
      <c r="U38" s="70">
        <f>U36+1</f>
        <v>84</v>
      </c>
      <c r="V38" s="70"/>
      <c r="W38" s="70"/>
      <c r="X38" s="43"/>
      <c r="Y38" s="70">
        <f>Y36+1</f>
        <v>98</v>
      </c>
      <c r="Z38" s="70"/>
      <c r="AA38" s="70"/>
      <c r="AB38" s="43"/>
      <c r="AC38" s="70">
        <f>AC36+1</f>
        <v>112</v>
      </c>
      <c r="AD38" s="70"/>
      <c r="AE38" s="70"/>
      <c r="AF38" s="43"/>
      <c r="AG38" s="70">
        <f>AG36+1</f>
        <v>126</v>
      </c>
      <c r="AH38" s="70"/>
      <c r="AI38" s="70"/>
      <c r="AJ38" s="43"/>
      <c r="AK38" s="70">
        <f>AK36+1</f>
        <v>140</v>
      </c>
      <c r="AL38" s="70"/>
      <c r="AM38" s="70"/>
    </row>
    <row r="39" spans="1:39" s="9" customFormat="1" x14ac:dyDescent="0.25">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row>
    <row r="40" spans="1:39" s="9" customFormat="1" x14ac:dyDescent="0.25"/>
    <row r="41" spans="1:39" s="9" customFormat="1" x14ac:dyDescent="0.25"/>
    <row r="42" spans="1:39" s="9" customFormat="1" x14ac:dyDescent="0.25"/>
    <row r="43" spans="1:39" s="9" customFormat="1" x14ac:dyDescent="0.25"/>
    <row r="44" spans="1:39" s="9" customFormat="1" x14ac:dyDescent="0.25"/>
    <row r="45" spans="1:39" s="9" customFormat="1" x14ac:dyDescent="0.25"/>
    <row r="46" spans="1:39" s="9" customFormat="1" x14ac:dyDescent="0.25"/>
    <row r="47" spans="1:39" s="9" customFormat="1" x14ac:dyDescent="0.25"/>
    <row r="48" spans="1:39" s="9" customFormat="1" x14ac:dyDescent="0.25"/>
    <row r="49" s="9" customFormat="1" x14ac:dyDescent="0.25"/>
  </sheetData>
  <sheetProtection password="C53D" sheet="1" objects="1" scenarios="1"/>
  <pageMargins left="0.39370078740157483" right="0.39370078740157483" top="0.39370078740157483" bottom="0.39370078740157483" header="0.31496062992125984" footer="0.31496062992125984"/>
  <pageSetup paperSize="9" scale="7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Soal</vt:lpstr>
      <vt:lpstr>Psikogram</vt:lpstr>
      <vt:lpstr>Interpretasi</vt:lpstr>
      <vt:lpstr>Lembar Jawaban</vt:lpstr>
      <vt:lpstr>Interpretasi!Print_Area</vt:lpstr>
      <vt:lpstr>'Lembar Jawaban'!Print_Area</vt:lpstr>
      <vt:lpstr>Psikogram!Print_Area</vt:lpstr>
      <vt:lpstr>Soal!Print_Area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BIP</dc:creator>
  <cp:lastModifiedBy>BIP</cp:lastModifiedBy>
  <cp:lastPrinted>2022-03-20T14:08:38Z</cp:lastPrinted>
  <dcterms:created xsi:type="dcterms:W3CDTF">2022-03-13T12:24:17Z</dcterms:created>
  <dcterms:modified xsi:type="dcterms:W3CDTF">2022-11-17T14:32:35Z</dcterms:modified>
</cp:coreProperties>
</file>