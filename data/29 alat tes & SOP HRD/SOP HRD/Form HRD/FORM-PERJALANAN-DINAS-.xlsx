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C9DC4D29-D46A-485C-AC8C-B304A37C6EFC}" xr6:coauthVersionLast="46" xr6:coauthVersionMax="46" xr10:uidLastSave="{00000000-0000-0000-0000-000000000000}"/>
  <bookViews>
    <workbookView xWindow="-110" yWindow="-110" windowWidth="25820" windowHeight="15620" tabRatio="866" activeTab="1" xr2:uid="{00000000-000D-0000-FFFF-FFFF00000000}"/>
  </bookViews>
  <sheets>
    <sheet name="Laporan SPD " sheetId="1" r:id="rId1"/>
    <sheet name="SPD " sheetId="2" r:id="rId2"/>
    <sheet name="Lampiran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AWEAKNESS" localSheetId="0" hidden="1">'[1]ocean voyage'!#REF!</definedName>
    <definedName name="__123Graph_AWEAKNESS" localSheetId="1" hidden="1">'[1]ocean voyage'!#REF!</definedName>
    <definedName name="__123Graph_AWEAKNESS" hidden="1">'[1]ocean voyage'!#REF!</definedName>
    <definedName name="__123Graph_LBL_AWEAKNESS" localSheetId="0" hidden="1">'[1]ocean voyage'!#REF!</definedName>
    <definedName name="__123Graph_LBL_AWEAKNESS" localSheetId="1" hidden="1">'[1]ocean voyage'!#REF!</definedName>
    <definedName name="__123Graph_LBL_AWEAKNESS" hidden="1">'[1]ocean voyage'!#REF!</definedName>
    <definedName name="__123Graph_XWEAKNESS" localSheetId="0" hidden="1">'[1]ocean voyage'!#REF!</definedName>
    <definedName name="__123Graph_XWEAKNESS" localSheetId="1" hidden="1">'[1]ocean voyage'!#REF!</definedName>
    <definedName name="__123Graph_XWEAKNESS" hidden="1">'[1]ocean voyage'!#REF!</definedName>
    <definedName name="_Fill" localSheetId="0" hidden="1">#REF!</definedName>
    <definedName name="_Fill" localSheetId="1" hidden="1">#REF!</definedName>
    <definedName name="_Fill" hidden="1">#REF!</definedName>
    <definedName name="APNC_OK" localSheetId="0">'[2]OPR-99'!#REF!</definedName>
    <definedName name="APNC_OK" localSheetId="1">'[2]OPR-99'!#REF!</definedName>
    <definedName name="APNC_OK">'[2]OPR-99'!#REF!</definedName>
    <definedName name="AVERAGE" localSheetId="0">#REF!</definedName>
    <definedName name="AVERAGE" localSheetId="1">#REF!</definedName>
    <definedName name="AVERAGE">#REF!</definedName>
    <definedName name="BIAYA_94" localSheetId="0">#REF!</definedName>
    <definedName name="BIAYA_94" localSheetId="1">#REF!</definedName>
    <definedName name="BIAYA_94">#REF!</definedName>
    <definedName name="BIAYA_95" localSheetId="0">#REF!</definedName>
    <definedName name="BIAYA_95" localSheetId="1">#REF!</definedName>
    <definedName name="BIAYA_95">#REF!</definedName>
    <definedName name="biaya_non_tanaman" localSheetId="0">#REF!</definedName>
    <definedName name="biaya_non_tanaman" localSheetId="1">#REF!</definedName>
    <definedName name="biaya_non_tanaman">#REF!</definedName>
    <definedName name="BIAYA_TOTAL" localSheetId="0">#REF!</definedName>
    <definedName name="BIAYA_TOTAL" localSheetId="1">#REF!</definedName>
    <definedName name="BIAYA_TOTAL">#REF!</definedName>
    <definedName name="CATDET2" localSheetId="0">'[3]2002'!#REF!</definedName>
    <definedName name="CATDET2" localSheetId="1">'[3]2002'!#REF!</definedName>
    <definedName name="CATDET2">'[3]2002'!#REF!</definedName>
    <definedName name="CUB42T" localSheetId="0">'[3]2002'!#REF!</definedName>
    <definedName name="CUB42T" localSheetId="1">'[3]2002'!#REF!</definedName>
    <definedName name="CUB42T">'[3]2002'!#REF!</definedName>
    <definedName name="_xlnm.Database" localSheetId="0">'[4]OPR-99'!#REF!</definedName>
    <definedName name="_xlnm.Database" localSheetId="1">'[4]OPR-99'!#REF!</definedName>
    <definedName name="_xlnm.Database">'[4]OPR-99'!#REF!</definedName>
    <definedName name="Detail_Debitur_Prediksi_Ovd_7" localSheetId="0">#REF!</definedName>
    <definedName name="Detail_Debitur_Prediksi_Ovd_7" localSheetId="1">#REF!</definedName>
    <definedName name="Detail_Debitur_Prediksi_Ovd_7">#REF!</definedName>
    <definedName name="FISIK_1994">'[5]FISIK RAB 2000'!$A$1:$R$45</definedName>
    <definedName name="FISIK_1995">'[5]FISIK RAB 2000'!$A$48:$R$93</definedName>
    <definedName name="FISIK_1998">'[5]FISIK RAB 2000'!$A$96:$R$130</definedName>
    <definedName name="fisik_non_tanaman" localSheetId="0">#REF!</definedName>
    <definedName name="fisik_non_tanaman" localSheetId="1">#REF!</definedName>
    <definedName name="fisik_non_tanaman">#REF!</definedName>
    <definedName name="FISIK_TOTAL" localSheetId="0">'[6]fisik 94'!#REF!</definedName>
    <definedName name="FISIK_TOTAL" localSheetId="1">'[6]fisik 94'!#REF!</definedName>
    <definedName name="FISIK_TOTAL">'[6]fisik 94'!#REF!</definedName>
    <definedName name="GRAFIK_TAKSASI_PLS">'[7]ACT PROD'!$G$1:$R$25</definedName>
    <definedName name="Pemanen_Afd_1" localSheetId="0">#REF!</definedName>
    <definedName name="Pemanen_Afd_1" localSheetId="1">#REF!</definedName>
    <definedName name="Pemanen_Afd_1">#REF!</definedName>
    <definedName name="perawatan_afd_1" localSheetId="0">#REF!</definedName>
    <definedName name="perawatan_afd_1" localSheetId="1">#REF!</definedName>
    <definedName name="perawatan_afd_1">#REF!</definedName>
    <definedName name="perawatan_afd_1_KT" localSheetId="0">#REF!</definedName>
    <definedName name="perawatan_afd_1_KT" localSheetId="1">#REF!</definedName>
    <definedName name="perawatan_afd_1_KT">#REF!</definedName>
    <definedName name="_xlnm.Print_Area" localSheetId="0">'Laporan SPD '!$A$1:Q70</definedName>
    <definedName name="_xlnm.Print_Area" localSheetId="1">'SPD '!$A$1:Q70</definedName>
    <definedName name="_xlnm.Print_Area">#REF!</definedName>
    <definedName name="PRINT_AREA_MI" localSheetId="0">#REF!</definedName>
    <definedName name="PRINT_AREA_MI" localSheetId="1">#REF!</definedName>
    <definedName name="PRINT_AREA_MI">#REF!</definedName>
    <definedName name="_xlnm.Print_Titles">#N/A</definedName>
    <definedName name="PROD_2000">'[7]PLAN PROD'!$G$1:$U$20</definedName>
    <definedName name="SPO42T" localSheetId="0">'[3]2002'!#REF!</definedName>
    <definedName name="SPO42T" localSheetId="1">'[3]2002'!#REF!</definedName>
    <definedName name="SPO42T">'[3]2002'!#REF!</definedName>
    <definedName name="TOTAL_fisik">'[5]FISIK RAB 2000'!$A$133:$R$177</definedName>
  </definedNames>
  <calcPr calcId="181029" iterate="1"/>
</workbook>
</file>

<file path=xl/calcChain.xml><?xml version="1.0" encoding="utf-8"?>
<calcChain xmlns="http://schemas.openxmlformats.org/spreadsheetml/2006/main">
  <c r="E13" i="7" l="1"/>
  <c r="E8" i="7"/>
  <c r="Q40" i="2"/>
  <c r="O40" i="2"/>
  <c r="M40" i="2"/>
  <c r="J40" i="2"/>
  <c r="H40" i="2"/>
  <c r="Q41" i="2" s="1"/>
  <c r="Q40" i="1"/>
  <c r="O40" i="1"/>
  <c r="M40" i="1"/>
  <c r="J40" i="1"/>
  <c r="H40" i="1"/>
  <c r="Q41" i="1" s="1"/>
  <c r="Q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soehartanti</author>
  </authors>
  <commentList>
    <comment ref="A5" authorId="0" shapeId="0" xr:uid="{00000000-0006-0000-0000-000001000000}">
      <text>
        <r>
          <rPr>
            <sz val="9"/>
            <color indexed="81"/>
            <rFont val="宋体"/>
            <charset val="134"/>
          </rPr>
          <t xml:space="preserve">di isi oleh Staf HC
</t>
        </r>
      </text>
    </comment>
    <comment ref="Q8" authorId="0" shapeId="0" xr:uid="{00000000-0006-0000-0000-000002000000}">
      <text>
        <r>
          <rPr>
            <sz val="9"/>
            <color indexed="81"/>
            <rFont val="宋体"/>
            <charset val="134"/>
          </rPr>
          <t xml:space="preserve">
Pemesanan tiket tujuan</t>
        </r>
      </text>
    </comment>
    <comment ref="H28" authorId="0" shapeId="0" xr:uid="{00000000-0006-0000-0000-000003000000}">
      <text>
        <r>
          <rPr>
            <sz val="9"/>
            <color indexed="81"/>
            <rFont val="宋体"/>
            <charset val="134"/>
          </rPr>
          <t>- Biaya Pesawat
- Biaya Bis
- Biaya Taxi
- Biaya Sewa Mobil
- Biaya Speed Boat
- Biaya Ojek / Becak</t>
        </r>
      </text>
    </comment>
    <comment ref="Q28" authorId="0" shapeId="0" xr:uid="{00000000-0006-0000-0000-000004000000}">
      <text>
        <r>
          <rPr>
            <sz val="9"/>
            <color indexed="81"/>
            <rFont val="宋体"/>
            <charset val="134"/>
          </rPr>
          <t>Seluruh biaya diluar Transportasi, Hotel, Uang Saku &amp; Uang Makan.Seperti : 
- Airport tax
- Biaya Porter (Barang Perusahaan)
- Over Bagasi (Barang Perusahaan)
- Biaya Jasa sewa supir
- Biaya Pembelian Bensin
- Biaya Pulsa (sesuai ketentuan)
- Biaya Menginap di rumah famili / teman
- dll</t>
        </r>
      </text>
    </comment>
    <comment ref="K54" authorId="0" shapeId="0" xr:uid="{00000000-0006-0000-0000-000005000000}">
      <text>
        <r>
          <rPr>
            <sz val="9"/>
            <color indexed="81"/>
            <rFont val="宋体"/>
            <charset val="134"/>
          </rPr>
          <t xml:space="preserve">
Diisi dgn nama atasan langsung (minimun Dept Head)</t>
        </r>
      </text>
    </comment>
    <comment ref="O54" authorId="0" shapeId="0" xr:uid="{00000000-0006-0000-0000-000006000000}">
      <text>
        <r>
          <rPr>
            <sz val="9"/>
            <color indexed="81"/>
            <rFont val="宋体"/>
            <charset val="134"/>
          </rPr>
          <t xml:space="preserve">
Diisi dengan nama jelas Pemohon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soehartanti</author>
  </authors>
  <commentList>
    <comment ref="A5" authorId="0" shapeId="0" xr:uid="{00000000-0006-0000-0100-000001000000}">
      <text>
        <r>
          <rPr>
            <sz val="9"/>
            <color indexed="81"/>
            <rFont val="宋体"/>
            <charset val="134"/>
          </rPr>
          <t xml:space="preserve">di isi oleh Staf HC
</t>
        </r>
      </text>
    </comment>
    <comment ref="Q8" authorId="0" shapeId="0" xr:uid="{00000000-0006-0000-0100-000002000000}">
      <text>
        <r>
          <rPr>
            <sz val="9"/>
            <color indexed="81"/>
            <rFont val="宋体"/>
            <charset val="134"/>
          </rPr>
          <t xml:space="preserve">
Pemesanan tiket tujuan</t>
        </r>
      </text>
    </comment>
    <comment ref="H28" authorId="0" shapeId="0" xr:uid="{00000000-0006-0000-0100-000003000000}">
      <text>
        <r>
          <rPr>
            <sz val="9"/>
            <color indexed="81"/>
            <rFont val="宋体"/>
            <charset val="134"/>
          </rPr>
          <t>- Biaya Pesawat
- Biaya Bis
- Biaya Taxi
- Biaya Sewa Mobil
- Biaya Speed Boat
- Biaya Ojek / Becak</t>
        </r>
      </text>
    </comment>
    <comment ref="Q28" authorId="0" shapeId="0" xr:uid="{00000000-0006-0000-0100-000004000000}">
      <text>
        <r>
          <rPr>
            <sz val="9"/>
            <color indexed="81"/>
            <rFont val="宋体"/>
            <charset val="134"/>
          </rPr>
          <t>Seluruh biaya diluar Transportasi, Hotel, Uang Saku &amp; Uang Makan.Seperti : 
- Airport tax
- Biaya Porter (Barang Perusahaan)
- Over Bagasi (Barang Perusahaan)
- Biaya Jasa sewa supir
- Biaya Pembelian Bensin
- Biaya Pulsa (sesuai ketentuan)
- Biaya Menginap di rumah famili / teman
- dll</t>
        </r>
      </text>
    </comment>
    <comment ref="K54" authorId="0" shapeId="0" xr:uid="{00000000-0006-0000-0100-000005000000}">
      <text>
        <r>
          <rPr>
            <sz val="9"/>
            <color indexed="81"/>
            <rFont val="宋体"/>
            <charset val="134"/>
          </rPr>
          <t xml:space="preserve">
Diisi dgn nama atasan langsung (minimun Dept Head)</t>
        </r>
      </text>
    </comment>
    <comment ref="O54" authorId="0" shapeId="0" xr:uid="{00000000-0006-0000-0100-000006000000}">
      <text>
        <r>
          <rPr>
            <sz val="9"/>
            <color indexed="81"/>
            <rFont val="宋体"/>
            <charset val="134"/>
          </rPr>
          <t xml:space="preserve">
Diisi dengan nama jelas Pemohon</t>
        </r>
      </text>
    </comment>
  </commentList>
</comments>
</file>

<file path=xl/sharedStrings.xml><?xml version="1.0" encoding="utf-8"?>
<sst xmlns="http://schemas.openxmlformats.org/spreadsheetml/2006/main" count="160" uniqueCount="82">
  <si>
    <t>LAPORAN PERJALANAN DINAS</t>
  </si>
  <si>
    <t xml:space="preserve">NO :                                     </t>
  </si>
  <si>
    <t>NAMA</t>
  </si>
  <si>
    <t>TEMPAT ASAL</t>
  </si>
  <si>
    <t>JABATAN</t>
  </si>
  <si>
    <t>TEMPAT TUJUAN</t>
  </si>
  <si>
    <t>GOLONGAN</t>
  </si>
  <si>
    <t>TANGGAL BERANGKAT</t>
  </si>
  <si>
    <t>DEPARTEMEN</t>
  </si>
  <si>
    <t>TANGGAL KEMBALI</t>
  </si>
  <si>
    <t>PT</t>
  </si>
  <si>
    <t>KEPERLUAN</t>
  </si>
  <si>
    <r>
      <rPr>
        <b/>
        <sz val="10"/>
        <rFont val="Arial"/>
        <family val="2"/>
        <charset val="134"/>
      </rPr>
      <t xml:space="preserve">JENIS PERJALANAN DINAS </t>
    </r>
    <r>
      <rPr>
        <sz val="10"/>
        <rFont val="Arial"/>
        <family val="2"/>
        <charset val="134"/>
      </rPr>
      <t xml:space="preserve">( Beri tanda </t>
    </r>
    <r>
      <rPr>
        <b/>
        <sz val="10"/>
        <rFont val="Symbol"/>
        <family val="1"/>
        <charset val="2"/>
      </rPr>
      <t>Ö</t>
    </r>
    <r>
      <rPr>
        <sz val="10"/>
        <rFont val="Arial"/>
        <family val="2"/>
        <charset val="134"/>
      </rPr>
      <t xml:space="preserve"> pada kotak)</t>
    </r>
  </si>
  <si>
    <t>x</t>
  </si>
  <si>
    <t>Dinas Biasa</t>
  </si>
  <si>
    <t>Rekrut ( a. Reguler  b. Trainee )</t>
  </si>
  <si>
    <t>Training / Seminar</t>
  </si>
  <si>
    <t>External / Non Karyawan</t>
  </si>
  <si>
    <t>REALISASI KEGIATAN PERJALANAN DINAS</t>
  </si>
  <si>
    <t>TANGGAL</t>
  </si>
  <si>
    <t>RINCIAN KEGIATAN PERJALANAN DINAS</t>
  </si>
  <si>
    <t>Berangkat dari Jakarta ke kebun LSBE</t>
  </si>
  <si>
    <t>26 Nov - 27 Nov 14</t>
  </si>
  <si>
    <t>Review dan Pengenalan Adm Operasional Perkebunan</t>
  </si>
  <si>
    <t>Pulang ke Jakarata</t>
  </si>
  <si>
    <t>REALISASI  BIAYA PERJALANAN DINAS</t>
  </si>
  <si>
    <t xml:space="preserve">TANGGAL </t>
  </si>
  <si>
    <t>URAIAN</t>
  </si>
  <si>
    <t>TRANSPORT</t>
  </si>
  <si>
    <t>HOTEL</t>
  </si>
  <si>
    <t>UANG SAKU</t>
  </si>
  <si>
    <t>UANG MAKAN</t>
  </si>
  <si>
    <t>LAIN - LAIN</t>
  </si>
  <si>
    <t>Airport Tax Jkt</t>
  </si>
  <si>
    <t>Uang makan pagi</t>
  </si>
  <si>
    <t>Uang makan siang</t>
  </si>
  <si>
    <t>Uang saku</t>
  </si>
  <si>
    <t>Airport Tax Pontianak</t>
  </si>
  <si>
    <t>JUMLAH</t>
  </si>
  <si>
    <t>Jumlah</t>
  </si>
  <si>
    <t>Uang muka</t>
  </si>
  <si>
    <t>Kurang</t>
  </si>
  <si>
    <t>Tanggal : 17 November 2014</t>
  </si>
  <si>
    <t xml:space="preserve">Human Capital Group Dept. </t>
  </si>
  <si>
    <t>Direksi</t>
  </si>
  <si>
    <t>Atasan (min Dept Head)</t>
  </si>
  <si>
    <t>Pemohon</t>
  </si>
  <si>
    <t>Menyetujui,</t>
  </si>
  <si>
    <t>Mengajukan,</t>
  </si>
  <si>
    <t>DIISI OLEH PEJABAT DI TEMPAT TUJUAN</t>
  </si>
  <si>
    <t>LOKASI 1</t>
  </si>
  <si>
    <t>LOKASI 2</t>
  </si>
  <si>
    <t>TANGGAL TIBA</t>
  </si>
  <si>
    <t>:</t>
  </si>
  <si>
    <t xml:space="preserve">TANGGAL KEMBALI </t>
  </si>
  <si>
    <t>CATATAN</t>
  </si>
  <si>
    <t>NAMA &amp; TANDA TANGAN PEJABAT</t>
  </si>
  <si>
    <t>DAN CAP PT</t>
  </si>
  <si>
    <t>SURAT PERJALANAN DINAS</t>
  </si>
  <si>
    <t xml:space="preserve">NO :                                      </t>
  </si>
  <si>
    <t>RENCANA KEGIATAN PERJALANAN DINAS</t>
  </si>
  <si>
    <t>RENCANA  BIAYA PERJALANAN DINAS</t>
  </si>
  <si>
    <t>Rincian :</t>
  </si>
  <si>
    <t>No</t>
  </si>
  <si>
    <t>Tanggal</t>
  </si>
  <si>
    <t>Keterangan</t>
  </si>
  <si>
    <t xml:space="preserve">Makan Siang </t>
  </si>
  <si>
    <t>Warung Johar</t>
  </si>
  <si>
    <t>Makan Malam</t>
  </si>
  <si>
    <t>KFC</t>
  </si>
  <si>
    <t>Snack</t>
  </si>
  <si>
    <t>Hypermart PNK</t>
  </si>
  <si>
    <t>Makan Pagi</t>
  </si>
  <si>
    <t>Warung Makan</t>
  </si>
  <si>
    <t>Kaisar Bakery</t>
  </si>
  <si>
    <t>Gado - gado Seroja + Warung Johar</t>
  </si>
  <si>
    <t>Viminn</t>
  </si>
  <si>
    <t>JCO</t>
  </si>
  <si>
    <t>Warung Makan Batak</t>
  </si>
  <si>
    <t xml:space="preserve">             PT. …..............................</t>
  </si>
  <si>
    <t xml:space="preserve">Tanggal : </t>
  </si>
  <si>
    <t xml:space="preserve">             PT.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</si>
</sst>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5" formatCode="_(&quot;Rp&quot;* #,##0_);_(&quot;Rp&quot;* \(#,##0\);_(&quot;Rp&quot;* &quot;-&quot;_);_(@_)"/>
    <numFmt numFmtId="166" formatCode="[$-409]d\-mmm\-yy;@"/>
    <numFmt numFmtId="167" formatCode="_(* #,##0.00_);_(* \(#,##0.00\);_(* &quot;-&quot;_);_(@_)"/>
    <numFmt numFmtId="168" formatCode="_(* #,##0_);_(* \(#,##0\);_(* &quot;-&quot;??_);_(@_)"/>
    <numFmt numFmtId="169" formatCode="_(* #,##0.0_);_(* \(#,##0.0\);_(* &quot;-&quot;??_);_(@_)"/>
  </numFmts>
  <fonts count="21">
    <font>
      <sz val="10"/>
      <name val="Arial"/>
      <charset val="134"/>
    </font>
    <font>
      <b/>
      <sz val="10"/>
      <name val="Tms Rmn"/>
      <charset val="134"/>
    </font>
    <font>
      <sz val="10"/>
      <name val="Arial"/>
      <family val="2"/>
      <charset val="134"/>
    </font>
    <font>
      <sz val="10"/>
      <name val="MS Sans Serif"/>
      <family val="2"/>
      <charset val="134"/>
    </font>
    <font>
      <b/>
      <i/>
      <sz val="16"/>
      <name val="Helv"/>
      <charset val="134"/>
    </font>
    <font>
      <sz val="8"/>
      <name val="Arial"/>
      <family val="2"/>
      <charset val="134"/>
    </font>
    <font>
      <sz val="11"/>
      <color indexed="8"/>
      <name val="Calibri"/>
      <family val="2"/>
      <charset val="1"/>
    </font>
    <font>
      <sz val="9"/>
      <name val="Arial"/>
      <family val="2"/>
      <charset val="134"/>
    </font>
    <font>
      <b/>
      <sz val="12"/>
      <name val="Arial"/>
      <family val="2"/>
      <charset val="134"/>
    </font>
    <font>
      <b/>
      <sz val="10"/>
      <name val="Arial"/>
      <family val="2"/>
      <charset val="134"/>
    </font>
    <font>
      <b/>
      <sz val="11"/>
      <name val="Arial"/>
      <family val="2"/>
      <charset val="134"/>
    </font>
    <font>
      <b/>
      <sz val="20"/>
      <name val="Arial"/>
      <family val="2"/>
      <charset val="134"/>
    </font>
    <font>
      <b/>
      <sz val="9"/>
      <name val="Arial"/>
      <family val="2"/>
      <charset val="134"/>
    </font>
    <font>
      <i/>
      <sz val="10"/>
      <color indexed="10"/>
      <name val="Arial"/>
      <family val="2"/>
      <charset val="134"/>
    </font>
    <font>
      <b/>
      <i/>
      <sz val="10"/>
      <name val="Arial"/>
      <family val="2"/>
      <charset val="134"/>
    </font>
    <font>
      <i/>
      <sz val="10"/>
      <name val="Arial"/>
      <family val="2"/>
      <charset val="134"/>
    </font>
    <font>
      <b/>
      <i/>
      <sz val="11"/>
      <color indexed="8"/>
      <name val="Calibri"/>
      <family val="2"/>
      <charset val="134"/>
    </font>
    <font>
      <b/>
      <sz val="11"/>
      <color indexed="8"/>
      <name val="Calibri"/>
      <family val="2"/>
      <charset val="134"/>
    </font>
    <font>
      <b/>
      <sz val="10"/>
      <name val="Symbol"/>
      <family val="1"/>
      <charset val="2"/>
    </font>
    <font>
      <sz val="10"/>
      <name val="Arial"/>
      <charset val="134"/>
    </font>
    <font>
      <sz val="9"/>
      <color indexed="8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22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7" fontId="2" fillId="0" borderId="42">
      <alignment vertical="center"/>
      <protection locked="0"/>
    </xf>
    <xf numFmtId="0" fontId="1" fillId="0" borderId="0">
      <alignment vertical="center"/>
    </xf>
    <xf numFmtId="37" fontId="2" fillId="0" borderId="0">
      <alignment vertical="center"/>
      <protection locked="0"/>
    </xf>
    <xf numFmtId="0" fontId="3" fillId="0" borderId="43" applyNumberFormat="0" applyBorder="0">
      <alignment vertical="center"/>
    </xf>
    <xf numFmtId="37" fontId="2" fillId="0" borderId="0">
      <alignment vertical="center"/>
      <protection locked="0"/>
    </xf>
    <xf numFmtId="0" fontId="5" fillId="3" borderId="0" applyNumberFormat="0" applyBorder="0" applyAlignment="0" applyProtection="0">
      <alignment vertical="center"/>
    </xf>
    <xf numFmtId="37" fontId="2" fillId="0" borderId="0">
      <alignment vertical="center"/>
      <protection locked="0"/>
    </xf>
    <xf numFmtId="37" fontId="2" fillId="0" borderId="0">
      <alignment vertical="center"/>
      <protection locked="0"/>
    </xf>
    <xf numFmtId="0" fontId="5" fillId="4" borderId="16" applyNumberFormat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40" fontId="19" fillId="0" borderId="0" applyFont="0" applyFill="0" applyBorder="0" applyAlignment="0" applyProtection="0">
      <alignment vertical="center"/>
    </xf>
    <xf numFmtId="6" fontId="19" fillId="0" borderId="0" applyFont="0" applyFill="0" applyBorder="0" applyAlignment="0" applyProtection="0">
      <alignment vertical="center"/>
    </xf>
    <xf numFmtId="8" fontId="19" fillId="0" borderId="0" applyFont="0" applyFill="0" applyBorder="0" applyAlignment="0" applyProtection="0">
      <alignment vertical="center"/>
    </xf>
    <xf numFmtId="37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10" fontId="19" fillId="0" borderId="0" applyFont="0" applyFill="0" applyBorder="0" applyAlignment="0" applyProtection="0">
      <alignment vertical="center"/>
    </xf>
  </cellStyleXfs>
  <cellXfs count="194">
    <xf numFmtId="0" fontId="0" fillId="0" borderId="0" xfId="0" applyAlignment="1"/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/>
    <xf numFmtId="0" fontId="0" fillId="0" borderId="0" xfId="0" applyBorder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169" fontId="9" fillId="2" borderId="0" xfId="0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169" fontId="9" fillId="2" borderId="2" xfId="0" applyNumberFormat="1" applyFont="1" applyFill="1" applyBorder="1" applyAlignment="1">
      <alignment vertical="center"/>
    </xf>
    <xf numFmtId="166" fontId="2" fillId="2" borderId="10" xfId="0" applyNumberFormat="1" applyFont="1" applyFill="1" applyBorder="1" applyAlignment="1">
      <alignment horizontal="center" vertical="center"/>
    </xf>
    <xf numFmtId="166" fontId="2" fillId="2" borderId="11" xfId="0" applyNumberFormat="1" applyFont="1" applyFill="1" applyBorder="1" applyAlignment="1">
      <alignment horizontal="center" vertical="center"/>
    </xf>
    <xf numFmtId="166" fontId="2" fillId="2" borderId="12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center" vertical="center"/>
    </xf>
    <xf numFmtId="165" fontId="2" fillId="0" borderId="10" xfId="1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8" fontId="2" fillId="2" borderId="0" xfId="1" applyNumberFormat="1" applyFont="1" applyFill="1" applyBorder="1" applyAlignment="1">
      <alignment vertical="center"/>
    </xf>
    <xf numFmtId="41" fontId="2" fillId="2" borderId="0" xfId="0" applyNumberFormat="1" applyFont="1" applyFill="1" applyBorder="1" applyAlignment="1">
      <alignment vertical="center"/>
    </xf>
    <xf numFmtId="41" fontId="2" fillId="2" borderId="1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14" fillId="2" borderId="17" xfId="0" applyFont="1" applyFill="1" applyBorder="1" applyAlignment="1">
      <alignment vertical="center"/>
    </xf>
    <xf numFmtId="0" fontId="15" fillId="2" borderId="17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5" fontId="2" fillId="0" borderId="12" xfId="1" applyNumberFormat="1" applyFont="1" applyFill="1" applyBorder="1" applyAlignment="1">
      <alignment horizontal="center" vertical="center"/>
    </xf>
    <xf numFmtId="165" fontId="2" fillId="2" borderId="10" xfId="1" applyNumberFormat="1" applyFont="1" applyFill="1" applyBorder="1" applyAlignment="1">
      <alignment horizontal="center" vertical="center"/>
    </xf>
    <xf numFmtId="165" fontId="2" fillId="2" borderId="11" xfId="1" applyNumberFormat="1" applyFont="1" applyFill="1" applyBorder="1" applyAlignment="1">
      <alignment horizontal="center" vertical="center"/>
    </xf>
    <xf numFmtId="165" fontId="2" fillId="2" borderId="12" xfId="1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/>
    </xf>
    <xf numFmtId="165" fontId="2" fillId="2" borderId="12" xfId="0" applyNumberFormat="1" applyFont="1" applyFill="1" applyBorder="1" applyAlignment="1">
      <alignment horizontal="center" vertical="center"/>
    </xf>
    <xf numFmtId="168" fontId="2" fillId="2" borderId="0" xfId="1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vertical="center"/>
    </xf>
    <xf numFmtId="165" fontId="2" fillId="2" borderId="27" xfId="0" applyNumberFormat="1" applyFont="1" applyFill="1" applyBorder="1" applyAlignment="1">
      <alignment vertical="center"/>
    </xf>
    <xf numFmtId="165" fontId="2" fillId="2" borderId="16" xfId="0" applyNumberFormat="1" applyFont="1" applyFill="1" applyBorder="1" applyAlignment="1">
      <alignment vertical="center"/>
    </xf>
    <xf numFmtId="165" fontId="2" fillId="2" borderId="0" xfId="0" applyNumberFormat="1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Border="1" applyAlignment="1"/>
    <xf numFmtId="0" fontId="9" fillId="2" borderId="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vertical="center"/>
    </xf>
    <xf numFmtId="166" fontId="2" fillId="2" borderId="19" xfId="0" applyNumberFormat="1" applyFont="1" applyFill="1" applyBorder="1" applyAlignment="1">
      <alignment horizontal="center" vertical="center"/>
    </xf>
    <xf numFmtId="166" fontId="2" fillId="2" borderId="20" xfId="0" applyNumberFormat="1" applyFont="1" applyFill="1" applyBorder="1" applyAlignment="1">
      <alignment horizontal="center" vertical="center"/>
    </xf>
    <xf numFmtId="166" fontId="2" fillId="2" borderId="21" xfId="0" applyNumberFormat="1" applyFont="1" applyFill="1" applyBorder="1" applyAlignment="1">
      <alignment horizontal="center" vertical="center"/>
    </xf>
    <xf numFmtId="165" fontId="2" fillId="2" borderId="28" xfId="0" applyNumberFormat="1" applyFont="1" applyFill="1" applyBorder="1" applyAlignment="1">
      <alignment vertical="center"/>
    </xf>
    <xf numFmtId="0" fontId="6" fillId="0" borderId="0" xfId="20" applyAlignment="1"/>
    <xf numFmtId="41" fontId="0" fillId="0" borderId="0" xfId="3" applyFont="1" applyAlignment="1"/>
    <xf numFmtId="0" fontId="16" fillId="0" borderId="0" xfId="20" applyFont="1" applyAlignment="1"/>
    <xf numFmtId="0" fontId="17" fillId="3" borderId="2" xfId="20" applyFont="1" applyFill="1" applyBorder="1" applyAlignment="1">
      <alignment horizontal="center"/>
    </xf>
    <xf numFmtId="41" fontId="17" fillId="3" borderId="2" xfId="3" applyFont="1" applyFill="1" applyBorder="1" applyAlignment="1">
      <alignment horizontal="center"/>
    </xf>
    <xf numFmtId="0" fontId="6" fillId="0" borderId="29" xfId="20" applyBorder="1" applyAlignment="1"/>
    <xf numFmtId="14" fontId="6" fillId="0" borderId="30" xfId="20" applyNumberFormat="1" applyBorder="1" applyAlignment="1"/>
    <xf numFmtId="0" fontId="6" fillId="0" borderId="30" xfId="20" applyBorder="1" applyAlignment="1"/>
    <xf numFmtId="167" fontId="0" fillId="0" borderId="31" xfId="3" applyNumberFormat="1" applyFont="1" applyBorder="1" applyAlignment="1"/>
    <xf numFmtId="0" fontId="6" fillId="0" borderId="32" xfId="20" applyBorder="1" applyAlignment="1"/>
    <xf numFmtId="14" fontId="6" fillId="0" borderId="16" xfId="20" applyNumberFormat="1" applyBorder="1" applyAlignment="1"/>
    <xf numFmtId="0" fontId="6" fillId="0" borderId="16" xfId="20" applyBorder="1" applyAlignment="1"/>
    <xf numFmtId="167" fontId="0" fillId="0" borderId="33" xfId="3" applyNumberFormat="1" applyFont="1" applyBorder="1" applyAlignment="1"/>
    <xf numFmtId="0" fontId="6" fillId="0" borderId="16" xfId="20" applyFont="1" applyBorder="1" applyAlignment="1"/>
    <xf numFmtId="0" fontId="6" fillId="0" borderId="34" xfId="20" applyBorder="1" applyAlignment="1"/>
    <xf numFmtId="14" fontId="6" fillId="0" borderId="35" xfId="20" applyNumberFormat="1" applyBorder="1" applyAlignment="1"/>
    <xf numFmtId="0" fontId="6" fillId="0" borderId="22" xfId="20" applyFont="1" applyBorder="1" applyAlignment="1"/>
    <xf numFmtId="167" fontId="0" fillId="0" borderId="36" xfId="3" applyNumberFormat="1" applyFont="1" applyBorder="1" applyAlignment="1"/>
    <xf numFmtId="0" fontId="6" fillId="3" borderId="37" xfId="20" applyFill="1" applyBorder="1" applyAlignment="1"/>
    <xf numFmtId="0" fontId="6" fillId="3" borderId="38" xfId="20" applyFill="1" applyBorder="1" applyAlignment="1"/>
    <xf numFmtId="41" fontId="0" fillId="3" borderId="41" xfId="3" applyFont="1" applyFill="1" applyBorder="1" applyAlignment="1"/>
    <xf numFmtId="0" fontId="11" fillId="2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6" fontId="2" fillId="2" borderId="7" xfId="0" applyNumberFormat="1" applyFont="1" applyFill="1" applyBorder="1" applyAlignment="1">
      <alignment horizontal="center" vertical="center"/>
    </xf>
    <xf numFmtId="166" fontId="2" fillId="2" borderId="8" xfId="0" applyNumberFormat="1" applyFont="1" applyFill="1" applyBorder="1" applyAlignment="1">
      <alignment horizontal="center" vertical="center"/>
    </xf>
    <xf numFmtId="166" fontId="2" fillId="2" borderId="9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166" fontId="2" fillId="2" borderId="10" xfId="0" applyNumberFormat="1" applyFont="1" applyFill="1" applyBorder="1" applyAlignment="1">
      <alignment horizontal="center" vertical="center"/>
    </xf>
    <xf numFmtId="166" fontId="2" fillId="2" borderId="11" xfId="0" applyNumberFormat="1" applyFont="1" applyFill="1" applyBorder="1" applyAlignment="1">
      <alignment horizontal="center" vertical="center"/>
    </xf>
    <xf numFmtId="166" fontId="2" fillId="2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166" fontId="2" fillId="2" borderId="13" xfId="0" applyNumberFormat="1" applyFont="1" applyFill="1" applyBorder="1" applyAlignment="1">
      <alignment horizontal="center" vertical="center"/>
    </xf>
    <xf numFmtId="166" fontId="2" fillId="2" borderId="14" xfId="0" applyNumberFormat="1" applyFont="1" applyFill="1" applyBorder="1" applyAlignment="1">
      <alignment horizontal="center" vertical="center"/>
    </xf>
    <xf numFmtId="166" fontId="2" fillId="2" borderId="15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 wrapText="1"/>
    </xf>
    <xf numFmtId="168" fontId="2" fillId="2" borderId="7" xfId="1" applyNumberFormat="1" applyFont="1" applyFill="1" applyBorder="1" applyAlignment="1">
      <alignment horizontal="left" vertical="center"/>
    </xf>
    <xf numFmtId="168" fontId="2" fillId="2" borderId="8" xfId="1" applyNumberFormat="1" applyFont="1" applyFill="1" applyBorder="1" applyAlignment="1">
      <alignment horizontal="left" vertical="center"/>
    </xf>
    <xf numFmtId="168" fontId="2" fillId="2" borderId="9" xfId="1" applyNumberFormat="1" applyFont="1" applyFill="1" applyBorder="1" applyAlignment="1">
      <alignment horizontal="left" vertical="center"/>
    </xf>
    <xf numFmtId="165" fontId="2" fillId="0" borderId="7" xfId="1" applyNumberFormat="1" applyFont="1" applyFill="1" applyBorder="1" applyAlignment="1">
      <alignment horizontal="center" vertical="center"/>
    </xf>
    <xf numFmtId="165" fontId="2" fillId="0" borderId="9" xfId="1" applyNumberFormat="1" applyFont="1" applyFill="1" applyBorder="1" applyAlignment="1">
      <alignment horizontal="center" vertical="center"/>
    </xf>
    <xf numFmtId="165" fontId="2" fillId="2" borderId="7" xfId="1" applyNumberFormat="1" applyFont="1" applyFill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/>
    </xf>
    <xf numFmtId="168" fontId="2" fillId="2" borderId="10" xfId="1" applyNumberFormat="1" applyFont="1" applyFill="1" applyBorder="1" applyAlignment="1">
      <alignment horizontal="left" vertical="center"/>
    </xf>
    <xf numFmtId="168" fontId="2" fillId="2" borderId="11" xfId="1" applyNumberFormat="1" applyFont="1" applyFill="1" applyBorder="1" applyAlignment="1">
      <alignment horizontal="left" vertical="center"/>
    </xf>
    <xf numFmtId="168" fontId="2" fillId="2" borderId="12" xfId="1" applyNumberFormat="1" applyFont="1" applyFill="1" applyBorder="1" applyAlignment="1">
      <alignment horizontal="left" vertical="center"/>
    </xf>
    <xf numFmtId="165" fontId="2" fillId="0" borderId="10" xfId="1" applyNumberFormat="1" applyFont="1" applyFill="1" applyBorder="1" applyAlignment="1">
      <alignment horizontal="center" vertical="center"/>
    </xf>
    <xf numFmtId="165" fontId="2" fillId="0" borderId="12" xfId="1" applyNumberFormat="1" applyFont="1" applyFill="1" applyBorder="1" applyAlignment="1">
      <alignment horizontal="center" vertical="center"/>
    </xf>
    <xf numFmtId="165" fontId="2" fillId="2" borderId="10" xfId="1" applyNumberFormat="1" applyFont="1" applyFill="1" applyBorder="1" applyAlignment="1">
      <alignment horizontal="center" vertical="center"/>
    </xf>
    <xf numFmtId="165" fontId="2" fillId="2" borderId="11" xfId="1" applyNumberFormat="1" applyFont="1" applyFill="1" applyBorder="1" applyAlignment="1">
      <alignment horizontal="center" vertical="center"/>
    </xf>
    <xf numFmtId="165" fontId="2" fillId="2" borderId="12" xfId="1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/>
    </xf>
    <xf numFmtId="165" fontId="2" fillId="2" borderId="12" xfId="0" applyNumberFormat="1" applyFont="1" applyFill="1" applyBorder="1" applyAlignment="1">
      <alignment horizontal="center" vertical="center"/>
    </xf>
    <xf numFmtId="166" fontId="2" fillId="2" borderId="19" xfId="0" applyNumberFormat="1" applyFont="1" applyFill="1" applyBorder="1" applyAlignment="1">
      <alignment horizontal="center" vertical="center"/>
    </xf>
    <xf numFmtId="166" fontId="2" fillId="2" borderId="20" xfId="0" applyNumberFormat="1" applyFont="1" applyFill="1" applyBorder="1" applyAlignment="1">
      <alignment horizontal="center" vertical="center"/>
    </xf>
    <xf numFmtId="166" fontId="2" fillId="2" borderId="21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166" fontId="2" fillId="2" borderId="5" xfId="0" applyNumberFormat="1" applyFont="1" applyFill="1" applyBorder="1" applyAlignment="1">
      <alignment horizontal="center" vertical="center"/>
    </xf>
    <xf numFmtId="166" fontId="2" fillId="2" borderId="6" xfId="0" applyNumberFormat="1" applyFont="1" applyFill="1" applyBorder="1" applyAlignment="1">
      <alignment horizontal="center" vertical="center"/>
    </xf>
    <xf numFmtId="165" fontId="2" fillId="0" borderId="4" xfId="1" applyNumberFormat="1" applyFont="1" applyFill="1" applyBorder="1" applyAlignment="1">
      <alignment horizontal="center" vertical="center"/>
    </xf>
    <xf numFmtId="165" fontId="2" fillId="0" borderId="6" xfId="1" applyNumberFormat="1" applyFont="1" applyFill="1" applyBorder="1" applyAlignment="1">
      <alignment horizontal="center" vertical="center"/>
    </xf>
    <xf numFmtId="165" fontId="2" fillId="2" borderId="4" xfId="1" applyNumberFormat="1" applyFont="1" applyFill="1" applyBorder="1" applyAlignment="1">
      <alignment horizontal="center" vertical="center"/>
    </xf>
    <xf numFmtId="165" fontId="2" fillId="2" borderId="5" xfId="1" applyNumberFormat="1" applyFont="1" applyFill="1" applyBorder="1" applyAlignment="1">
      <alignment horizontal="center" vertical="center"/>
    </xf>
    <xf numFmtId="165" fontId="2" fillId="2" borderId="6" xfId="1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168" fontId="2" fillId="2" borderId="0" xfId="1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7" fillId="3" borderId="2" xfId="20" applyFont="1" applyFill="1" applyBorder="1" applyAlignment="1">
      <alignment horizontal="center"/>
    </xf>
    <xf numFmtId="0" fontId="17" fillId="3" borderId="39" xfId="20" applyFont="1" applyFill="1" applyBorder="1" applyAlignment="1">
      <alignment horizontal="center"/>
    </xf>
    <xf numFmtId="0" fontId="17" fillId="3" borderId="40" xfId="20" applyFont="1" applyFill="1" applyBorder="1" applyAlignment="1">
      <alignment horizontal="center"/>
    </xf>
  </cellXfs>
  <cellStyles count="22">
    <cellStyle name="Comma" xfId="1" builtinId="3"/>
    <cellStyle name="Comma  - Style1" xfId="6" xr:uid="{00000000-0005-0000-0000-00000A000000}"/>
    <cellStyle name="Comma [0] 2" xfId="3" xr:uid="{00000000-0005-0000-0000-000003000000}"/>
    <cellStyle name="Curren - Style3" xfId="4" xr:uid="{00000000-0005-0000-0000-000008000000}"/>
    <cellStyle name="Curren - Style4" xfId="2" xr:uid="{00000000-0005-0000-0000-000002000000}"/>
    <cellStyle name="Date" xfId="7" xr:uid="{00000000-0005-0000-0000-00000B000000}"/>
    <cellStyle name="Fixed" xfId="9" xr:uid="{00000000-0005-0000-0000-00000D000000}"/>
    <cellStyle name="Grey" xfId="10" xr:uid="{00000000-0005-0000-0000-00000E000000}"/>
    <cellStyle name="Heading1" xfId="11" xr:uid="{00000000-0005-0000-0000-00000F000000}"/>
    <cellStyle name="Heading2" xfId="12" xr:uid="{00000000-0005-0000-0000-000010000000}"/>
    <cellStyle name="Input [yellow]" xfId="13" xr:uid="{00000000-0005-0000-0000-000011000000}"/>
    <cellStyle name="Milliers [0]_AR1194" xfId="14" xr:uid="{00000000-0005-0000-0000-000012000000}"/>
    <cellStyle name="Milliers_AR1194" xfId="15" xr:uid="{00000000-0005-0000-0000-000013000000}"/>
    <cellStyle name="Monétaire [0]_AR1194" xfId="16" xr:uid="{00000000-0005-0000-0000-000014000000}"/>
    <cellStyle name="Monétaire_AR1194" xfId="17" xr:uid="{00000000-0005-0000-0000-000015000000}"/>
    <cellStyle name="Normal" xfId="0" builtinId="0"/>
    <cellStyle name="Normal - Style1" xfId="18" xr:uid="{00000000-0005-0000-0000-000016000000}"/>
    <cellStyle name="Normal - Style5" xfId="19" xr:uid="{00000000-0005-0000-0000-000017000000}"/>
    <cellStyle name="Normal 2" xfId="20" xr:uid="{00000000-0005-0000-0000-000018000000}"/>
    <cellStyle name="Percent [2]" xfId="21" xr:uid="{00000000-0005-0000-0000-000019000000}"/>
    <cellStyle name="PERCENTAGE" xfId="8" xr:uid="{00000000-0005-0000-0000-00000C000000}"/>
    <cellStyle name="Total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EVANGE~1.BUM/LOCALS~1/Temp/windows/TEMP/My%20Documents/bahan%20buku/form-p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ie\2002\ISO%209001\Dok%20Cat%20Mutu\Report\Man%20Power%20RO%20ACC\My%20Documents\Copy%20of%20MP%20RO%20Jan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EVANGE~1.BUM/LOCALS~1/Temp/windows/TEMP/F.%20HELEN%20S/Marketing%20Division/HSO%20Mkt%20Data%201998/In%20use/McForecast%20(SF-XI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y\rfy-cbp\ISO%209001\Dok%20Cat%20Mutu\Report\Man%20Power%20RO%20ACC\My%20Documents\Copy%20of%20MP%20RO%20Ja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B%202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tno\noceng\Iwal%20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ALIS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KI@"/>
      <sheetName val="JATIM@"/>
      <sheetName val="JABAR@"/>
      <sheetName val="AREA"/>
      <sheetName val="INTIM@"/>
      <sheetName val="JATENG@"/>
      <sheetName val="SMR@"/>
      <sheetName val="JATENG X"/>
      <sheetName val="sumatera"/>
      <sheetName val="intim"/>
      <sheetName val="JATIM"/>
      <sheetName val="OPR-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KI@"/>
      <sheetName val="JATIM@"/>
      <sheetName val="JABAR@"/>
      <sheetName val="AREA"/>
      <sheetName val="INTIM@"/>
      <sheetName val="JATENG@"/>
      <sheetName val="SMR@"/>
      <sheetName val="JATENG X"/>
      <sheetName val="sumatera"/>
      <sheetName val="intim"/>
      <sheetName val="JATIM"/>
      <sheetName val="OPR-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"/>
      <sheetName val="dosis pupuk"/>
      <sheetName val="taksasi prod"/>
      <sheetName val="rab94"/>
      <sheetName val="rab95"/>
      <sheetName val="rab98"/>
      <sheetName val="FISIK RAB 2000"/>
      <sheetName val="FISIK BARU"/>
      <sheetName val="BIAYA RAB 2000"/>
      <sheetName val="NON TANAMAN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sik 94"/>
      <sheetName val="fisik 95"/>
      <sheetName val="fisik total"/>
      <sheetName val="biaya 94"/>
      <sheetName val="biaya 95"/>
      <sheetName val="biaya total"/>
      <sheetName val="non tanaman 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T PERFORMANCE"/>
      <sheetName val="Tan_mati"/>
      <sheetName val="tegakan"/>
      <sheetName val="kerapatan"/>
      <sheetName val="Index Gaji"/>
      <sheetName val="TK"/>
      <sheetName val="rasio TK"/>
      <sheetName val="achievement rpt"/>
      <sheetName val="ACT PROD"/>
      <sheetName val="PUPUK"/>
      <sheetName val="Biaya"/>
      <sheetName val="PLAN PROD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5"/>
  <sheetViews>
    <sheetView showGridLines="0" zoomScale="85" zoomScaleNormal="85" workbookViewId="0">
      <selection activeCell="P52" sqref="P52"/>
    </sheetView>
  </sheetViews>
  <sheetFormatPr defaultColWidth="9" defaultRowHeight="12.5"/>
  <cols>
    <col min="1" max="1" width="2.7265625" customWidth="1"/>
    <col min="2" max="2" width="1" customWidth="1"/>
    <col min="3" max="3" width="12.54296875" customWidth="1"/>
    <col min="4" max="4" width="11.7265625" customWidth="1"/>
    <col min="5" max="6" width="2.7265625" customWidth="1"/>
    <col min="7" max="8" width="12.7265625" customWidth="1"/>
    <col min="9" max="9" width="1.7265625" customWidth="1"/>
    <col min="10" max="11" width="2.7265625" customWidth="1"/>
    <col min="12" max="13" width="12.7265625" customWidth="1"/>
    <col min="14" max="14" width="1.7265625" customWidth="1"/>
    <col min="15" max="15" width="2.7265625" customWidth="1"/>
    <col min="16" max="16" width="12.7265625" style="7" customWidth="1"/>
    <col min="17" max="17" width="14.7265625" customWidth="1"/>
  </cols>
  <sheetData>
    <row r="1" spans="1:17" s="1" customFormat="1" ht="15.5">
      <c r="B1" s="8"/>
      <c r="P1" s="4"/>
    </row>
    <row r="2" spans="1:17" s="1" customFormat="1" ht="13">
      <c r="C2" s="9" t="s">
        <v>79</v>
      </c>
      <c r="P2" s="4"/>
    </row>
    <row r="3" spans="1:17" s="1" customFormat="1" ht="14">
      <c r="A3" s="10"/>
      <c r="P3" s="4"/>
    </row>
    <row r="4" spans="1:17" s="1" customFormat="1" ht="25.5" customHeight="1">
      <c r="A4" s="93" t="s">
        <v>0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</row>
    <row r="5" spans="1:17" s="1" customFormat="1" ht="21" customHeight="1">
      <c r="A5" s="94" t="s">
        <v>1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1:17" s="1" customFormat="1">
      <c r="J6" s="4"/>
      <c r="K6" s="4"/>
      <c r="P6" s="4"/>
    </row>
    <row r="7" spans="1:17" s="2" customFormat="1" ht="11.5">
      <c r="A7" s="11" t="s">
        <v>2</v>
      </c>
      <c r="B7" s="11"/>
      <c r="D7" s="12"/>
      <c r="F7" s="13"/>
      <c r="L7" s="44" t="s">
        <v>3</v>
      </c>
      <c r="P7" s="12"/>
      <c r="Q7" s="15"/>
    </row>
    <row r="8" spans="1:17" s="2" customFormat="1" ht="11.5">
      <c r="A8" s="11" t="s">
        <v>4</v>
      </c>
      <c r="B8" s="11"/>
      <c r="D8" s="12"/>
      <c r="F8" s="13"/>
      <c r="L8" s="44" t="s">
        <v>5</v>
      </c>
      <c r="P8" s="45"/>
      <c r="Q8" s="57"/>
    </row>
    <row r="9" spans="1:17" s="2" customFormat="1" ht="11.5">
      <c r="A9" s="11" t="s">
        <v>6</v>
      </c>
      <c r="B9" s="11"/>
      <c r="D9" s="12"/>
      <c r="F9" s="13"/>
      <c r="L9" s="11" t="s">
        <v>7</v>
      </c>
      <c r="P9" s="45"/>
      <c r="Q9" s="57"/>
    </row>
    <row r="10" spans="1:17" s="2" customFormat="1" ht="11.5">
      <c r="A10" s="11" t="s">
        <v>8</v>
      </c>
      <c r="B10" s="11"/>
      <c r="D10" s="12"/>
      <c r="F10" s="13"/>
      <c r="L10" s="11" t="s">
        <v>9</v>
      </c>
      <c r="P10" s="45"/>
      <c r="Q10" s="57"/>
    </row>
    <row r="11" spans="1:17" s="2" customFormat="1" ht="11.5">
      <c r="A11" s="11" t="s">
        <v>10</v>
      </c>
      <c r="B11" s="11"/>
      <c r="D11" s="12"/>
      <c r="F11" s="13"/>
      <c r="G11" s="13"/>
      <c r="H11" s="13"/>
      <c r="I11" s="46"/>
      <c r="J11" s="47"/>
      <c r="K11" s="47"/>
      <c r="P11" s="47"/>
    </row>
    <row r="12" spans="1:17" s="2" customFormat="1" ht="11.5">
      <c r="A12" s="11" t="s">
        <v>11</v>
      </c>
      <c r="B12" s="11"/>
      <c r="D12" s="12"/>
      <c r="E12" s="14"/>
      <c r="F12" s="14"/>
      <c r="G12" s="14"/>
      <c r="H12" s="15"/>
      <c r="I12" s="15"/>
      <c r="J12" s="15"/>
      <c r="K12" s="47"/>
      <c r="P12" s="47"/>
    </row>
    <row r="13" spans="1:17" s="1" customFormat="1" ht="13">
      <c r="A13" s="9"/>
      <c r="B13" s="9"/>
      <c r="C13" s="9"/>
      <c r="D13" s="16"/>
      <c r="E13" s="17"/>
      <c r="F13" s="18"/>
      <c r="G13" s="18"/>
      <c r="H13" s="18"/>
      <c r="I13" s="4"/>
      <c r="J13" s="4"/>
      <c r="K13" s="4"/>
      <c r="P13" s="4"/>
    </row>
    <row r="14" spans="1:17" s="1" customFormat="1" ht="13">
      <c r="A14" s="9" t="s">
        <v>12</v>
      </c>
      <c r="B14" s="9"/>
      <c r="C14" s="9"/>
      <c r="D14" s="16"/>
      <c r="E14" s="17"/>
      <c r="F14" s="18"/>
      <c r="G14" s="18"/>
      <c r="H14" s="18"/>
      <c r="I14" s="4"/>
      <c r="J14" s="4"/>
      <c r="K14" s="4"/>
      <c r="P14" s="4"/>
    </row>
    <row r="15" spans="1:17" s="1" customFormat="1" ht="13">
      <c r="A15" s="9"/>
      <c r="B15" s="9"/>
      <c r="C15" s="9"/>
      <c r="D15" s="16"/>
      <c r="E15" s="17"/>
      <c r="F15" s="18"/>
      <c r="G15" s="18"/>
      <c r="H15" s="18"/>
      <c r="I15" s="4"/>
      <c r="J15" s="4"/>
      <c r="K15" s="4"/>
      <c r="P15" s="4"/>
    </row>
    <row r="16" spans="1:17" s="1" customFormat="1" ht="13">
      <c r="A16" s="19" t="s">
        <v>13</v>
      </c>
      <c r="B16" s="95" t="s">
        <v>14</v>
      </c>
      <c r="C16" s="96"/>
      <c r="D16" s="96"/>
      <c r="E16" s="20"/>
      <c r="F16" s="18" t="s">
        <v>15</v>
      </c>
      <c r="H16" s="18"/>
      <c r="K16" s="48"/>
      <c r="L16" s="95" t="s">
        <v>16</v>
      </c>
      <c r="M16" s="97"/>
      <c r="O16" s="48"/>
      <c r="P16" s="95" t="s">
        <v>17</v>
      </c>
      <c r="Q16" s="97"/>
    </row>
    <row r="17" spans="1:18" s="1" customFormat="1" ht="13">
      <c r="A17" s="9"/>
      <c r="B17" s="9"/>
      <c r="C17" s="9"/>
      <c r="D17" s="16"/>
      <c r="E17" s="17"/>
      <c r="F17" s="18"/>
      <c r="G17" s="18"/>
      <c r="H17" s="18"/>
      <c r="I17" s="4"/>
      <c r="J17" s="4"/>
      <c r="K17" s="4"/>
      <c r="P17" s="4"/>
    </row>
    <row r="18" spans="1:18" s="1" customFormat="1" ht="15.5">
      <c r="A18" s="98" t="s">
        <v>18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00"/>
    </row>
    <row r="19" spans="1:18" s="1" customFormat="1" ht="13">
      <c r="A19" s="101" t="s">
        <v>19</v>
      </c>
      <c r="B19" s="102"/>
      <c r="C19" s="103"/>
      <c r="D19" s="101" t="s">
        <v>20</v>
      </c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</row>
    <row r="20" spans="1:18" s="1" customFormat="1">
      <c r="A20" s="104">
        <v>41907</v>
      </c>
      <c r="B20" s="105"/>
      <c r="C20" s="106"/>
      <c r="D20" s="107" t="s">
        <v>21</v>
      </c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</row>
    <row r="21" spans="1:18" s="1" customFormat="1" ht="12.75" customHeight="1">
      <c r="A21" s="110" t="s">
        <v>22</v>
      </c>
      <c r="B21" s="111"/>
      <c r="C21" s="112"/>
      <c r="D21" s="113" t="s">
        <v>23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5"/>
    </row>
    <row r="22" spans="1:18" s="1" customFormat="1" ht="12.75" customHeight="1">
      <c r="A22" s="110">
        <v>41971</v>
      </c>
      <c r="B22" s="111"/>
      <c r="C22" s="112"/>
      <c r="D22" s="113" t="s">
        <v>24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5"/>
    </row>
    <row r="23" spans="1:18" s="1" customFormat="1" ht="12.75" customHeight="1">
      <c r="A23" s="110"/>
      <c r="B23" s="111"/>
      <c r="C23" s="112"/>
      <c r="D23" s="113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5"/>
    </row>
    <row r="24" spans="1:18" s="1" customFormat="1" ht="12.75" customHeight="1">
      <c r="A24" s="116"/>
      <c r="B24" s="117"/>
      <c r="C24" s="118"/>
      <c r="D24" s="119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1"/>
    </row>
    <row r="25" spans="1:18" s="1" customFormat="1" ht="13">
      <c r="A25" s="18"/>
      <c r="B25" s="18"/>
      <c r="C25" s="24"/>
      <c r="D25" s="25"/>
      <c r="E25" s="24"/>
      <c r="F25" s="24"/>
      <c r="G25" s="24"/>
      <c r="H25" s="24"/>
      <c r="I25" s="24"/>
      <c r="J25" s="24"/>
      <c r="K25" s="24"/>
      <c r="L25" s="4"/>
      <c r="M25" s="4"/>
      <c r="N25" s="4"/>
      <c r="O25" s="4"/>
      <c r="P25" s="4"/>
      <c r="Q25" s="4"/>
    </row>
    <row r="26" spans="1:18" s="1" customForma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P26" s="4"/>
    </row>
    <row r="27" spans="1:18" s="3" customFormat="1" ht="15.5">
      <c r="A27" s="98" t="s">
        <v>25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100"/>
    </row>
    <row r="28" spans="1:18" s="4" customFormat="1" ht="39.75" customHeight="1">
      <c r="A28" s="122" t="s">
        <v>26</v>
      </c>
      <c r="B28" s="122"/>
      <c r="C28" s="122"/>
      <c r="D28" s="123" t="s">
        <v>27</v>
      </c>
      <c r="E28" s="123"/>
      <c r="F28" s="123"/>
      <c r="G28" s="123"/>
      <c r="H28" s="123" t="s">
        <v>28</v>
      </c>
      <c r="I28" s="123"/>
      <c r="J28" s="122" t="s">
        <v>29</v>
      </c>
      <c r="K28" s="122"/>
      <c r="L28" s="122"/>
      <c r="M28" s="122" t="s">
        <v>30</v>
      </c>
      <c r="N28" s="122"/>
      <c r="O28" s="122" t="s">
        <v>31</v>
      </c>
      <c r="P28" s="122"/>
      <c r="Q28" s="26" t="s">
        <v>32</v>
      </c>
      <c r="R28" s="13"/>
    </row>
    <row r="29" spans="1:18" s="4" customFormat="1" ht="12.75" customHeight="1">
      <c r="A29" s="104"/>
      <c r="B29" s="105"/>
      <c r="C29" s="106"/>
      <c r="D29" s="124"/>
      <c r="E29" s="125"/>
      <c r="F29" s="125"/>
      <c r="G29" s="126"/>
      <c r="H29" s="127"/>
      <c r="I29" s="128"/>
      <c r="J29" s="129"/>
      <c r="K29" s="130"/>
      <c r="L29" s="131"/>
      <c r="M29" s="132"/>
      <c r="N29" s="133"/>
      <c r="O29" s="132"/>
      <c r="P29" s="133"/>
      <c r="Q29" s="71"/>
    </row>
    <row r="30" spans="1:18" s="4" customFormat="1">
      <c r="A30" s="110">
        <v>41968</v>
      </c>
      <c r="B30" s="111"/>
      <c r="C30" s="112"/>
      <c r="D30" s="134" t="s">
        <v>33</v>
      </c>
      <c r="E30" s="135"/>
      <c r="F30" s="135"/>
      <c r="G30" s="136"/>
      <c r="H30" s="137"/>
      <c r="I30" s="138"/>
      <c r="J30" s="139"/>
      <c r="K30" s="140"/>
      <c r="L30" s="141"/>
      <c r="M30" s="142"/>
      <c r="N30" s="143"/>
      <c r="O30" s="142"/>
      <c r="P30" s="143"/>
      <c r="Q30" s="58">
        <v>40000</v>
      </c>
    </row>
    <row r="31" spans="1:18" s="4" customFormat="1">
      <c r="A31" s="110"/>
      <c r="B31" s="111"/>
      <c r="C31" s="112"/>
      <c r="D31" s="134" t="s">
        <v>34</v>
      </c>
      <c r="E31" s="135"/>
      <c r="F31" s="135"/>
      <c r="G31" s="136"/>
      <c r="H31" s="27"/>
      <c r="I31" s="49"/>
      <c r="J31" s="50"/>
      <c r="K31" s="51"/>
      <c r="L31" s="52"/>
      <c r="M31" s="53"/>
      <c r="N31" s="54"/>
      <c r="O31" s="142">
        <v>20000</v>
      </c>
      <c r="P31" s="143"/>
      <c r="Q31" s="58"/>
    </row>
    <row r="32" spans="1:18" s="4" customFormat="1">
      <c r="A32" s="110"/>
      <c r="B32" s="111"/>
      <c r="C32" s="112"/>
      <c r="D32" s="134" t="s">
        <v>35</v>
      </c>
      <c r="E32" s="135"/>
      <c r="F32" s="135"/>
      <c r="G32" s="136"/>
      <c r="H32" s="137"/>
      <c r="I32" s="138"/>
      <c r="J32" s="139"/>
      <c r="K32" s="140"/>
      <c r="L32" s="141"/>
      <c r="M32" s="142"/>
      <c r="N32" s="143"/>
      <c r="O32" s="142">
        <v>20000</v>
      </c>
      <c r="P32" s="143"/>
      <c r="Q32" s="58"/>
    </row>
    <row r="33" spans="1:17" s="4" customFormat="1">
      <c r="A33" s="21"/>
      <c r="B33" s="22"/>
      <c r="C33" s="23"/>
      <c r="D33" s="134" t="s">
        <v>36</v>
      </c>
      <c r="E33" s="135"/>
      <c r="F33" s="135"/>
      <c r="G33" s="136"/>
      <c r="H33" s="137"/>
      <c r="I33" s="138"/>
      <c r="J33" s="139"/>
      <c r="K33" s="140"/>
      <c r="L33" s="141"/>
      <c r="M33" s="142">
        <v>45000</v>
      </c>
      <c r="N33" s="143"/>
      <c r="O33" s="142"/>
      <c r="P33" s="143"/>
      <c r="Q33" s="58"/>
    </row>
    <row r="34" spans="1:17" s="4" customFormat="1">
      <c r="A34" s="110">
        <v>41969</v>
      </c>
      <c r="B34" s="111"/>
      <c r="C34" s="112"/>
      <c r="D34" s="134" t="s">
        <v>36</v>
      </c>
      <c r="E34" s="135"/>
      <c r="F34" s="135"/>
      <c r="G34" s="136"/>
      <c r="H34" s="137"/>
      <c r="I34" s="138"/>
      <c r="J34" s="139"/>
      <c r="K34" s="140"/>
      <c r="L34" s="141"/>
      <c r="M34" s="142">
        <v>45000</v>
      </c>
      <c r="N34" s="143"/>
      <c r="O34" s="142"/>
      <c r="P34" s="143"/>
      <c r="Q34" s="58"/>
    </row>
    <row r="35" spans="1:17" s="4" customFormat="1">
      <c r="A35" s="110">
        <v>41970</v>
      </c>
      <c r="B35" s="111"/>
      <c r="C35" s="112"/>
      <c r="D35" s="134" t="s">
        <v>36</v>
      </c>
      <c r="E35" s="135"/>
      <c r="F35" s="135"/>
      <c r="G35" s="136"/>
      <c r="H35" s="137"/>
      <c r="I35" s="138"/>
      <c r="J35" s="139"/>
      <c r="K35" s="140"/>
      <c r="L35" s="141"/>
      <c r="M35" s="142">
        <v>45000</v>
      </c>
      <c r="N35" s="143"/>
      <c r="O35" s="53"/>
      <c r="P35" s="54"/>
      <c r="Q35" s="58"/>
    </row>
    <row r="36" spans="1:17" s="4" customFormat="1">
      <c r="A36" s="110">
        <v>41971</v>
      </c>
      <c r="B36" s="111"/>
      <c r="C36" s="112"/>
      <c r="D36" s="134" t="s">
        <v>36</v>
      </c>
      <c r="E36" s="135"/>
      <c r="F36" s="135"/>
      <c r="G36" s="136"/>
      <c r="H36" s="137"/>
      <c r="I36" s="138"/>
      <c r="J36" s="139"/>
      <c r="K36" s="140"/>
      <c r="L36" s="141"/>
      <c r="M36" s="142">
        <v>45000</v>
      </c>
      <c r="N36" s="143"/>
      <c r="O36" s="142"/>
      <c r="P36" s="143"/>
      <c r="Q36" s="58"/>
    </row>
    <row r="37" spans="1:17" s="4" customFormat="1">
      <c r="A37" s="144"/>
      <c r="B37" s="145"/>
      <c r="C37" s="146"/>
      <c r="D37" s="134" t="s">
        <v>35</v>
      </c>
      <c r="E37" s="135"/>
      <c r="F37" s="135"/>
      <c r="G37" s="136"/>
      <c r="H37" s="137"/>
      <c r="I37" s="138"/>
      <c r="J37" s="139"/>
      <c r="K37" s="140"/>
      <c r="L37" s="141"/>
      <c r="M37" s="142"/>
      <c r="N37" s="143"/>
      <c r="O37" s="142">
        <v>20000</v>
      </c>
      <c r="P37" s="143"/>
      <c r="Q37" s="58"/>
    </row>
    <row r="38" spans="1:17" s="4" customFormat="1">
      <c r="A38" s="68"/>
      <c r="B38" s="69"/>
      <c r="C38" s="70"/>
      <c r="D38" s="134" t="s">
        <v>37</v>
      </c>
      <c r="E38" s="135"/>
      <c r="F38" s="135"/>
      <c r="G38" s="136"/>
      <c r="H38" s="27"/>
      <c r="I38" s="49"/>
      <c r="J38" s="50"/>
      <c r="K38" s="51"/>
      <c r="L38" s="52"/>
      <c r="M38" s="53"/>
      <c r="N38" s="54"/>
      <c r="O38" s="142"/>
      <c r="P38" s="143"/>
      <c r="Q38" s="58">
        <v>30000</v>
      </c>
    </row>
    <row r="39" spans="1:17" s="4" customFormat="1">
      <c r="A39" s="144"/>
      <c r="B39" s="145"/>
      <c r="C39" s="146"/>
      <c r="D39" s="134"/>
      <c r="E39" s="135"/>
      <c r="F39" s="135"/>
      <c r="G39" s="136"/>
      <c r="H39" s="137"/>
      <c r="I39" s="138"/>
      <c r="J39" s="139"/>
      <c r="K39" s="140"/>
      <c r="L39" s="141"/>
      <c r="M39" s="142"/>
      <c r="N39" s="143"/>
      <c r="O39" s="142"/>
      <c r="P39" s="143"/>
      <c r="Q39" s="58"/>
    </row>
    <row r="40" spans="1:17" s="4" customFormat="1" ht="15.75" customHeight="1">
      <c r="A40" s="147" t="s">
        <v>38</v>
      </c>
      <c r="B40" s="148"/>
      <c r="C40" s="148"/>
      <c r="D40" s="148"/>
      <c r="E40" s="148"/>
      <c r="F40" s="148"/>
      <c r="G40" s="149"/>
      <c r="H40" s="150">
        <f>SUM(H29:I39)</f>
        <v>0</v>
      </c>
      <c r="I40" s="151"/>
      <c r="J40" s="152">
        <f>SUM(J29:L39)</f>
        <v>0</v>
      </c>
      <c r="K40" s="153"/>
      <c r="L40" s="154"/>
      <c r="M40" s="155">
        <f>SUM(M29:N39)</f>
        <v>180000</v>
      </c>
      <c r="N40" s="156"/>
      <c r="O40" s="155">
        <f>SUM(O29:P39)</f>
        <v>60000</v>
      </c>
      <c r="P40" s="156"/>
      <c r="Q40" s="59">
        <f>SUM(Q29:Q39)</f>
        <v>70000</v>
      </c>
    </row>
    <row r="41" spans="1:17" s="4" customFormat="1" ht="13" customHeight="1">
      <c r="A41" s="28"/>
      <c r="B41" s="28"/>
      <c r="C41" s="29"/>
      <c r="D41" s="29"/>
      <c r="E41" s="29"/>
      <c r="F41" s="29"/>
      <c r="G41" s="29"/>
      <c r="H41" s="157"/>
      <c r="I41" s="157"/>
      <c r="J41" s="29"/>
      <c r="K41" s="29"/>
      <c r="O41" s="158" t="s">
        <v>39</v>
      </c>
      <c r="P41" s="158"/>
      <c r="Q41" s="60">
        <f>SUM(H40:Q40)</f>
        <v>310000</v>
      </c>
    </row>
    <row r="42" spans="1:17" s="4" customFormat="1" ht="13" customHeight="1">
      <c r="C42" s="29"/>
      <c r="D42" s="29"/>
      <c r="E42" s="29"/>
      <c r="F42" s="29"/>
      <c r="G42" s="29"/>
      <c r="H42" s="29"/>
      <c r="I42" s="55"/>
      <c r="J42" s="29"/>
      <c r="K42" s="29"/>
      <c r="O42" s="159" t="s">
        <v>40</v>
      </c>
      <c r="P42" s="159"/>
      <c r="Q42" s="60">
        <v>310000</v>
      </c>
    </row>
    <row r="43" spans="1:17" s="4" customFormat="1" ht="13" customHeight="1">
      <c r="C43" s="29"/>
      <c r="D43" s="29"/>
      <c r="E43" s="29"/>
      <c r="F43" s="29"/>
      <c r="G43" s="29"/>
      <c r="H43" s="29"/>
      <c r="I43" s="55"/>
      <c r="J43" s="29"/>
      <c r="K43" s="29"/>
      <c r="O43" s="159" t="s">
        <v>41</v>
      </c>
      <c r="P43" s="159"/>
      <c r="Q43" s="60">
        <f>Q42-Q41</f>
        <v>0</v>
      </c>
    </row>
    <row r="44" spans="1:17" s="4" customFormat="1">
      <c r="C44" s="29"/>
      <c r="D44" s="29"/>
      <c r="E44" s="29"/>
      <c r="F44" s="29"/>
      <c r="G44" s="29"/>
      <c r="H44" s="29"/>
      <c r="I44" s="55"/>
      <c r="J44" s="29"/>
      <c r="K44" s="29"/>
      <c r="O44" s="56"/>
      <c r="P44" s="56"/>
    </row>
    <row r="45" spans="1:17" s="1" customFormat="1">
      <c r="A45" s="4"/>
      <c r="B45" s="4"/>
      <c r="C45" s="30"/>
      <c r="D45" s="30"/>
      <c r="E45" s="30"/>
      <c r="F45" s="30"/>
      <c r="G45" s="30"/>
      <c r="H45" s="30"/>
      <c r="I45" s="30"/>
      <c r="J45" s="30"/>
      <c r="K45" s="30"/>
      <c r="P45" s="4"/>
    </row>
    <row r="46" spans="1:17" s="1" customFormat="1">
      <c r="A46" s="31" t="s">
        <v>80</v>
      </c>
      <c r="B46" s="31"/>
      <c r="C46" s="31"/>
      <c r="D46" s="31"/>
      <c r="E46" s="30"/>
      <c r="F46" s="30"/>
      <c r="G46" s="30"/>
      <c r="H46" s="4"/>
      <c r="I46" s="30"/>
      <c r="J46" s="30"/>
      <c r="K46" s="30"/>
      <c r="P46" s="4"/>
    </row>
    <row r="47" spans="1:17" s="1" customFormat="1">
      <c r="A47" s="4"/>
      <c r="B47" s="4"/>
      <c r="C47" s="30"/>
      <c r="D47" s="30"/>
      <c r="E47" s="30"/>
      <c r="F47" s="30"/>
      <c r="G47" s="30"/>
      <c r="H47" s="30"/>
      <c r="I47" s="30"/>
      <c r="J47" s="30"/>
      <c r="K47" s="30"/>
      <c r="P47" s="4"/>
    </row>
    <row r="48" spans="1:17" s="1" customFormat="1" ht="15" customHeight="1">
      <c r="A48" s="160" t="s">
        <v>43</v>
      </c>
      <c r="B48" s="161"/>
      <c r="C48" s="161"/>
      <c r="D48" s="162"/>
      <c r="E48" s="160" t="s">
        <v>44</v>
      </c>
      <c r="F48" s="161"/>
      <c r="G48" s="161"/>
      <c r="H48" s="161"/>
      <c r="I48" s="161"/>
      <c r="J48" s="162"/>
      <c r="K48" s="32"/>
      <c r="L48" s="161" t="s">
        <v>45</v>
      </c>
      <c r="M48" s="161"/>
      <c r="N48" s="162"/>
      <c r="O48" s="160" t="s">
        <v>46</v>
      </c>
      <c r="P48" s="161"/>
      <c r="Q48" s="162"/>
    </row>
    <row r="49" spans="1:17" s="1" customFormat="1" ht="16" customHeight="1">
      <c r="A49" s="178"/>
      <c r="B49" s="179"/>
      <c r="C49" s="179"/>
      <c r="D49" s="180"/>
      <c r="E49" s="187"/>
      <c r="F49" s="188"/>
      <c r="G49" s="188"/>
      <c r="H49" s="179"/>
      <c r="I49" s="179"/>
      <c r="J49" s="180"/>
      <c r="K49" s="163" t="s">
        <v>47</v>
      </c>
      <c r="L49" s="164"/>
      <c r="M49" s="164"/>
      <c r="N49" s="165"/>
      <c r="O49" s="163" t="s">
        <v>48</v>
      </c>
      <c r="P49" s="164"/>
      <c r="Q49" s="165"/>
    </row>
    <row r="50" spans="1:17" s="1" customFormat="1" ht="16" customHeight="1">
      <c r="A50" s="181"/>
      <c r="B50" s="182"/>
      <c r="C50" s="182"/>
      <c r="D50" s="183"/>
      <c r="E50" s="189"/>
      <c r="F50" s="190"/>
      <c r="G50" s="190"/>
      <c r="H50" s="182"/>
      <c r="I50" s="182"/>
      <c r="J50" s="183"/>
      <c r="K50" s="181"/>
      <c r="L50" s="182"/>
      <c r="M50" s="182"/>
      <c r="N50" s="183"/>
      <c r="O50" s="43"/>
      <c r="P50" s="4"/>
      <c r="Q50" s="61"/>
    </row>
    <row r="51" spans="1:17" s="1" customFormat="1" ht="16" customHeight="1">
      <c r="A51" s="181"/>
      <c r="B51" s="182"/>
      <c r="C51" s="182"/>
      <c r="D51" s="183"/>
      <c r="E51" s="189"/>
      <c r="F51" s="190"/>
      <c r="G51" s="190"/>
      <c r="H51" s="182"/>
      <c r="I51" s="182"/>
      <c r="J51" s="183"/>
      <c r="K51" s="181"/>
      <c r="L51" s="182"/>
      <c r="M51" s="182"/>
      <c r="N51" s="183"/>
      <c r="O51" s="43"/>
      <c r="P51" s="4"/>
      <c r="Q51" s="61"/>
    </row>
    <row r="52" spans="1:17" s="1" customFormat="1" ht="16" customHeight="1">
      <c r="A52" s="181"/>
      <c r="B52" s="182"/>
      <c r="C52" s="182"/>
      <c r="D52" s="183"/>
      <c r="E52" s="189"/>
      <c r="F52" s="190"/>
      <c r="G52" s="190"/>
      <c r="H52" s="182"/>
      <c r="I52" s="182"/>
      <c r="J52" s="183"/>
      <c r="K52" s="181"/>
      <c r="L52" s="182"/>
      <c r="M52" s="182"/>
      <c r="N52" s="183"/>
      <c r="O52" s="43"/>
      <c r="P52" s="4"/>
      <c r="Q52" s="61"/>
    </row>
    <row r="53" spans="1:17" s="1" customFormat="1" ht="12.75" customHeight="1">
      <c r="A53" s="184"/>
      <c r="B53" s="185"/>
      <c r="C53" s="185"/>
      <c r="D53" s="186"/>
      <c r="E53" s="189"/>
      <c r="F53" s="190"/>
      <c r="G53" s="190"/>
      <c r="H53" s="185"/>
      <c r="I53" s="185"/>
      <c r="J53" s="186"/>
      <c r="K53" s="184"/>
      <c r="L53" s="185"/>
      <c r="M53" s="185"/>
      <c r="N53" s="186"/>
      <c r="O53" s="43"/>
      <c r="P53" s="4"/>
      <c r="Q53" s="61"/>
    </row>
    <row r="54" spans="1:17" s="5" customFormat="1" ht="16.5" customHeight="1">
      <c r="A54" s="166"/>
      <c r="B54" s="167"/>
      <c r="C54" s="167"/>
      <c r="D54" s="168"/>
      <c r="E54" s="166"/>
      <c r="F54" s="167"/>
      <c r="G54" s="167"/>
      <c r="H54" s="167"/>
      <c r="I54" s="167"/>
      <c r="J54" s="168"/>
      <c r="K54" s="166"/>
      <c r="L54" s="167"/>
      <c r="M54" s="167"/>
      <c r="N54" s="168"/>
      <c r="O54" s="166"/>
      <c r="P54" s="167"/>
      <c r="Q54" s="168"/>
    </row>
    <row r="55" spans="1:17" s="1" customForma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P55" s="4"/>
    </row>
    <row r="56" spans="1:17" s="1" customFormat="1" ht="15.75" customHeight="1">
      <c r="A56" s="33" t="s">
        <v>49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62"/>
    </row>
    <row r="57" spans="1:17" s="1" customFormat="1" ht="15.75" customHeight="1">
      <c r="A57" s="35"/>
      <c r="B57" s="4"/>
      <c r="C57" s="4"/>
      <c r="D57" s="4"/>
      <c r="E57" s="4"/>
      <c r="F57" s="4"/>
      <c r="G57" s="169" t="s">
        <v>50</v>
      </c>
      <c r="H57" s="169"/>
      <c r="I57" s="4"/>
      <c r="J57" s="4"/>
      <c r="K57" s="4"/>
      <c r="M57" s="4"/>
      <c r="N57" s="169" t="s">
        <v>51</v>
      </c>
      <c r="O57" s="169"/>
      <c r="P57" s="169"/>
      <c r="Q57" s="170"/>
    </row>
    <row r="58" spans="1:17" s="1" customFormat="1" ht="13">
      <c r="A58" s="36"/>
      <c r="B58" s="3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61"/>
    </row>
    <row r="59" spans="1:17" s="1" customFormat="1" ht="13">
      <c r="A59" s="38" t="s">
        <v>52</v>
      </c>
      <c r="B59" s="37"/>
      <c r="C59" s="4"/>
      <c r="D59" s="4"/>
      <c r="E59" s="4"/>
      <c r="F59" s="4"/>
      <c r="G59" s="171" t="s">
        <v>53</v>
      </c>
      <c r="H59" s="171"/>
      <c r="I59" s="171"/>
      <c r="J59" s="171"/>
      <c r="K59" s="16"/>
      <c r="L59" s="4"/>
      <c r="M59" s="4"/>
      <c r="N59" s="171" t="s">
        <v>53</v>
      </c>
      <c r="O59" s="171"/>
      <c r="P59" s="171"/>
      <c r="Q59" s="172"/>
    </row>
    <row r="60" spans="1:17" s="1" customFormat="1" ht="13">
      <c r="A60" s="39" t="s">
        <v>54</v>
      </c>
      <c r="B60" s="4"/>
      <c r="C60" s="4"/>
      <c r="D60" s="4"/>
      <c r="E60" s="4"/>
      <c r="F60" s="4"/>
      <c r="G60" s="173" t="s">
        <v>53</v>
      </c>
      <c r="H60" s="173"/>
      <c r="I60" s="173"/>
      <c r="J60" s="173"/>
      <c r="K60" s="16"/>
      <c r="L60" s="4"/>
      <c r="M60" s="4"/>
      <c r="N60" s="173" t="s">
        <v>53</v>
      </c>
      <c r="O60" s="173"/>
      <c r="P60" s="173"/>
      <c r="Q60" s="174"/>
    </row>
    <row r="61" spans="1:17" s="1" customFormat="1" ht="13">
      <c r="A61" s="39" t="s">
        <v>55</v>
      </c>
      <c r="B61" s="4"/>
      <c r="C61" s="4"/>
      <c r="D61" s="4"/>
      <c r="E61" s="4"/>
      <c r="F61" s="4"/>
      <c r="G61" s="173" t="s">
        <v>53</v>
      </c>
      <c r="H61" s="173"/>
      <c r="I61" s="173"/>
      <c r="J61" s="173"/>
      <c r="K61" s="16"/>
      <c r="L61" s="4"/>
      <c r="M61" s="4"/>
      <c r="N61" s="173" t="s">
        <v>53</v>
      </c>
      <c r="O61" s="173"/>
      <c r="P61" s="173"/>
      <c r="Q61" s="174"/>
    </row>
    <row r="62" spans="1:17" s="1" customFormat="1" ht="13">
      <c r="A62" s="40"/>
      <c r="B62" s="16"/>
      <c r="C62" s="41"/>
      <c r="D62" s="18"/>
      <c r="E62" s="18"/>
      <c r="F62" s="18"/>
      <c r="G62" s="18"/>
      <c r="H62" s="97"/>
      <c r="I62" s="97"/>
      <c r="J62" s="97"/>
      <c r="K62" s="16"/>
      <c r="L62" s="4"/>
      <c r="M62" s="4"/>
      <c r="N62" s="4"/>
      <c r="O62" s="4"/>
      <c r="P62" s="4"/>
      <c r="Q62" s="61"/>
    </row>
    <row r="63" spans="1:17" s="1" customFormat="1" ht="13">
      <c r="A63" s="40"/>
      <c r="B63" s="18"/>
      <c r="C63" s="41"/>
      <c r="D63" s="18"/>
      <c r="E63" s="18"/>
      <c r="F63" s="18"/>
      <c r="G63" s="18"/>
      <c r="H63" s="97"/>
      <c r="I63" s="97"/>
      <c r="J63" s="97"/>
      <c r="K63" s="16"/>
      <c r="L63" s="4"/>
      <c r="M63" s="4"/>
      <c r="N63" s="4"/>
      <c r="O63" s="4"/>
      <c r="P63" s="4"/>
      <c r="Q63" s="61"/>
    </row>
    <row r="64" spans="1:17" s="1" customFormat="1" ht="13">
      <c r="A64" s="39" t="s">
        <v>56</v>
      </c>
      <c r="B64" s="18"/>
      <c r="C64" s="41"/>
      <c r="D64" s="18"/>
      <c r="E64" s="18"/>
      <c r="F64" s="18"/>
      <c r="G64" s="175"/>
      <c r="H64" s="175"/>
      <c r="I64" s="175"/>
      <c r="J64" s="175"/>
      <c r="K64" s="42"/>
      <c r="L64" s="4"/>
      <c r="M64" s="4"/>
      <c r="N64" s="4"/>
      <c r="O64" s="4"/>
      <c r="P64" s="4"/>
      <c r="Q64" s="61"/>
    </row>
    <row r="65" spans="1:17" s="1" customFormat="1" ht="13">
      <c r="A65" s="39" t="s">
        <v>57</v>
      </c>
      <c r="B65" s="4"/>
      <c r="C65" s="4"/>
      <c r="D65" s="1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61"/>
    </row>
    <row r="66" spans="1:17" s="1" customFormat="1">
      <c r="A66" s="4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61"/>
    </row>
    <row r="67" spans="1:17" s="1" customFormat="1" ht="13">
      <c r="A67" s="39"/>
      <c r="B67" s="1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61"/>
    </row>
    <row r="68" spans="1:17" s="1" customFormat="1">
      <c r="A68" s="4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61"/>
    </row>
    <row r="69" spans="1:17" s="1" customFormat="1">
      <c r="A69" s="43"/>
      <c r="B69" s="4"/>
      <c r="C69" s="4"/>
      <c r="D69" s="4"/>
      <c r="E69" s="4"/>
      <c r="F69" s="4"/>
      <c r="G69" s="176"/>
      <c r="H69" s="176"/>
      <c r="I69" s="176"/>
      <c r="J69" s="176"/>
      <c r="K69" s="28"/>
      <c r="L69" s="4"/>
      <c r="M69" s="4"/>
      <c r="N69" s="176"/>
      <c r="O69" s="176"/>
      <c r="P69" s="176"/>
      <c r="Q69" s="177"/>
    </row>
    <row r="70" spans="1:17" s="1" customFormat="1" ht="13">
      <c r="A70" s="63"/>
      <c r="B70" s="64"/>
      <c r="C70" s="64"/>
      <c r="D70" s="64"/>
      <c r="E70" s="64"/>
      <c r="F70" s="64"/>
      <c r="G70" s="64"/>
      <c r="H70" s="64"/>
      <c r="I70" s="66"/>
      <c r="J70" s="64"/>
      <c r="K70" s="64"/>
      <c r="L70" s="64"/>
      <c r="M70" s="64"/>
      <c r="N70" s="64"/>
      <c r="O70" s="64"/>
      <c r="P70" s="64"/>
      <c r="Q70" s="67"/>
    </row>
    <row r="71" spans="1:17" s="6" customForma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P71" s="65"/>
    </row>
    <row r="72" spans="1:17" s="6" customForma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P72" s="65"/>
    </row>
    <row r="73" spans="1:17" s="6" customForma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P73" s="65"/>
    </row>
    <row r="74" spans="1:17" s="6" customForma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P74" s="65"/>
    </row>
    <row r="75" spans="1:17" s="6" customForma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P75" s="65"/>
    </row>
    <row r="76" spans="1:17" s="6" customForma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P76" s="65"/>
    </row>
    <row r="77" spans="1:17" s="6" customForma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P77" s="65"/>
    </row>
    <row r="78" spans="1:17" s="6" customForma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P78" s="65"/>
    </row>
    <row r="79" spans="1:17" s="6" customForma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P79" s="65"/>
    </row>
    <row r="80" spans="1:17" s="6" customForma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P80" s="65"/>
    </row>
    <row r="81" spans="1:16" s="6" customForma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P81" s="65"/>
    </row>
    <row r="82" spans="1:16" s="6" customForma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P82" s="65"/>
    </row>
    <row r="83" spans="1:16" s="6" customForma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P83" s="65"/>
    </row>
    <row r="84" spans="1:16" s="6" customForma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P84" s="65"/>
    </row>
    <row r="85" spans="1:16" s="6" customForma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P85" s="65"/>
    </row>
    <row r="86" spans="1:16" s="6" customForma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P86" s="65"/>
    </row>
    <row r="87" spans="1:16" s="6" customForma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P87" s="65"/>
    </row>
    <row r="88" spans="1:16" s="6" customForma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P88" s="65"/>
    </row>
    <row r="89" spans="1:16" s="6" customForma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P89" s="65"/>
    </row>
    <row r="90" spans="1:16" s="6" customForma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P90" s="65"/>
    </row>
    <row r="91" spans="1:16" s="6" customForma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P91" s="65"/>
    </row>
    <row r="92" spans="1:16" s="6" customFormat="1">
      <c r="P92" s="65"/>
    </row>
    <row r="93" spans="1:16" s="6" customFormat="1">
      <c r="P93" s="65"/>
    </row>
    <row r="94" spans="1:16" s="6" customFormat="1">
      <c r="P94" s="65"/>
    </row>
    <row r="95" spans="1:16" s="6" customFormat="1">
      <c r="P95" s="65"/>
    </row>
    <row r="96" spans="1:16" s="6" customFormat="1">
      <c r="P96" s="65"/>
    </row>
    <row r="97" spans="16:16" s="6" customFormat="1">
      <c r="P97" s="65"/>
    </row>
    <row r="98" spans="16:16" s="6" customFormat="1">
      <c r="P98" s="65"/>
    </row>
    <row r="99" spans="16:16" s="6" customFormat="1">
      <c r="P99" s="65"/>
    </row>
    <row r="100" spans="16:16" s="6" customFormat="1">
      <c r="P100" s="65"/>
    </row>
    <row r="101" spans="16:16" s="6" customFormat="1">
      <c r="P101" s="65"/>
    </row>
    <row r="102" spans="16:16" s="6" customFormat="1">
      <c r="P102" s="65"/>
    </row>
    <row r="103" spans="16:16" s="6" customFormat="1">
      <c r="P103" s="65"/>
    </row>
    <row r="104" spans="16:16" s="6" customFormat="1">
      <c r="P104" s="65"/>
    </row>
    <row r="105" spans="16:16" s="6" customFormat="1">
      <c r="P105" s="65"/>
    </row>
    <row r="106" spans="16:16" s="6" customFormat="1">
      <c r="P106" s="65"/>
    </row>
    <row r="107" spans="16:16" s="6" customFormat="1">
      <c r="P107" s="65"/>
    </row>
    <row r="108" spans="16:16" s="6" customFormat="1">
      <c r="P108" s="65"/>
    </row>
    <row r="109" spans="16:16" s="6" customFormat="1">
      <c r="P109" s="65"/>
    </row>
    <row r="110" spans="16:16" s="6" customFormat="1">
      <c r="P110" s="65"/>
    </row>
    <row r="111" spans="16:16" s="6" customFormat="1">
      <c r="P111" s="65"/>
    </row>
    <row r="112" spans="16:16" s="6" customFormat="1">
      <c r="P112" s="65"/>
    </row>
    <row r="113" spans="16:16" s="6" customFormat="1">
      <c r="P113" s="65"/>
    </row>
    <row r="114" spans="16:16" s="6" customFormat="1">
      <c r="P114" s="65"/>
    </row>
    <row r="115" spans="16:16" s="6" customFormat="1">
      <c r="P115" s="65"/>
    </row>
    <row r="116" spans="16:16" s="6" customFormat="1">
      <c r="P116" s="65"/>
    </row>
    <row r="117" spans="16:16" s="6" customFormat="1">
      <c r="P117" s="65"/>
    </row>
    <row r="118" spans="16:16" s="6" customFormat="1">
      <c r="P118" s="65"/>
    </row>
    <row r="119" spans="16:16" s="6" customFormat="1">
      <c r="P119" s="65"/>
    </row>
    <row r="120" spans="16:16" s="6" customFormat="1">
      <c r="P120" s="65"/>
    </row>
    <row r="121" spans="16:16" s="6" customFormat="1">
      <c r="P121" s="65"/>
    </row>
    <row r="122" spans="16:16" s="6" customFormat="1">
      <c r="P122" s="65"/>
    </row>
    <row r="123" spans="16:16" s="6" customFormat="1">
      <c r="P123" s="65"/>
    </row>
    <row r="124" spans="16:16" s="6" customFormat="1">
      <c r="P124" s="65"/>
    </row>
    <row r="125" spans="16:16" s="6" customFormat="1">
      <c r="P125" s="65"/>
    </row>
    <row r="126" spans="16:16" s="6" customFormat="1">
      <c r="P126" s="65"/>
    </row>
    <row r="127" spans="16:16" s="6" customFormat="1">
      <c r="P127" s="65"/>
    </row>
    <row r="128" spans="16:16" s="6" customFormat="1">
      <c r="P128" s="65"/>
    </row>
    <row r="129" spans="16:16" s="6" customFormat="1">
      <c r="P129" s="65"/>
    </row>
    <row r="130" spans="16:16" s="6" customFormat="1">
      <c r="P130" s="65"/>
    </row>
    <row r="131" spans="16:16" s="6" customFormat="1">
      <c r="P131" s="65"/>
    </row>
    <row r="132" spans="16:16" s="6" customFormat="1">
      <c r="P132" s="65"/>
    </row>
    <row r="133" spans="16:16" s="6" customFormat="1">
      <c r="P133" s="65"/>
    </row>
    <row r="134" spans="16:16" s="6" customFormat="1">
      <c r="P134" s="65"/>
    </row>
    <row r="135" spans="16:16" s="6" customFormat="1">
      <c r="P135" s="65"/>
    </row>
    <row r="136" spans="16:16" s="6" customFormat="1">
      <c r="P136" s="65"/>
    </row>
    <row r="137" spans="16:16" s="6" customFormat="1">
      <c r="P137" s="65"/>
    </row>
    <row r="138" spans="16:16" s="6" customFormat="1">
      <c r="P138" s="65"/>
    </row>
    <row r="139" spans="16:16" s="6" customFormat="1">
      <c r="P139" s="65"/>
    </row>
    <row r="140" spans="16:16" s="6" customFormat="1">
      <c r="P140" s="65"/>
    </row>
    <row r="141" spans="16:16" s="6" customFormat="1">
      <c r="P141" s="65"/>
    </row>
    <row r="142" spans="16:16" s="6" customFormat="1">
      <c r="P142" s="65"/>
    </row>
    <row r="143" spans="16:16" s="6" customFormat="1">
      <c r="P143" s="65"/>
    </row>
    <row r="144" spans="16:16" s="6" customFormat="1">
      <c r="P144" s="65"/>
    </row>
    <row r="145" spans="16:16" s="6" customFormat="1">
      <c r="P145" s="65"/>
    </row>
    <row r="146" spans="16:16" s="6" customFormat="1">
      <c r="P146" s="65"/>
    </row>
    <row r="147" spans="16:16" s="6" customFormat="1">
      <c r="P147" s="65"/>
    </row>
    <row r="148" spans="16:16" s="6" customFormat="1">
      <c r="P148" s="65"/>
    </row>
    <row r="149" spans="16:16" s="6" customFormat="1">
      <c r="P149" s="65"/>
    </row>
    <row r="150" spans="16:16" s="6" customFormat="1">
      <c r="P150" s="65"/>
    </row>
    <row r="151" spans="16:16" s="6" customFormat="1">
      <c r="P151" s="65"/>
    </row>
    <row r="152" spans="16:16" s="6" customFormat="1">
      <c r="P152" s="65"/>
    </row>
    <row r="153" spans="16:16" s="6" customFormat="1">
      <c r="P153" s="65"/>
    </row>
    <row r="154" spans="16:16" s="6" customFormat="1">
      <c r="P154" s="65"/>
    </row>
    <row r="155" spans="16:16" s="6" customFormat="1">
      <c r="P155" s="65"/>
    </row>
    <row r="156" spans="16:16" s="6" customFormat="1">
      <c r="P156" s="65"/>
    </row>
    <row r="157" spans="16:16" s="6" customFormat="1">
      <c r="P157" s="65"/>
    </row>
    <row r="158" spans="16:16" s="6" customFormat="1">
      <c r="P158" s="65"/>
    </row>
    <row r="159" spans="16:16" s="6" customFormat="1">
      <c r="P159" s="65"/>
    </row>
    <row r="160" spans="16:16" s="6" customFormat="1">
      <c r="P160" s="65"/>
    </row>
    <row r="161" spans="16:16" s="6" customFormat="1">
      <c r="P161" s="65"/>
    </row>
    <row r="162" spans="16:16" s="6" customFormat="1">
      <c r="P162" s="65"/>
    </row>
    <row r="163" spans="16:16" s="6" customFormat="1">
      <c r="P163" s="65"/>
    </row>
    <row r="164" spans="16:16" s="6" customFormat="1">
      <c r="P164" s="65"/>
    </row>
    <row r="165" spans="16:16" s="6" customFormat="1">
      <c r="P165" s="65"/>
    </row>
    <row r="166" spans="16:16" s="6" customFormat="1">
      <c r="P166" s="65"/>
    </row>
    <row r="167" spans="16:16" s="6" customFormat="1">
      <c r="P167" s="65"/>
    </row>
    <row r="168" spans="16:16" s="6" customFormat="1">
      <c r="P168" s="65"/>
    </row>
    <row r="169" spans="16:16" s="6" customFormat="1">
      <c r="P169" s="65"/>
    </row>
    <row r="170" spans="16:16" s="6" customFormat="1">
      <c r="P170" s="65"/>
    </row>
    <row r="171" spans="16:16" s="6" customFormat="1">
      <c r="P171" s="65"/>
    </row>
    <row r="172" spans="16:16" s="6" customFormat="1">
      <c r="P172" s="65"/>
    </row>
    <row r="173" spans="16:16" s="6" customFormat="1">
      <c r="P173" s="65"/>
    </row>
    <row r="174" spans="16:16" s="6" customFormat="1">
      <c r="P174" s="65"/>
    </row>
    <row r="175" spans="16:16" s="6" customFormat="1">
      <c r="P175" s="65"/>
    </row>
  </sheetData>
  <mergeCells count="118">
    <mergeCell ref="G61:J61"/>
    <mergeCell ref="N61:Q61"/>
    <mergeCell ref="H62:J62"/>
    <mergeCell ref="H63:J63"/>
    <mergeCell ref="G64:J64"/>
    <mergeCell ref="G69:J69"/>
    <mergeCell ref="N69:Q69"/>
    <mergeCell ref="A49:D53"/>
    <mergeCell ref="E49:G53"/>
    <mergeCell ref="H49:J53"/>
    <mergeCell ref="K50:N53"/>
    <mergeCell ref="A54:D54"/>
    <mergeCell ref="E54:J54"/>
    <mergeCell ref="K54:N54"/>
    <mergeCell ref="O54:Q54"/>
    <mergeCell ref="G57:H57"/>
    <mergeCell ref="N57:Q57"/>
    <mergeCell ref="G59:J59"/>
    <mergeCell ref="N59:Q59"/>
    <mergeCell ref="G60:J60"/>
    <mergeCell ref="N60:Q60"/>
    <mergeCell ref="H41:I41"/>
    <mergeCell ref="O41:P41"/>
    <mergeCell ref="O42:P42"/>
    <mergeCell ref="O43:P43"/>
    <mergeCell ref="A48:D48"/>
    <mergeCell ref="E48:J48"/>
    <mergeCell ref="L48:N48"/>
    <mergeCell ref="O48:Q48"/>
    <mergeCell ref="K49:N49"/>
    <mergeCell ref="O49:Q49"/>
    <mergeCell ref="D38:G38"/>
    <mergeCell ref="O38:P38"/>
    <mergeCell ref="A39:C39"/>
    <mergeCell ref="D39:G39"/>
    <mergeCell ref="H39:I39"/>
    <mergeCell ref="J39:L39"/>
    <mergeCell ref="M39:N39"/>
    <mergeCell ref="O39:P39"/>
    <mergeCell ref="A40:G40"/>
    <mergeCell ref="H40:I40"/>
    <mergeCell ref="J40:L40"/>
    <mergeCell ref="M40:N40"/>
    <mergeCell ref="O40:P40"/>
    <mergeCell ref="A36:C36"/>
    <mergeCell ref="D36:G36"/>
    <mergeCell ref="H36:I36"/>
    <mergeCell ref="J36:L36"/>
    <mergeCell ref="M36:N36"/>
    <mergeCell ref="O36:P36"/>
    <mergeCell ref="A37:C37"/>
    <mergeCell ref="D37:G37"/>
    <mergeCell ref="H37:I37"/>
    <mergeCell ref="J37:L37"/>
    <mergeCell ref="M37:N37"/>
    <mergeCell ref="O37:P37"/>
    <mergeCell ref="A34:C34"/>
    <mergeCell ref="D34:G34"/>
    <mergeCell ref="H34:I34"/>
    <mergeCell ref="J34:L34"/>
    <mergeCell ref="M34:N34"/>
    <mergeCell ref="O34:P34"/>
    <mergeCell ref="A35:C35"/>
    <mergeCell ref="D35:G35"/>
    <mergeCell ref="H35:I35"/>
    <mergeCell ref="J35:L35"/>
    <mergeCell ref="M35:N35"/>
    <mergeCell ref="A32:C32"/>
    <mergeCell ref="D32:G32"/>
    <mergeCell ref="H32:I32"/>
    <mergeCell ref="J32:L32"/>
    <mergeCell ref="M32:N32"/>
    <mergeCell ref="O32:P32"/>
    <mergeCell ref="D33:G33"/>
    <mergeCell ref="H33:I33"/>
    <mergeCell ref="J33:L33"/>
    <mergeCell ref="M33:N33"/>
    <mergeCell ref="O33:P33"/>
    <mergeCell ref="A30:C30"/>
    <mergeCell ref="D30:G30"/>
    <mergeCell ref="H30:I30"/>
    <mergeCell ref="J30:L30"/>
    <mergeCell ref="M30:N30"/>
    <mergeCell ref="O30:P30"/>
    <mergeCell ref="A31:C31"/>
    <mergeCell ref="D31:G31"/>
    <mergeCell ref="O31:P31"/>
    <mergeCell ref="A28:C28"/>
    <mergeCell ref="D28:G28"/>
    <mergeCell ref="H28:I28"/>
    <mergeCell ref="J28:L28"/>
    <mergeCell ref="M28:N28"/>
    <mergeCell ref="O28:P28"/>
    <mergeCell ref="A29:C29"/>
    <mergeCell ref="D29:G29"/>
    <mergeCell ref="H29:I29"/>
    <mergeCell ref="J29:L29"/>
    <mergeCell ref="M29:N29"/>
    <mergeCell ref="O29:P29"/>
    <mergeCell ref="A21:C21"/>
    <mergeCell ref="D21:Q21"/>
    <mergeCell ref="A22:C22"/>
    <mergeCell ref="D22:Q22"/>
    <mergeCell ref="A23:C23"/>
    <mergeCell ref="D23:Q23"/>
    <mergeCell ref="A24:C24"/>
    <mergeCell ref="D24:Q24"/>
    <mergeCell ref="A27:Q27"/>
    <mergeCell ref="A4:Q4"/>
    <mergeCell ref="A5:Q5"/>
    <mergeCell ref="B16:D16"/>
    <mergeCell ref="L16:M16"/>
    <mergeCell ref="P16:Q16"/>
    <mergeCell ref="A18:Q18"/>
    <mergeCell ref="A19:C19"/>
    <mergeCell ref="D19:Q19"/>
    <mergeCell ref="A20:C20"/>
    <mergeCell ref="D20:Q20"/>
  </mergeCells>
  <printOptions horizontalCentered="1"/>
  <pageMargins left="0.39305555555555599" right="0.39305555555555599" top="0.39305555555555599" bottom="0.196527777777778" header="0.51180555555555596" footer="0.51180555555555596"/>
  <pageSetup paperSize="9" scale="79"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75"/>
  <sheetViews>
    <sheetView showGridLines="0" tabSelected="1" topLeftCell="A19" zoomScale="85" zoomScaleNormal="85" workbookViewId="0">
      <selection activeCell="D23" sqref="D23:Q23"/>
    </sheetView>
  </sheetViews>
  <sheetFormatPr defaultColWidth="9" defaultRowHeight="12.5"/>
  <cols>
    <col min="1" max="1" width="2.7265625" customWidth="1"/>
    <col min="2" max="2" width="1" customWidth="1"/>
    <col min="3" max="3" width="12.54296875" customWidth="1"/>
    <col min="4" max="4" width="11.7265625" customWidth="1"/>
    <col min="5" max="6" width="2.7265625" customWidth="1"/>
    <col min="7" max="8" width="12.7265625" customWidth="1"/>
    <col min="9" max="9" width="1.7265625" customWidth="1"/>
    <col min="10" max="11" width="2.7265625" customWidth="1"/>
    <col min="12" max="13" width="12.7265625" customWidth="1"/>
    <col min="14" max="14" width="1.7265625" customWidth="1"/>
    <col min="15" max="15" width="2.7265625" customWidth="1"/>
    <col min="16" max="16" width="12.7265625" style="7" customWidth="1"/>
    <col min="17" max="17" width="14.7265625" customWidth="1"/>
  </cols>
  <sheetData>
    <row r="1" spans="1:17" s="1" customFormat="1" ht="15.5">
      <c r="B1" s="8"/>
      <c r="P1" s="4"/>
    </row>
    <row r="2" spans="1:17" s="1" customFormat="1" ht="13">
      <c r="C2" s="9" t="s">
        <v>81</v>
      </c>
      <c r="P2" s="4"/>
    </row>
    <row r="3" spans="1:17" s="1" customFormat="1" ht="14">
      <c r="A3" s="10"/>
      <c r="P3" s="4"/>
    </row>
    <row r="4" spans="1:17" s="1" customFormat="1" ht="25.5" customHeight="1">
      <c r="A4" s="93" t="s">
        <v>58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</row>
    <row r="5" spans="1:17" s="1" customFormat="1" ht="21" customHeight="1">
      <c r="A5" s="94" t="s">
        <v>59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1:17" s="1" customFormat="1">
      <c r="J6" s="4"/>
      <c r="K6" s="4"/>
      <c r="P6" s="4"/>
    </row>
    <row r="7" spans="1:17" s="2" customFormat="1" ht="11.5">
      <c r="A7" s="11" t="s">
        <v>2</v>
      </c>
      <c r="B7" s="11"/>
      <c r="D7" s="12"/>
      <c r="F7" s="13"/>
      <c r="L7" s="44" t="s">
        <v>3</v>
      </c>
      <c r="P7" s="12"/>
      <c r="Q7" s="15"/>
    </row>
    <row r="8" spans="1:17" s="2" customFormat="1" ht="11.5">
      <c r="A8" s="11" t="s">
        <v>4</v>
      </c>
      <c r="B8" s="11"/>
      <c r="D8" s="12"/>
      <c r="F8" s="13"/>
      <c r="L8" s="44" t="s">
        <v>5</v>
      </c>
      <c r="P8" s="45"/>
      <c r="Q8" s="57"/>
    </row>
    <row r="9" spans="1:17" s="2" customFormat="1" ht="11.5">
      <c r="A9" s="11" t="s">
        <v>6</v>
      </c>
      <c r="B9" s="11"/>
      <c r="D9" s="12"/>
      <c r="F9" s="13"/>
      <c r="L9" s="11" t="s">
        <v>7</v>
      </c>
      <c r="P9" s="45"/>
      <c r="Q9" s="57"/>
    </row>
    <row r="10" spans="1:17" s="2" customFormat="1" ht="11.5">
      <c r="A10" s="11" t="s">
        <v>8</v>
      </c>
      <c r="B10" s="11"/>
      <c r="D10" s="12"/>
      <c r="F10" s="13"/>
      <c r="L10" s="11" t="s">
        <v>9</v>
      </c>
      <c r="P10" s="45"/>
      <c r="Q10" s="57"/>
    </row>
    <row r="11" spans="1:17" s="2" customFormat="1" ht="11.5">
      <c r="A11" s="11" t="s">
        <v>10</v>
      </c>
      <c r="B11" s="11"/>
      <c r="D11" s="12"/>
      <c r="F11" s="13"/>
      <c r="G11" s="13"/>
      <c r="H11" s="13"/>
      <c r="I11" s="46"/>
      <c r="J11" s="47"/>
      <c r="K11" s="47"/>
      <c r="P11" s="47"/>
    </row>
    <row r="12" spans="1:17" s="2" customFormat="1" ht="11.5">
      <c r="A12" s="11" t="s">
        <v>11</v>
      </c>
      <c r="B12" s="11"/>
      <c r="D12" s="12"/>
      <c r="E12" s="14"/>
      <c r="F12" s="14"/>
      <c r="G12" s="14"/>
      <c r="H12" s="15"/>
      <c r="I12" s="15"/>
      <c r="J12" s="15"/>
      <c r="K12" s="47"/>
      <c r="P12" s="47"/>
    </row>
    <row r="13" spans="1:17" s="1" customFormat="1" ht="13">
      <c r="A13" s="9"/>
      <c r="B13" s="9"/>
      <c r="C13" s="9"/>
      <c r="D13" s="16"/>
      <c r="E13" s="17"/>
      <c r="F13" s="18"/>
      <c r="G13" s="18"/>
      <c r="H13" s="18"/>
      <c r="I13" s="4"/>
      <c r="J13" s="4"/>
      <c r="K13" s="4"/>
      <c r="P13" s="4"/>
    </row>
    <row r="14" spans="1:17" s="1" customFormat="1" ht="13">
      <c r="A14" s="9" t="s">
        <v>12</v>
      </c>
      <c r="B14" s="9"/>
      <c r="C14" s="9"/>
      <c r="D14" s="16"/>
      <c r="E14" s="17"/>
      <c r="F14" s="18"/>
      <c r="G14" s="18"/>
      <c r="H14" s="18"/>
      <c r="I14" s="4"/>
      <c r="J14" s="4"/>
      <c r="K14" s="4"/>
      <c r="P14" s="4"/>
    </row>
    <row r="15" spans="1:17" s="1" customFormat="1" ht="13">
      <c r="A15" s="9"/>
      <c r="B15" s="9"/>
      <c r="C15" s="9"/>
      <c r="D15" s="16"/>
      <c r="E15" s="17"/>
      <c r="F15" s="18"/>
      <c r="G15" s="18"/>
      <c r="H15" s="18"/>
      <c r="I15" s="4"/>
      <c r="J15" s="4"/>
      <c r="K15" s="4"/>
      <c r="P15" s="4"/>
    </row>
    <row r="16" spans="1:17" s="1" customFormat="1" ht="13">
      <c r="A16" s="19" t="s">
        <v>13</v>
      </c>
      <c r="B16" s="95" t="s">
        <v>14</v>
      </c>
      <c r="C16" s="96"/>
      <c r="D16" s="96"/>
      <c r="E16" s="20"/>
      <c r="F16" s="18" t="s">
        <v>15</v>
      </c>
      <c r="H16" s="18"/>
      <c r="K16" s="48"/>
      <c r="L16" s="95" t="s">
        <v>16</v>
      </c>
      <c r="M16" s="97"/>
      <c r="O16" s="48"/>
      <c r="P16" s="95" t="s">
        <v>17</v>
      </c>
      <c r="Q16" s="97"/>
    </row>
    <row r="17" spans="1:18" s="1" customFormat="1" ht="13">
      <c r="A17" s="9"/>
      <c r="B17" s="9"/>
      <c r="C17" s="9"/>
      <c r="D17" s="16"/>
      <c r="E17" s="17"/>
      <c r="F17" s="18"/>
      <c r="G17" s="18"/>
      <c r="H17" s="18"/>
      <c r="I17" s="4"/>
      <c r="J17" s="4"/>
      <c r="K17" s="4"/>
      <c r="P17" s="4"/>
    </row>
    <row r="18" spans="1:18" s="1" customFormat="1" ht="15.5">
      <c r="A18" s="98" t="s">
        <v>60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00"/>
    </row>
    <row r="19" spans="1:18" s="1" customFormat="1" ht="13">
      <c r="A19" s="101" t="s">
        <v>19</v>
      </c>
      <c r="B19" s="102"/>
      <c r="C19" s="103"/>
      <c r="D19" s="101" t="s">
        <v>20</v>
      </c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</row>
    <row r="20" spans="1:18" s="1" customFormat="1">
      <c r="A20" s="104">
        <v>41907</v>
      </c>
      <c r="B20" s="105"/>
      <c r="C20" s="106"/>
      <c r="D20" s="107" t="s">
        <v>21</v>
      </c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</row>
    <row r="21" spans="1:18" s="1" customFormat="1" ht="12.75" customHeight="1">
      <c r="A21" s="110" t="s">
        <v>22</v>
      </c>
      <c r="B21" s="111"/>
      <c r="C21" s="112"/>
      <c r="D21" s="113" t="s">
        <v>23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5"/>
    </row>
    <row r="22" spans="1:18" s="1" customFormat="1" ht="12.75" customHeight="1">
      <c r="A22" s="110">
        <v>41971</v>
      </c>
      <c r="B22" s="111"/>
      <c r="C22" s="112"/>
      <c r="D22" s="113" t="s">
        <v>24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5"/>
    </row>
    <row r="23" spans="1:18" s="1" customFormat="1" ht="12.75" customHeight="1">
      <c r="A23" s="110"/>
      <c r="B23" s="111"/>
      <c r="C23" s="112"/>
      <c r="D23" s="113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5"/>
    </row>
    <row r="24" spans="1:18" s="1" customFormat="1" ht="12.75" customHeight="1">
      <c r="A24" s="116"/>
      <c r="B24" s="117"/>
      <c r="C24" s="118"/>
      <c r="D24" s="119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1"/>
    </row>
    <row r="25" spans="1:18" s="1" customFormat="1" ht="13">
      <c r="A25" s="18"/>
      <c r="B25" s="18"/>
      <c r="C25" s="24"/>
      <c r="D25" s="25"/>
      <c r="E25" s="24"/>
      <c r="F25" s="24"/>
      <c r="G25" s="24"/>
      <c r="H25" s="24"/>
      <c r="I25" s="24"/>
      <c r="J25" s="24"/>
      <c r="K25" s="24"/>
      <c r="L25" s="4"/>
      <c r="M25" s="4"/>
      <c r="N25" s="4"/>
      <c r="O25" s="4"/>
      <c r="P25" s="4"/>
      <c r="Q25" s="4"/>
    </row>
    <row r="26" spans="1:18" s="1" customForma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P26" s="4"/>
    </row>
    <row r="27" spans="1:18" s="3" customFormat="1" ht="15.5">
      <c r="A27" s="98" t="s">
        <v>61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100"/>
    </row>
    <row r="28" spans="1:18" s="4" customFormat="1" ht="39.75" customHeight="1">
      <c r="A28" s="122" t="s">
        <v>26</v>
      </c>
      <c r="B28" s="122"/>
      <c r="C28" s="122"/>
      <c r="D28" s="123" t="s">
        <v>27</v>
      </c>
      <c r="E28" s="123"/>
      <c r="F28" s="123"/>
      <c r="G28" s="123"/>
      <c r="H28" s="123" t="s">
        <v>28</v>
      </c>
      <c r="I28" s="123"/>
      <c r="J28" s="122" t="s">
        <v>29</v>
      </c>
      <c r="K28" s="122"/>
      <c r="L28" s="122"/>
      <c r="M28" s="122" t="s">
        <v>30</v>
      </c>
      <c r="N28" s="122"/>
      <c r="O28" s="122" t="s">
        <v>31</v>
      </c>
      <c r="P28" s="122"/>
      <c r="Q28" s="26" t="s">
        <v>32</v>
      </c>
      <c r="R28" s="13"/>
    </row>
    <row r="29" spans="1:18" s="4" customFormat="1" ht="12.75" customHeight="1">
      <c r="A29" s="104"/>
      <c r="B29" s="105"/>
      <c r="C29" s="106"/>
      <c r="D29" s="124"/>
      <c r="E29" s="125"/>
      <c r="F29" s="125"/>
      <c r="G29" s="126"/>
      <c r="H29" s="127"/>
      <c r="I29" s="128"/>
      <c r="J29" s="129"/>
      <c r="K29" s="130"/>
      <c r="L29" s="131"/>
      <c r="M29" s="132"/>
      <c r="N29" s="133"/>
      <c r="O29" s="132"/>
      <c r="P29" s="133"/>
      <c r="Q29" s="71"/>
    </row>
    <row r="30" spans="1:18" s="4" customFormat="1">
      <c r="A30" s="110">
        <v>41968</v>
      </c>
      <c r="B30" s="111"/>
      <c r="C30" s="112"/>
      <c r="D30" s="134" t="s">
        <v>33</v>
      </c>
      <c r="E30" s="135"/>
      <c r="F30" s="135"/>
      <c r="G30" s="136"/>
      <c r="H30" s="137"/>
      <c r="I30" s="138"/>
      <c r="J30" s="139"/>
      <c r="K30" s="140"/>
      <c r="L30" s="141"/>
      <c r="M30" s="142"/>
      <c r="N30" s="143"/>
      <c r="O30" s="142"/>
      <c r="P30" s="143"/>
      <c r="Q30" s="58">
        <v>40000</v>
      </c>
    </row>
    <row r="31" spans="1:18" s="4" customFormat="1">
      <c r="A31" s="110"/>
      <c r="B31" s="111"/>
      <c r="C31" s="112"/>
      <c r="D31" s="134" t="s">
        <v>34</v>
      </c>
      <c r="E31" s="135"/>
      <c r="F31" s="135"/>
      <c r="G31" s="136"/>
      <c r="H31" s="27"/>
      <c r="I31" s="49"/>
      <c r="J31" s="50"/>
      <c r="K31" s="51"/>
      <c r="L31" s="52"/>
      <c r="M31" s="53"/>
      <c r="N31" s="54"/>
      <c r="O31" s="142">
        <v>20000</v>
      </c>
      <c r="P31" s="143"/>
      <c r="Q31" s="58"/>
    </row>
    <row r="32" spans="1:18" s="4" customFormat="1">
      <c r="A32" s="110"/>
      <c r="B32" s="111"/>
      <c r="C32" s="112"/>
      <c r="D32" s="134" t="s">
        <v>35</v>
      </c>
      <c r="E32" s="135"/>
      <c r="F32" s="135"/>
      <c r="G32" s="136"/>
      <c r="H32" s="137"/>
      <c r="I32" s="138"/>
      <c r="J32" s="139"/>
      <c r="K32" s="140"/>
      <c r="L32" s="141"/>
      <c r="M32" s="142"/>
      <c r="N32" s="143"/>
      <c r="O32" s="142">
        <v>20000</v>
      </c>
      <c r="P32" s="143"/>
      <c r="Q32" s="58"/>
    </row>
    <row r="33" spans="1:17" s="4" customFormat="1">
      <c r="A33" s="21"/>
      <c r="B33" s="22"/>
      <c r="C33" s="23"/>
      <c r="D33" s="134" t="s">
        <v>36</v>
      </c>
      <c r="E33" s="135"/>
      <c r="F33" s="135"/>
      <c r="G33" s="136"/>
      <c r="H33" s="137"/>
      <c r="I33" s="138"/>
      <c r="J33" s="139"/>
      <c r="K33" s="140"/>
      <c r="L33" s="141"/>
      <c r="M33" s="142">
        <v>45000</v>
      </c>
      <c r="N33" s="143"/>
      <c r="O33" s="142"/>
      <c r="P33" s="143"/>
      <c r="Q33" s="58"/>
    </row>
    <row r="34" spans="1:17" s="4" customFormat="1">
      <c r="A34" s="110">
        <v>41969</v>
      </c>
      <c r="B34" s="111"/>
      <c r="C34" s="112"/>
      <c r="D34" s="134" t="s">
        <v>36</v>
      </c>
      <c r="E34" s="135"/>
      <c r="F34" s="135"/>
      <c r="G34" s="136"/>
      <c r="H34" s="137"/>
      <c r="I34" s="138"/>
      <c r="J34" s="139"/>
      <c r="K34" s="140"/>
      <c r="L34" s="141"/>
      <c r="M34" s="142">
        <v>45000</v>
      </c>
      <c r="N34" s="143"/>
      <c r="O34" s="142"/>
      <c r="P34" s="143"/>
      <c r="Q34" s="58"/>
    </row>
    <row r="35" spans="1:17" s="4" customFormat="1">
      <c r="A35" s="110">
        <v>41970</v>
      </c>
      <c r="B35" s="111"/>
      <c r="C35" s="112"/>
      <c r="D35" s="134" t="s">
        <v>36</v>
      </c>
      <c r="E35" s="135"/>
      <c r="F35" s="135"/>
      <c r="G35" s="136"/>
      <c r="H35" s="137"/>
      <c r="I35" s="138"/>
      <c r="J35" s="139"/>
      <c r="K35" s="140"/>
      <c r="L35" s="141"/>
      <c r="M35" s="142">
        <v>45000</v>
      </c>
      <c r="N35" s="143"/>
      <c r="O35" s="53"/>
      <c r="P35" s="54"/>
      <c r="Q35" s="58"/>
    </row>
    <row r="36" spans="1:17" s="4" customFormat="1">
      <c r="A36" s="110">
        <v>41971</v>
      </c>
      <c r="B36" s="111"/>
      <c r="C36" s="112"/>
      <c r="D36" s="134" t="s">
        <v>36</v>
      </c>
      <c r="E36" s="135"/>
      <c r="F36" s="135"/>
      <c r="G36" s="136"/>
      <c r="H36" s="137"/>
      <c r="I36" s="138"/>
      <c r="J36" s="139"/>
      <c r="K36" s="140"/>
      <c r="L36" s="141"/>
      <c r="M36" s="142">
        <v>45000</v>
      </c>
      <c r="N36" s="143"/>
      <c r="O36" s="142"/>
      <c r="P36" s="143"/>
      <c r="Q36" s="58"/>
    </row>
    <row r="37" spans="1:17" s="4" customFormat="1">
      <c r="A37" s="144"/>
      <c r="B37" s="145"/>
      <c r="C37" s="146"/>
      <c r="D37" s="134" t="s">
        <v>35</v>
      </c>
      <c r="E37" s="135"/>
      <c r="F37" s="135"/>
      <c r="G37" s="136"/>
      <c r="H37" s="137"/>
      <c r="I37" s="138"/>
      <c r="J37" s="139"/>
      <c r="K37" s="140"/>
      <c r="L37" s="141"/>
      <c r="M37" s="142"/>
      <c r="N37" s="143"/>
      <c r="O37" s="142">
        <v>20000</v>
      </c>
      <c r="P37" s="143"/>
      <c r="Q37" s="58"/>
    </row>
    <row r="38" spans="1:17" s="4" customFormat="1">
      <c r="A38" s="68"/>
      <c r="B38" s="69"/>
      <c r="C38" s="70"/>
      <c r="D38" s="134" t="s">
        <v>37</v>
      </c>
      <c r="E38" s="135"/>
      <c r="F38" s="135"/>
      <c r="G38" s="136"/>
      <c r="H38" s="27"/>
      <c r="I38" s="49"/>
      <c r="J38" s="50"/>
      <c r="K38" s="51"/>
      <c r="L38" s="52"/>
      <c r="M38" s="53"/>
      <c r="N38" s="54"/>
      <c r="O38" s="142"/>
      <c r="P38" s="143"/>
      <c r="Q38" s="58">
        <v>30000</v>
      </c>
    </row>
    <row r="39" spans="1:17" s="4" customFormat="1">
      <c r="A39" s="144"/>
      <c r="B39" s="145"/>
      <c r="C39" s="146"/>
      <c r="D39" s="134"/>
      <c r="E39" s="135"/>
      <c r="F39" s="135"/>
      <c r="G39" s="136"/>
      <c r="H39" s="137"/>
      <c r="I39" s="138"/>
      <c r="J39" s="139"/>
      <c r="K39" s="140"/>
      <c r="L39" s="141"/>
      <c r="M39" s="142"/>
      <c r="N39" s="143"/>
      <c r="O39" s="142"/>
      <c r="P39" s="143"/>
      <c r="Q39" s="58"/>
    </row>
    <row r="40" spans="1:17" s="4" customFormat="1" ht="15.75" customHeight="1">
      <c r="A40" s="147" t="s">
        <v>38</v>
      </c>
      <c r="B40" s="148"/>
      <c r="C40" s="148"/>
      <c r="D40" s="148"/>
      <c r="E40" s="148"/>
      <c r="F40" s="148"/>
      <c r="G40" s="149"/>
      <c r="H40" s="150">
        <f>SUM(H29:I39)</f>
        <v>0</v>
      </c>
      <c r="I40" s="151"/>
      <c r="J40" s="152">
        <f>SUM(J29:L39)</f>
        <v>0</v>
      </c>
      <c r="K40" s="153"/>
      <c r="L40" s="154"/>
      <c r="M40" s="155">
        <f>SUM(M29:N39)</f>
        <v>180000</v>
      </c>
      <c r="N40" s="156"/>
      <c r="O40" s="155">
        <f>SUM(O29:P39)</f>
        <v>60000</v>
      </c>
      <c r="P40" s="156"/>
      <c r="Q40" s="59">
        <f>SUM(Q29:Q39)</f>
        <v>70000</v>
      </c>
    </row>
    <row r="41" spans="1:17" s="4" customFormat="1" ht="13" customHeight="1">
      <c r="A41" s="28"/>
      <c r="B41" s="28"/>
      <c r="C41" s="29"/>
      <c r="D41" s="29"/>
      <c r="E41" s="29"/>
      <c r="F41" s="29"/>
      <c r="G41" s="29"/>
      <c r="H41" s="157"/>
      <c r="I41" s="157"/>
      <c r="J41" s="29"/>
      <c r="K41" s="29"/>
      <c r="O41" s="158" t="s">
        <v>39</v>
      </c>
      <c r="P41" s="158"/>
      <c r="Q41" s="60">
        <f>SUM(H40:Q40)</f>
        <v>310000</v>
      </c>
    </row>
    <row r="42" spans="1:17" s="4" customFormat="1" ht="13" customHeight="1">
      <c r="C42" s="29"/>
      <c r="D42" s="29"/>
      <c r="E42" s="29"/>
      <c r="F42" s="29"/>
      <c r="G42" s="29"/>
      <c r="H42" s="29"/>
      <c r="I42" s="55"/>
      <c r="J42" s="29"/>
      <c r="K42" s="29"/>
      <c r="O42" s="159"/>
      <c r="P42" s="159"/>
      <c r="Q42" s="60"/>
    </row>
    <row r="43" spans="1:17" s="4" customFormat="1" ht="13" customHeight="1">
      <c r="C43" s="29"/>
      <c r="D43" s="29"/>
      <c r="E43" s="29"/>
      <c r="F43" s="29"/>
      <c r="G43" s="29"/>
      <c r="H43" s="29"/>
      <c r="I43" s="55"/>
      <c r="J43" s="29"/>
      <c r="K43" s="29"/>
      <c r="O43" s="159"/>
      <c r="P43" s="159"/>
      <c r="Q43" s="60"/>
    </row>
    <row r="44" spans="1:17" s="4" customFormat="1">
      <c r="C44" s="29"/>
      <c r="D44" s="29"/>
      <c r="E44" s="29"/>
      <c r="F44" s="29"/>
      <c r="G44" s="29"/>
      <c r="H44" s="29"/>
      <c r="I44" s="55"/>
      <c r="J44" s="29"/>
      <c r="K44" s="29"/>
      <c r="O44" s="56"/>
      <c r="P44" s="56"/>
    </row>
    <row r="45" spans="1:17" s="1" customFormat="1">
      <c r="A45" s="4"/>
      <c r="B45" s="4"/>
      <c r="C45" s="30"/>
      <c r="D45" s="30"/>
      <c r="E45" s="30"/>
      <c r="F45" s="30"/>
      <c r="G45" s="30"/>
      <c r="H45" s="30"/>
      <c r="I45" s="30"/>
      <c r="J45" s="30"/>
      <c r="K45" s="30"/>
      <c r="P45" s="4"/>
    </row>
    <row r="46" spans="1:17" s="1" customFormat="1">
      <c r="A46" s="31" t="s">
        <v>42</v>
      </c>
      <c r="B46" s="31"/>
      <c r="C46" s="31"/>
      <c r="D46" s="31"/>
      <c r="E46" s="30"/>
      <c r="F46" s="30"/>
      <c r="G46" s="30"/>
      <c r="H46" s="4"/>
      <c r="I46" s="30"/>
      <c r="J46" s="30"/>
      <c r="K46" s="30"/>
      <c r="P46" s="4"/>
    </row>
    <row r="47" spans="1:17" s="1" customFormat="1">
      <c r="A47" s="4"/>
      <c r="B47" s="4"/>
      <c r="C47" s="30"/>
      <c r="D47" s="30"/>
      <c r="E47" s="30"/>
      <c r="F47" s="30"/>
      <c r="G47" s="30"/>
      <c r="H47" s="30"/>
      <c r="I47" s="30"/>
      <c r="J47" s="30"/>
      <c r="K47" s="30"/>
      <c r="P47" s="4"/>
    </row>
    <row r="48" spans="1:17" s="1" customFormat="1" ht="15" customHeight="1">
      <c r="A48" s="160" t="s">
        <v>43</v>
      </c>
      <c r="B48" s="161"/>
      <c r="C48" s="161"/>
      <c r="D48" s="162"/>
      <c r="E48" s="160" t="s">
        <v>44</v>
      </c>
      <c r="F48" s="161"/>
      <c r="G48" s="161"/>
      <c r="H48" s="161"/>
      <c r="I48" s="161"/>
      <c r="J48" s="162"/>
      <c r="K48" s="32"/>
      <c r="L48" s="161" t="s">
        <v>45</v>
      </c>
      <c r="M48" s="161"/>
      <c r="N48" s="162"/>
      <c r="O48" s="160" t="s">
        <v>46</v>
      </c>
      <c r="P48" s="161"/>
      <c r="Q48" s="162"/>
    </row>
    <row r="49" spans="1:17" s="1" customFormat="1" ht="16" customHeight="1">
      <c r="A49" s="178"/>
      <c r="B49" s="179"/>
      <c r="C49" s="179"/>
      <c r="D49" s="180"/>
      <c r="E49" s="187"/>
      <c r="F49" s="188"/>
      <c r="G49" s="188"/>
      <c r="H49" s="179"/>
      <c r="I49" s="179"/>
      <c r="J49" s="180"/>
      <c r="K49" s="163" t="s">
        <v>47</v>
      </c>
      <c r="L49" s="164"/>
      <c r="M49" s="164"/>
      <c r="N49" s="165"/>
      <c r="O49" s="163" t="s">
        <v>48</v>
      </c>
      <c r="P49" s="164"/>
      <c r="Q49" s="165"/>
    </row>
    <row r="50" spans="1:17" s="1" customFormat="1" ht="16" customHeight="1">
      <c r="A50" s="181"/>
      <c r="B50" s="182"/>
      <c r="C50" s="182"/>
      <c r="D50" s="183"/>
      <c r="E50" s="189"/>
      <c r="F50" s="190"/>
      <c r="G50" s="190"/>
      <c r="H50" s="182"/>
      <c r="I50" s="182"/>
      <c r="J50" s="183"/>
      <c r="K50" s="181"/>
      <c r="L50" s="182"/>
      <c r="M50" s="182"/>
      <c r="N50" s="183"/>
      <c r="O50" s="43"/>
      <c r="P50" s="4"/>
      <c r="Q50" s="61"/>
    </row>
    <row r="51" spans="1:17" s="1" customFormat="1" ht="16" customHeight="1">
      <c r="A51" s="181"/>
      <c r="B51" s="182"/>
      <c r="C51" s="182"/>
      <c r="D51" s="183"/>
      <c r="E51" s="189"/>
      <c r="F51" s="190"/>
      <c r="G51" s="190"/>
      <c r="H51" s="182"/>
      <c r="I51" s="182"/>
      <c r="J51" s="183"/>
      <c r="K51" s="181"/>
      <c r="L51" s="182"/>
      <c r="M51" s="182"/>
      <c r="N51" s="183"/>
      <c r="O51" s="43"/>
      <c r="P51" s="4"/>
      <c r="Q51" s="61"/>
    </row>
    <row r="52" spans="1:17" s="1" customFormat="1" ht="16" customHeight="1">
      <c r="A52" s="181"/>
      <c r="B52" s="182"/>
      <c r="C52" s="182"/>
      <c r="D52" s="183"/>
      <c r="E52" s="189"/>
      <c r="F52" s="190"/>
      <c r="G52" s="190"/>
      <c r="H52" s="182"/>
      <c r="I52" s="182"/>
      <c r="J52" s="183"/>
      <c r="K52" s="181"/>
      <c r="L52" s="182"/>
      <c r="M52" s="182"/>
      <c r="N52" s="183"/>
      <c r="O52" s="43"/>
      <c r="P52" s="4"/>
      <c r="Q52" s="61"/>
    </row>
    <row r="53" spans="1:17" s="1" customFormat="1" ht="12.75" customHeight="1">
      <c r="A53" s="184"/>
      <c r="B53" s="185"/>
      <c r="C53" s="185"/>
      <c r="D53" s="186"/>
      <c r="E53" s="189"/>
      <c r="F53" s="190"/>
      <c r="G53" s="190"/>
      <c r="H53" s="185"/>
      <c r="I53" s="185"/>
      <c r="J53" s="186"/>
      <c r="K53" s="184"/>
      <c r="L53" s="185"/>
      <c r="M53" s="185"/>
      <c r="N53" s="186"/>
      <c r="O53" s="43"/>
      <c r="P53" s="4"/>
      <c r="Q53" s="61"/>
    </row>
    <row r="54" spans="1:17" s="5" customFormat="1" ht="16.5" customHeight="1">
      <c r="A54" s="166"/>
      <c r="B54" s="167"/>
      <c r="C54" s="167"/>
      <c r="D54" s="168"/>
      <c r="E54" s="166"/>
      <c r="F54" s="167"/>
      <c r="G54" s="167"/>
      <c r="H54" s="167"/>
      <c r="I54" s="167"/>
      <c r="J54" s="168"/>
      <c r="K54" s="166"/>
      <c r="L54" s="167"/>
      <c r="M54" s="167"/>
      <c r="N54" s="168"/>
      <c r="O54" s="166"/>
      <c r="P54" s="167"/>
      <c r="Q54" s="168"/>
    </row>
    <row r="55" spans="1:17" s="1" customForma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P55" s="4"/>
    </row>
    <row r="56" spans="1:17" s="1" customFormat="1" ht="15.75" customHeight="1">
      <c r="A56" s="33" t="s">
        <v>49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62"/>
    </row>
    <row r="57" spans="1:17" s="1" customFormat="1" ht="15.75" customHeight="1">
      <c r="A57" s="35"/>
      <c r="B57" s="4"/>
      <c r="C57" s="4"/>
      <c r="D57" s="4"/>
      <c r="E57" s="4"/>
      <c r="F57" s="4"/>
      <c r="G57" s="169" t="s">
        <v>50</v>
      </c>
      <c r="H57" s="169"/>
      <c r="I57" s="4"/>
      <c r="J57" s="4"/>
      <c r="K57" s="4"/>
      <c r="M57" s="4"/>
      <c r="N57" s="169" t="s">
        <v>51</v>
      </c>
      <c r="O57" s="169"/>
      <c r="P57" s="169"/>
      <c r="Q57" s="170"/>
    </row>
    <row r="58" spans="1:17" s="1" customFormat="1" ht="13">
      <c r="A58" s="36"/>
      <c r="B58" s="3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61"/>
    </row>
    <row r="59" spans="1:17" s="1" customFormat="1" ht="13">
      <c r="A59" s="38" t="s">
        <v>52</v>
      </c>
      <c r="B59" s="37"/>
      <c r="C59" s="4"/>
      <c r="D59" s="4"/>
      <c r="E59" s="4"/>
      <c r="F59" s="4"/>
      <c r="G59" s="171" t="s">
        <v>53</v>
      </c>
      <c r="H59" s="171"/>
      <c r="I59" s="171"/>
      <c r="J59" s="171"/>
      <c r="K59" s="16"/>
      <c r="L59" s="4"/>
      <c r="M59" s="4"/>
      <c r="N59" s="171" t="s">
        <v>53</v>
      </c>
      <c r="O59" s="171"/>
      <c r="P59" s="171"/>
      <c r="Q59" s="172"/>
    </row>
    <row r="60" spans="1:17" s="1" customFormat="1" ht="13">
      <c r="A60" s="39" t="s">
        <v>54</v>
      </c>
      <c r="B60" s="4"/>
      <c r="C60" s="4"/>
      <c r="D60" s="4"/>
      <c r="E60" s="4"/>
      <c r="F60" s="4"/>
      <c r="G60" s="173" t="s">
        <v>53</v>
      </c>
      <c r="H60" s="173"/>
      <c r="I60" s="173"/>
      <c r="J60" s="173"/>
      <c r="K60" s="16"/>
      <c r="L60" s="4"/>
      <c r="M60" s="4"/>
      <c r="N60" s="173" t="s">
        <v>53</v>
      </c>
      <c r="O60" s="173"/>
      <c r="P60" s="173"/>
      <c r="Q60" s="174"/>
    </row>
    <row r="61" spans="1:17" s="1" customFormat="1" ht="13">
      <c r="A61" s="39" t="s">
        <v>55</v>
      </c>
      <c r="B61" s="4"/>
      <c r="C61" s="4"/>
      <c r="D61" s="4"/>
      <c r="E61" s="4"/>
      <c r="F61" s="4"/>
      <c r="G61" s="173" t="s">
        <v>53</v>
      </c>
      <c r="H61" s="173"/>
      <c r="I61" s="173"/>
      <c r="J61" s="173"/>
      <c r="K61" s="16"/>
      <c r="L61" s="4"/>
      <c r="M61" s="4"/>
      <c r="N61" s="173" t="s">
        <v>53</v>
      </c>
      <c r="O61" s="173"/>
      <c r="P61" s="173"/>
      <c r="Q61" s="174"/>
    </row>
    <row r="62" spans="1:17" s="1" customFormat="1" ht="13">
      <c r="A62" s="40"/>
      <c r="B62" s="16"/>
      <c r="C62" s="41"/>
      <c r="D62" s="18"/>
      <c r="E62" s="18"/>
      <c r="F62" s="18"/>
      <c r="G62" s="18"/>
      <c r="H62" s="97"/>
      <c r="I62" s="97"/>
      <c r="J62" s="97"/>
      <c r="K62" s="16"/>
      <c r="L62" s="4"/>
      <c r="M62" s="4"/>
      <c r="N62" s="4"/>
      <c r="O62" s="4"/>
      <c r="P62" s="4"/>
      <c r="Q62" s="61"/>
    </row>
    <row r="63" spans="1:17" s="1" customFormat="1" ht="13">
      <c r="A63" s="40"/>
      <c r="B63" s="18"/>
      <c r="C63" s="41"/>
      <c r="D63" s="18"/>
      <c r="E63" s="18"/>
      <c r="F63" s="18"/>
      <c r="G63" s="18"/>
      <c r="H63" s="97"/>
      <c r="I63" s="97"/>
      <c r="J63" s="97"/>
      <c r="K63" s="16"/>
      <c r="L63" s="4"/>
      <c r="M63" s="4"/>
      <c r="N63" s="4"/>
      <c r="O63" s="4"/>
      <c r="P63" s="4"/>
      <c r="Q63" s="61"/>
    </row>
    <row r="64" spans="1:17" s="1" customFormat="1" ht="13">
      <c r="A64" s="39" t="s">
        <v>56</v>
      </c>
      <c r="B64" s="18"/>
      <c r="C64" s="41"/>
      <c r="D64" s="18"/>
      <c r="E64" s="18"/>
      <c r="F64" s="18"/>
      <c r="G64" s="175"/>
      <c r="H64" s="175"/>
      <c r="I64" s="175"/>
      <c r="J64" s="175"/>
      <c r="K64" s="42"/>
      <c r="L64" s="4"/>
      <c r="M64" s="4"/>
      <c r="N64" s="4"/>
      <c r="O64" s="4"/>
      <c r="P64" s="4"/>
      <c r="Q64" s="61"/>
    </row>
    <row r="65" spans="1:17" s="1" customFormat="1" ht="13">
      <c r="A65" s="39" t="s">
        <v>57</v>
      </c>
      <c r="B65" s="4"/>
      <c r="C65" s="4"/>
      <c r="D65" s="1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61"/>
    </row>
    <row r="66" spans="1:17" s="1" customFormat="1">
      <c r="A66" s="4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61"/>
    </row>
    <row r="67" spans="1:17" s="1" customFormat="1" ht="13">
      <c r="A67" s="39"/>
      <c r="B67" s="1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61"/>
    </row>
    <row r="68" spans="1:17" s="1" customFormat="1">
      <c r="A68" s="4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61"/>
    </row>
    <row r="69" spans="1:17" s="1" customFormat="1">
      <c r="A69" s="43"/>
      <c r="B69" s="4"/>
      <c r="C69" s="4"/>
      <c r="D69" s="4"/>
      <c r="E69" s="4"/>
      <c r="F69" s="4"/>
      <c r="G69" s="176"/>
      <c r="H69" s="176"/>
      <c r="I69" s="176"/>
      <c r="J69" s="176"/>
      <c r="K69" s="28"/>
      <c r="L69" s="4"/>
      <c r="M69" s="4"/>
      <c r="N69" s="176"/>
      <c r="O69" s="176"/>
      <c r="P69" s="176"/>
      <c r="Q69" s="177"/>
    </row>
    <row r="70" spans="1:17" s="1" customFormat="1" ht="13">
      <c r="A70" s="63"/>
      <c r="B70" s="64"/>
      <c r="C70" s="64"/>
      <c r="D70" s="64"/>
      <c r="E70" s="64"/>
      <c r="F70" s="64"/>
      <c r="G70" s="64"/>
      <c r="H70" s="64"/>
      <c r="I70" s="66"/>
      <c r="J70" s="64"/>
      <c r="K70" s="64"/>
      <c r="L70" s="64"/>
      <c r="M70" s="64"/>
      <c r="N70" s="64"/>
      <c r="O70" s="64"/>
      <c r="P70" s="64"/>
      <c r="Q70" s="67"/>
    </row>
    <row r="71" spans="1:17" s="6" customForma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P71" s="65"/>
    </row>
    <row r="72" spans="1:17" s="6" customForma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P72" s="65"/>
    </row>
    <row r="73" spans="1:17" s="6" customForma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P73" s="65"/>
    </row>
    <row r="74" spans="1:17" s="6" customForma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P74" s="65"/>
    </row>
    <row r="75" spans="1:17" s="6" customForma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P75" s="65"/>
    </row>
    <row r="76" spans="1:17" s="6" customForma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P76" s="65"/>
    </row>
    <row r="77" spans="1:17" s="6" customForma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P77" s="65"/>
    </row>
    <row r="78" spans="1:17" s="6" customForma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P78" s="65"/>
    </row>
    <row r="79" spans="1:17" s="6" customForma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P79" s="65"/>
    </row>
    <row r="80" spans="1:17" s="6" customForma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P80" s="65"/>
    </row>
    <row r="81" spans="1:16" s="6" customForma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P81" s="65"/>
    </row>
    <row r="82" spans="1:16" s="6" customForma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P82" s="65"/>
    </row>
    <row r="83" spans="1:16" s="6" customForma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P83" s="65"/>
    </row>
    <row r="84" spans="1:16" s="6" customForma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P84" s="65"/>
    </row>
    <row r="85" spans="1:16" s="6" customForma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P85" s="65"/>
    </row>
    <row r="86" spans="1:16" s="6" customForma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P86" s="65"/>
    </row>
    <row r="87" spans="1:16" s="6" customForma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P87" s="65"/>
    </row>
    <row r="88" spans="1:16" s="6" customForma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P88" s="65"/>
    </row>
    <row r="89" spans="1:16" s="6" customForma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P89" s="65"/>
    </row>
    <row r="90" spans="1:16" s="6" customForma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P90" s="65"/>
    </row>
    <row r="91" spans="1:16" s="6" customForma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P91" s="65"/>
    </row>
    <row r="92" spans="1:16" s="6" customFormat="1">
      <c r="P92" s="65"/>
    </row>
    <row r="93" spans="1:16" s="6" customFormat="1">
      <c r="P93" s="65"/>
    </row>
    <row r="94" spans="1:16" s="6" customFormat="1">
      <c r="P94" s="65"/>
    </row>
    <row r="95" spans="1:16" s="6" customFormat="1">
      <c r="P95" s="65"/>
    </row>
    <row r="96" spans="1:16" s="6" customFormat="1">
      <c r="P96" s="65"/>
    </row>
    <row r="97" spans="16:16" s="6" customFormat="1">
      <c r="P97" s="65"/>
    </row>
    <row r="98" spans="16:16" s="6" customFormat="1">
      <c r="P98" s="65"/>
    </row>
    <row r="99" spans="16:16" s="6" customFormat="1">
      <c r="P99" s="65"/>
    </row>
    <row r="100" spans="16:16" s="6" customFormat="1">
      <c r="P100" s="65"/>
    </row>
    <row r="101" spans="16:16" s="6" customFormat="1">
      <c r="P101" s="65"/>
    </row>
    <row r="102" spans="16:16" s="6" customFormat="1">
      <c r="P102" s="65"/>
    </row>
    <row r="103" spans="16:16" s="6" customFormat="1">
      <c r="P103" s="65"/>
    </row>
    <row r="104" spans="16:16" s="6" customFormat="1">
      <c r="P104" s="65"/>
    </row>
    <row r="105" spans="16:16" s="6" customFormat="1">
      <c r="P105" s="65"/>
    </row>
    <row r="106" spans="16:16" s="6" customFormat="1">
      <c r="P106" s="65"/>
    </row>
    <row r="107" spans="16:16" s="6" customFormat="1">
      <c r="P107" s="65"/>
    </row>
    <row r="108" spans="16:16" s="6" customFormat="1">
      <c r="P108" s="65"/>
    </row>
    <row r="109" spans="16:16" s="6" customFormat="1">
      <c r="P109" s="65"/>
    </row>
    <row r="110" spans="16:16" s="6" customFormat="1">
      <c r="P110" s="65"/>
    </row>
    <row r="111" spans="16:16" s="6" customFormat="1">
      <c r="P111" s="65"/>
    </row>
    <row r="112" spans="16:16" s="6" customFormat="1">
      <c r="P112" s="65"/>
    </row>
    <row r="113" spans="16:16" s="6" customFormat="1">
      <c r="P113" s="65"/>
    </row>
    <row r="114" spans="16:16" s="6" customFormat="1">
      <c r="P114" s="65"/>
    </row>
    <row r="115" spans="16:16" s="6" customFormat="1">
      <c r="P115" s="65"/>
    </row>
    <row r="116" spans="16:16" s="6" customFormat="1">
      <c r="P116" s="65"/>
    </row>
    <row r="117" spans="16:16" s="6" customFormat="1">
      <c r="P117" s="65"/>
    </row>
    <row r="118" spans="16:16" s="6" customFormat="1">
      <c r="P118" s="65"/>
    </row>
    <row r="119" spans="16:16" s="6" customFormat="1">
      <c r="P119" s="65"/>
    </row>
    <row r="120" spans="16:16" s="6" customFormat="1">
      <c r="P120" s="65"/>
    </row>
    <row r="121" spans="16:16" s="6" customFormat="1">
      <c r="P121" s="65"/>
    </row>
    <row r="122" spans="16:16" s="6" customFormat="1">
      <c r="P122" s="65"/>
    </row>
    <row r="123" spans="16:16" s="6" customFormat="1">
      <c r="P123" s="65"/>
    </row>
    <row r="124" spans="16:16" s="6" customFormat="1">
      <c r="P124" s="65"/>
    </row>
    <row r="125" spans="16:16" s="6" customFormat="1">
      <c r="P125" s="65"/>
    </row>
    <row r="126" spans="16:16" s="6" customFormat="1">
      <c r="P126" s="65"/>
    </row>
    <row r="127" spans="16:16" s="6" customFormat="1">
      <c r="P127" s="65"/>
    </row>
    <row r="128" spans="16:16" s="6" customFormat="1">
      <c r="P128" s="65"/>
    </row>
    <row r="129" spans="16:16" s="6" customFormat="1">
      <c r="P129" s="65"/>
    </row>
    <row r="130" spans="16:16" s="6" customFormat="1">
      <c r="P130" s="65"/>
    </row>
    <row r="131" spans="16:16" s="6" customFormat="1">
      <c r="P131" s="65"/>
    </row>
    <row r="132" spans="16:16" s="6" customFormat="1">
      <c r="P132" s="65"/>
    </row>
    <row r="133" spans="16:16" s="6" customFormat="1">
      <c r="P133" s="65"/>
    </row>
    <row r="134" spans="16:16" s="6" customFormat="1">
      <c r="P134" s="65"/>
    </row>
    <row r="135" spans="16:16" s="6" customFormat="1">
      <c r="P135" s="65"/>
    </row>
    <row r="136" spans="16:16" s="6" customFormat="1">
      <c r="P136" s="65"/>
    </row>
    <row r="137" spans="16:16" s="6" customFormat="1">
      <c r="P137" s="65"/>
    </row>
    <row r="138" spans="16:16" s="6" customFormat="1">
      <c r="P138" s="65"/>
    </row>
    <row r="139" spans="16:16" s="6" customFormat="1">
      <c r="P139" s="65"/>
    </row>
    <row r="140" spans="16:16" s="6" customFormat="1">
      <c r="P140" s="65"/>
    </row>
    <row r="141" spans="16:16" s="6" customFormat="1">
      <c r="P141" s="65"/>
    </row>
    <row r="142" spans="16:16" s="6" customFormat="1">
      <c r="P142" s="65"/>
    </row>
    <row r="143" spans="16:16" s="6" customFormat="1">
      <c r="P143" s="65"/>
    </row>
    <row r="144" spans="16:16" s="6" customFormat="1">
      <c r="P144" s="65"/>
    </row>
    <row r="145" spans="16:16" s="6" customFormat="1">
      <c r="P145" s="65"/>
    </row>
    <row r="146" spans="16:16" s="6" customFormat="1">
      <c r="P146" s="65"/>
    </row>
    <row r="147" spans="16:16" s="6" customFormat="1">
      <c r="P147" s="65"/>
    </row>
    <row r="148" spans="16:16" s="6" customFormat="1">
      <c r="P148" s="65"/>
    </row>
    <row r="149" spans="16:16" s="6" customFormat="1">
      <c r="P149" s="65"/>
    </row>
    <row r="150" spans="16:16" s="6" customFormat="1">
      <c r="P150" s="65"/>
    </row>
    <row r="151" spans="16:16" s="6" customFormat="1">
      <c r="P151" s="65"/>
    </row>
    <row r="152" spans="16:16" s="6" customFormat="1">
      <c r="P152" s="65"/>
    </row>
    <row r="153" spans="16:16" s="6" customFormat="1">
      <c r="P153" s="65"/>
    </row>
    <row r="154" spans="16:16" s="6" customFormat="1">
      <c r="P154" s="65"/>
    </row>
    <row r="155" spans="16:16" s="6" customFormat="1">
      <c r="P155" s="65"/>
    </row>
    <row r="156" spans="16:16" s="6" customFormat="1">
      <c r="P156" s="65"/>
    </row>
    <row r="157" spans="16:16" s="6" customFormat="1">
      <c r="P157" s="65"/>
    </row>
    <row r="158" spans="16:16" s="6" customFormat="1">
      <c r="P158" s="65"/>
    </row>
    <row r="159" spans="16:16" s="6" customFormat="1">
      <c r="P159" s="65"/>
    </row>
    <row r="160" spans="16:16" s="6" customFormat="1">
      <c r="P160" s="65"/>
    </row>
    <row r="161" spans="16:16" s="6" customFormat="1">
      <c r="P161" s="65"/>
    </row>
    <row r="162" spans="16:16" s="6" customFormat="1">
      <c r="P162" s="65"/>
    </row>
    <row r="163" spans="16:16" s="6" customFormat="1">
      <c r="P163" s="65"/>
    </row>
    <row r="164" spans="16:16" s="6" customFormat="1">
      <c r="P164" s="65"/>
    </row>
    <row r="165" spans="16:16" s="6" customFormat="1">
      <c r="P165" s="65"/>
    </row>
    <row r="166" spans="16:16" s="6" customFormat="1">
      <c r="P166" s="65"/>
    </row>
    <row r="167" spans="16:16" s="6" customFormat="1">
      <c r="P167" s="65"/>
    </row>
    <row r="168" spans="16:16" s="6" customFormat="1">
      <c r="P168" s="65"/>
    </row>
    <row r="169" spans="16:16" s="6" customFormat="1">
      <c r="P169" s="65"/>
    </row>
    <row r="170" spans="16:16" s="6" customFormat="1">
      <c r="P170" s="65"/>
    </row>
    <row r="171" spans="16:16" s="6" customFormat="1">
      <c r="P171" s="65"/>
    </row>
    <row r="172" spans="16:16" s="6" customFormat="1">
      <c r="P172" s="65"/>
    </row>
    <row r="173" spans="16:16" s="6" customFormat="1">
      <c r="P173" s="65"/>
    </row>
    <row r="174" spans="16:16" s="6" customFormat="1">
      <c r="P174" s="65"/>
    </row>
    <row r="175" spans="16:16" s="6" customFormat="1">
      <c r="P175" s="65"/>
    </row>
  </sheetData>
  <mergeCells count="118">
    <mergeCell ref="G61:J61"/>
    <mergeCell ref="N61:Q61"/>
    <mergeCell ref="H62:J62"/>
    <mergeCell ref="H63:J63"/>
    <mergeCell ref="G64:J64"/>
    <mergeCell ref="G69:J69"/>
    <mergeCell ref="N69:Q69"/>
    <mergeCell ref="A49:D53"/>
    <mergeCell ref="E49:G53"/>
    <mergeCell ref="H49:J53"/>
    <mergeCell ref="K50:N53"/>
    <mergeCell ref="A54:D54"/>
    <mergeCell ref="E54:J54"/>
    <mergeCell ref="K54:N54"/>
    <mergeCell ref="O54:Q54"/>
    <mergeCell ref="G57:H57"/>
    <mergeCell ref="N57:Q57"/>
    <mergeCell ref="G59:J59"/>
    <mergeCell ref="N59:Q59"/>
    <mergeCell ref="G60:J60"/>
    <mergeCell ref="N60:Q60"/>
    <mergeCell ref="H41:I41"/>
    <mergeCell ref="O41:P41"/>
    <mergeCell ref="O42:P42"/>
    <mergeCell ref="O43:P43"/>
    <mergeCell ref="A48:D48"/>
    <mergeCell ref="E48:J48"/>
    <mergeCell ref="L48:N48"/>
    <mergeCell ref="O48:Q48"/>
    <mergeCell ref="K49:N49"/>
    <mergeCell ref="O49:Q49"/>
    <mergeCell ref="D38:G38"/>
    <mergeCell ref="O38:P38"/>
    <mergeCell ref="A39:C39"/>
    <mergeCell ref="D39:G39"/>
    <mergeCell ref="H39:I39"/>
    <mergeCell ref="J39:L39"/>
    <mergeCell ref="M39:N39"/>
    <mergeCell ref="O39:P39"/>
    <mergeCell ref="A40:G40"/>
    <mergeCell ref="H40:I40"/>
    <mergeCell ref="J40:L40"/>
    <mergeCell ref="M40:N40"/>
    <mergeCell ref="O40:P40"/>
    <mergeCell ref="A36:C36"/>
    <mergeCell ref="D36:G36"/>
    <mergeCell ref="H36:I36"/>
    <mergeCell ref="J36:L36"/>
    <mergeCell ref="M36:N36"/>
    <mergeCell ref="O36:P36"/>
    <mergeCell ref="A37:C37"/>
    <mergeCell ref="D37:G37"/>
    <mergeCell ref="H37:I37"/>
    <mergeCell ref="J37:L37"/>
    <mergeCell ref="M37:N37"/>
    <mergeCell ref="O37:P37"/>
    <mergeCell ref="A34:C34"/>
    <mergeCell ref="D34:G34"/>
    <mergeCell ref="H34:I34"/>
    <mergeCell ref="J34:L34"/>
    <mergeCell ref="M34:N34"/>
    <mergeCell ref="O34:P34"/>
    <mergeCell ref="A35:C35"/>
    <mergeCell ref="D35:G35"/>
    <mergeCell ref="H35:I35"/>
    <mergeCell ref="J35:L35"/>
    <mergeCell ref="M35:N35"/>
    <mergeCell ref="A32:C32"/>
    <mergeCell ref="D32:G32"/>
    <mergeCell ref="H32:I32"/>
    <mergeCell ref="J32:L32"/>
    <mergeCell ref="M32:N32"/>
    <mergeCell ref="O32:P32"/>
    <mergeCell ref="D33:G33"/>
    <mergeCell ref="H33:I33"/>
    <mergeCell ref="J33:L33"/>
    <mergeCell ref="M33:N33"/>
    <mergeCell ref="O33:P33"/>
    <mergeCell ref="A30:C30"/>
    <mergeCell ref="D30:G30"/>
    <mergeCell ref="H30:I30"/>
    <mergeCell ref="J30:L30"/>
    <mergeCell ref="M30:N30"/>
    <mergeCell ref="O30:P30"/>
    <mergeCell ref="A31:C31"/>
    <mergeCell ref="D31:G31"/>
    <mergeCell ref="O31:P31"/>
    <mergeCell ref="A28:C28"/>
    <mergeCell ref="D28:G28"/>
    <mergeCell ref="H28:I28"/>
    <mergeCell ref="J28:L28"/>
    <mergeCell ref="M28:N28"/>
    <mergeCell ref="O28:P28"/>
    <mergeCell ref="A29:C29"/>
    <mergeCell ref="D29:G29"/>
    <mergeCell ref="H29:I29"/>
    <mergeCell ref="J29:L29"/>
    <mergeCell ref="M29:N29"/>
    <mergeCell ref="O29:P29"/>
    <mergeCell ref="A21:C21"/>
    <mergeCell ref="D21:Q21"/>
    <mergeCell ref="A22:C22"/>
    <mergeCell ref="D22:Q22"/>
    <mergeCell ref="A23:C23"/>
    <mergeCell ref="D23:Q23"/>
    <mergeCell ref="A24:C24"/>
    <mergeCell ref="D24:Q24"/>
    <mergeCell ref="A27:Q27"/>
    <mergeCell ref="A4:Q4"/>
    <mergeCell ref="A5:Q5"/>
    <mergeCell ref="B16:D16"/>
    <mergeCell ref="L16:M16"/>
    <mergeCell ref="P16:Q16"/>
    <mergeCell ref="A18:Q18"/>
    <mergeCell ref="A19:C19"/>
    <mergeCell ref="D19:Q19"/>
    <mergeCell ref="A20:C20"/>
    <mergeCell ref="D20:Q20"/>
  </mergeCells>
  <printOptions horizontalCentered="1"/>
  <pageMargins left="0.39305555555555599" right="0.39305555555555599" top="0.39305555555555599" bottom="0.196527777777778" header="0.51180555555555596" footer="0.51180555555555596"/>
  <pageSetup paperSize="9" scale="78" orientation="portrait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C4" sqref="C4"/>
    </sheetView>
  </sheetViews>
  <sheetFormatPr defaultColWidth="9.1796875" defaultRowHeight="14.5"/>
  <cols>
    <col min="1" max="1" width="3.54296875" style="72" customWidth="1"/>
    <col min="2" max="2" width="10.7265625" style="72" customWidth="1"/>
    <col min="3" max="3" width="13.453125" style="72" customWidth="1"/>
    <col min="4" max="4" width="32" style="72" customWidth="1"/>
    <col min="5" max="5" width="11.54296875" style="73" customWidth="1"/>
    <col min="6" max="16384" width="9.1796875" style="72"/>
  </cols>
  <sheetData>
    <row r="1" spans="1:5">
      <c r="A1" s="74" t="s">
        <v>62</v>
      </c>
    </row>
    <row r="2" spans="1:5">
      <c r="A2" s="75" t="s">
        <v>63</v>
      </c>
      <c r="B2" s="75" t="s">
        <v>64</v>
      </c>
      <c r="C2" s="191" t="s">
        <v>65</v>
      </c>
      <c r="D2" s="191"/>
      <c r="E2" s="76" t="s">
        <v>39</v>
      </c>
    </row>
    <row r="3" spans="1:5">
      <c r="A3" s="77">
        <v>1</v>
      </c>
      <c r="B3" s="78">
        <v>41647</v>
      </c>
      <c r="C3" s="79" t="s">
        <v>66</v>
      </c>
      <c r="D3" s="79" t="s">
        <v>67</v>
      </c>
      <c r="E3" s="80">
        <v>125000</v>
      </c>
    </row>
    <row r="4" spans="1:5">
      <c r="A4" s="81">
        <v>2</v>
      </c>
      <c r="B4" s="82">
        <v>41647</v>
      </c>
      <c r="C4" s="83" t="s">
        <v>68</v>
      </c>
      <c r="D4" s="83" t="s">
        <v>69</v>
      </c>
      <c r="E4" s="84">
        <v>134500</v>
      </c>
    </row>
    <row r="5" spans="1:5">
      <c r="A5" s="81">
        <v>3</v>
      </c>
      <c r="B5" s="82">
        <v>41647</v>
      </c>
      <c r="C5" s="83" t="s">
        <v>70</v>
      </c>
      <c r="D5" s="83" t="s">
        <v>71</v>
      </c>
      <c r="E5" s="84">
        <v>171915</v>
      </c>
    </row>
    <row r="6" spans="1:5">
      <c r="A6" s="81">
        <v>4</v>
      </c>
      <c r="B6" s="82">
        <v>41648</v>
      </c>
      <c r="C6" s="83" t="s">
        <v>72</v>
      </c>
      <c r="D6" s="85" t="s">
        <v>73</v>
      </c>
      <c r="E6" s="84">
        <v>80000</v>
      </c>
    </row>
    <row r="7" spans="1:5">
      <c r="A7" s="81">
        <v>5</v>
      </c>
      <c r="B7" s="82">
        <v>41648</v>
      </c>
      <c r="C7" s="83" t="s">
        <v>70</v>
      </c>
      <c r="D7" s="83" t="s">
        <v>74</v>
      </c>
      <c r="E7" s="84">
        <v>187600</v>
      </c>
    </row>
    <row r="8" spans="1:5">
      <c r="A8" s="81">
        <v>6</v>
      </c>
      <c r="B8" s="82">
        <v>41648</v>
      </c>
      <c r="C8" s="83" t="s">
        <v>66</v>
      </c>
      <c r="D8" s="85" t="s">
        <v>75</v>
      </c>
      <c r="E8" s="84">
        <f>48000+252000</f>
        <v>300000</v>
      </c>
    </row>
    <row r="9" spans="1:5">
      <c r="A9" s="81">
        <v>7</v>
      </c>
      <c r="B9" s="82">
        <v>41648</v>
      </c>
      <c r="C9" s="83" t="s">
        <v>68</v>
      </c>
      <c r="D9" s="83" t="s">
        <v>76</v>
      </c>
      <c r="E9" s="84">
        <v>65000</v>
      </c>
    </row>
    <row r="10" spans="1:5">
      <c r="A10" s="81">
        <v>8</v>
      </c>
      <c r="B10" s="82">
        <v>41649</v>
      </c>
      <c r="C10" s="83" t="s">
        <v>70</v>
      </c>
      <c r="D10" s="83" t="s">
        <v>77</v>
      </c>
      <c r="E10" s="84">
        <v>64000</v>
      </c>
    </row>
    <row r="11" spans="1:5">
      <c r="A11" s="81">
        <v>9</v>
      </c>
      <c r="B11" s="82">
        <v>41649</v>
      </c>
      <c r="C11" s="83" t="s">
        <v>70</v>
      </c>
      <c r="D11" s="83" t="s">
        <v>77</v>
      </c>
      <c r="E11" s="84">
        <v>38000</v>
      </c>
    </row>
    <row r="12" spans="1:5">
      <c r="A12" s="86">
        <v>10</v>
      </c>
      <c r="B12" s="87">
        <v>41649</v>
      </c>
      <c r="C12" s="88" t="s">
        <v>68</v>
      </c>
      <c r="D12" s="85" t="s">
        <v>78</v>
      </c>
      <c r="E12" s="89">
        <v>50000</v>
      </c>
    </row>
    <row r="13" spans="1:5">
      <c r="A13" s="90"/>
      <c r="B13" s="91"/>
      <c r="C13" s="192" t="s">
        <v>39</v>
      </c>
      <c r="D13" s="193"/>
      <c r="E13" s="92">
        <f>SUM(E3:E12)</f>
        <v>1216015</v>
      </c>
    </row>
  </sheetData>
  <mergeCells count="2">
    <mergeCell ref="C2:D2"/>
    <mergeCell ref="C13:D13"/>
  </mergeCells>
  <printOptions horizontalCentered="1"/>
  <pageMargins left="0.70763888888888904" right="0.70763888888888904" top="0.74791666666666701" bottom="0.74791666666666701" header="0.31388888888888899" footer="0.31388888888888899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Laporan SPD </vt:lpstr>
      <vt:lpstr>SPD </vt:lpstr>
      <vt:lpstr>Lampiran</vt:lpstr>
      <vt:lpstr>'Laporan SPD '!Print_Area</vt:lpstr>
      <vt:lpstr>'SPD '!Print_Area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</cp:lastModifiedBy>
  <dcterms:created xsi:type="dcterms:W3CDTF">2014-12-01T11:10:17Z</dcterms:created>
  <dcterms:modified xsi:type="dcterms:W3CDTF">2021-03-22T03:30:13Z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