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ThisWorkbook"/>
  <bookViews>
    <workbookView xWindow="600" yWindow="600" windowWidth="9080" windowHeight="6650" tabRatio="47"/>
  </bookViews>
  <sheets>
    <sheet name="HOME" sheetId="4" r:id="rId1"/>
    <sheet name="Lembar Tes Enneagram" sheetId="1" r:id="rId2"/>
    <sheet name="Grafik Hasil Tes Enneagram" sheetId="2" r:id="rId3"/>
    <sheet name="Interpretasi (1)" sheetId="9" r:id="rId4"/>
    <sheet name="Interpretasi (2)" sheetId="13" r:id="rId5"/>
    <sheet name="Interpretasi (3)" sheetId="14" r:id="rId6"/>
    <sheet name="Interpretasi (4)" sheetId="15" r:id="rId7"/>
    <sheet name="Interpretasi (5)" sheetId="16" r:id="rId8"/>
    <sheet name="Interpretasi (6)" sheetId="17" r:id="rId9"/>
    <sheet name="Interpretasi (7)" sheetId="18" r:id="rId10"/>
    <sheet name="Interpretasi (8)" sheetId="19" r:id="rId11"/>
    <sheet name="Interpretasi (9)" sheetId="20" r:id="rId12"/>
  </sheets>
  <definedNames>
    <definedName name="_xlnm._FilterDatabase" localSheetId="1" hidden="1">'Lembar Tes Enneagram'!$A$3:$O$186</definedName>
    <definedName name="_xlnm.Print_Area" localSheetId="3">'Interpretasi (1)'!$B$2:$B$5</definedName>
    <definedName name="_xlnm.Print_Area" localSheetId="4">'Interpretasi (2)'!$B$7:$B$10</definedName>
    <definedName name="_xlnm.Print_Area" localSheetId="5">'Interpretasi (3)'!$B$12:$B$15</definedName>
    <definedName name="_xlnm.Print_Area" localSheetId="6">'Interpretasi (4)'!$B$17:$B$20</definedName>
    <definedName name="_xlnm.Print_Area" localSheetId="7">'Interpretasi (5)'!$B$22:$B$25</definedName>
    <definedName name="_xlnm.Print_Area" localSheetId="8">'Interpretasi (6)'!$B$27:$B$30</definedName>
    <definedName name="_xlnm.Print_Area" localSheetId="9">'Interpretasi (7)'!$B$32:$B$35</definedName>
    <definedName name="_xlnm.Print_Area" localSheetId="10">'Interpretasi (8)'!$B$37:$B$40</definedName>
    <definedName name="_xlnm.Print_Area" localSheetId="11">'Interpretasi (9)'!$B$42:$B$45</definedName>
    <definedName name="_xlnm.Print_Area" localSheetId="1">'Lembar Tes Enneagram'!$C$2:$D$184</definedName>
    <definedName name="_xlnm.Print_Titles" localSheetId="1">'Lembar Tes Enneagram'!$1:$4</definedName>
  </definedNames>
  <calcPr calcId="145621"/>
</workbook>
</file>

<file path=xl/calcChain.xml><?xml version="1.0" encoding="utf-8"?>
<calcChain xmlns="http://schemas.openxmlformats.org/spreadsheetml/2006/main">
  <c r="G8" i="1" l="1"/>
  <c r="H8" i="1"/>
  <c r="I8" i="1"/>
  <c r="J8" i="1"/>
  <c r="K8" i="1"/>
  <c r="L8" i="1"/>
  <c r="M8" i="1"/>
  <c r="N8" i="1"/>
  <c r="O8" i="1"/>
  <c r="P8" i="1"/>
  <c r="G5" i="1"/>
  <c r="H5" i="1"/>
  <c r="I5" i="1"/>
  <c r="J5" i="1"/>
  <c r="K5" i="1"/>
  <c r="L5" i="1"/>
  <c r="M5" i="1"/>
  <c r="N5" i="1"/>
  <c r="O5" i="1"/>
  <c r="P5" i="1"/>
  <c r="G6" i="1"/>
  <c r="H6" i="1"/>
  <c r="I6" i="1"/>
  <c r="J6" i="1"/>
  <c r="K6" i="1"/>
  <c r="L6" i="1"/>
  <c r="M6" i="1"/>
  <c r="N6" i="1"/>
  <c r="O6" i="1"/>
  <c r="P6" i="1"/>
  <c r="G7" i="1"/>
  <c r="H7" i="1"/>
  <c r="I7" i="1"/>
  <c r="J7" i="1"/>
  <c r="K7" i="1"/>
  <c r="L7" i="1"/>
  <c r="M7" i="1"/>
  <c r="N7" i="1"/>
  <c r="O7" i="1"/>
  <c r="P7" i="1"/>
  <c r="G9" i="1"/>
  <c r="H9" i="1"/>
  <c r="I9" i="1"/>
  <c r="J9" i="1"/>
  <c r="K9" i="1"/>
  <c r="L9" i="1"/>
  <c r="M9" i="1"/>
  <c r="N9" i="1"/>
  <c r="O9" i="1"/>
  <c r="P9" i="1"/>
  <c r="G10" i="1"/>
  <c r="H10" i="1"/>
  <c r="I10" i="1"/>
  <c r="J10" i="1"/>
  <c r="K10" i="1"/>
  <c r="L10" i="1"/>
  <c r="M10" i="1"/>
  <c r="N10" i="1"/>
  <c r="O10" i="1"/>
  <c r="P10" i="1"/>
  <c r="G11" i="1"/>
  <c r="H11" i="1"/>
  <c r="I11" i="1"/>
  <c r="J11" i="1"/>
  <c r="K11" i="1"/>
  <c r="L11" i="1"/>
  <c r="M11" i="1"/>
  <c r="N11" i="1"/>
  <c r="O11" i="1"/>
  <c r="P11" i="1"/>
  <c r="G12" i="1"/>
  <c r="H12" i="1"/>
  <c r="I12" i="1"/>
  <c r="J12" i="1"/>
  <c r="K12" i="1"/>
  <c r="L12" i="1"/>
  <c r="M12" i="1"/>
  <c r="N12" i="1"/>
  <c r="O12" i="1"/>
  <c r="P12" i="1"/>
  <c r="G13" i="1"/>
  <c r="H13" i="1"/>
  <c r="I13" i="1"/>
  <c r="J13" i="1"/>
  <c r="K13" i="1"/>
  <c r="L13" i="1"/>
  <c r="M13" i="1"/>
  <c r="N13" i="1"/>
  <c r="O13" i="1"/>
  <c r="P13" i="1"/>
  <c r="G14" i="1"/>
  <c r="H14" i="1"/>
  <c r="I14" i="1"/>
  <c r="J14" i="1"/>
  <c r="K14" i="1"/>
  <c r="L14" i="1"/>
  <c r="M14" i="1"/>
  <c r="N14" i="1"/>
  <c r="O14" i="1"/>
  <c r="P14" i="1"/>
  <c r="G15" i="1"/>
  <c r="H15" i="1"/>
  <c r="I15" i="1"/>
  <c r="J15" i="1"/>
  <c r="K15" i="1"/>
  <c r="L15" i="1"/>
  <c r="M15" i="1"/>
  <c r="N15" i="1"/>
  <c r="O15" i="1"/>
  <c r="P15" i="1"/>
  <c r="G16" i="1"/>
  <c r="H16" i="1"/>
  <c r="I16" i="1"/>
  <c r="J16" i="1"/>
  <c r="K16" i="1"/>
  <c r="L16" i="1"/>
  <c r="M16" i="1"/>
  <c r="N16" i="1"/>
  <c r="O16" i="1"/>
  <c r="P16" i="1"/>
  <c r="G17" i="1"/>
  <c r="H17" i="1"/>
  <c r="I17" i="1"/>
  <c r="J17" i="1"/>
  <c r="K17" i="1"/>
  <c r="L17" i="1"/>
  <c r="M17" i="1"/>
  <c r="N17" i="1"/>
  <c r="O17" i="1"/>
  <c r="P17" i="1"/>
  <c r="G18" i="1"/>
  <c r="H18" i="1"/>
  <c r="I18" i="1"/>
  <c r="J18" i="1"/>
  <c r="K18" i="1"/>
  <c r="L18" i="1"/>
  <c r="M18" i="1"/>
  <c r="N18" i="1"/>
  <c r="O18" i="1"/>
  <c r="P18" i="1"/>
  <c r="G19" i="1"/>
  <c r="H19" i="1"/>
  <c r="I19" i="1"/>
  <c r="J19" i="1"/>
  <c r="K19" i="1"/>
  <c r="L19" i="1"/>
  <c r="M19" i="1"/>
  <c r="N19" i="1"/>
  <c r="O19" i="1"/>
  <c r="P19" i="1"/>
  <c r="G20" i="1"/>
  <c r="H20" i="1"/>
  <c r="I20" i="1"/>
  <c r="J20" i="1"/>
  <c r="K20" i="1"/>
  <c r="L20" i="1"/>
  <c r="M20" i="1"/>
  <c r="N20" i="1"/>
  <c r="O20" i="1"/>
  <c r="P20" i="1"/>
  <c r="G21" i="1"/>
  <c r="H21" i="1"/>
  <c r="I21" i="1"/>
  <c r="J21" i="1"/>
  <c r="K21" i="1"/>
  <c r="L21" i="1"/>
  <c r="M21" i="1"/>
  <c r="N21" i="1"/>
  <c r="O21" i="1"/>
  <c r="P21" i="1"/>
  <c r="G22" i="1"/>
  <c r="H22" i="1"/>
  <c r="I22" i="1"/>
  <c r="J22" i="1"/>
  <c r="K22" i="1"/>
  <c r="L22" i="1"/>
  <c r="M22" i="1"/>
  <c r="N22" i="1"/>
  <c r="O22" i="1"/>
  <c r="P22" i="1"/>
  <c r="G23" i="1"/>
  <c r="H23" i="1"/>
  <c r="I23" i="1"/>
  <c r="J23" i="1"/>
  <c r="K23" i="1"/>
  <c r="L23" i="1"/>
  <c r="M23" i="1"/>
  <c r="N23" i="1"/>
  <c r="O23" i="1"/>
  <c r="P23" i="1"/>
  <c r="G24" i="1"/>
  <c r="H24" i="1"/>
  <c r="I24" i="1"/>
  <c r="J24" i="1"/>
  <c r="K24" i="1"/>
  <c r="L24" i="1"/>
  <c r="M24" i="1"/>
  <c r="N24" i="1"/>
  <c r="O24" i="1"/>
  <c r="P24" i="1"/>
  <c r="G25" i="1"/>
  <c r="H25" i="1"/>
  <c r="I25" i="1"/>
  <c r="J25" i="1"/>
  <c r="K25" i="1"/>
  <c r="L25" i="1"/>
  <c r="M25" i="1"/>
  <c r="N25" i="1"/>
  <c r="O25" i="1"/>
  <c r="P25" i="1"/>
  <c r="G26" i="1"/>
  <c r="H26" i="1"/>
  <c r="I26" i="1"/>
  <c r="J26" i="1"/>
  <c r="K26" i="1"/>
  <c r="L26" i="1"/>
  <c r="M26" i="1"/>
  <c r="N26" i="1"/>
  <c r="O26" i="1"/>
  <c r="P26" i="1"/>
  <c r="G27" i="1"/>
  <c r="H27" i="1"/>
  <c r="I27" i="1"/>
  <c r="J27" i="1"/>
  <c r="K27" i="1"/>
  <c r="L27" i="1"/>
  <c r="M27" i="1"/>
  <c r="N27" i="1"/>
  <c r="O27" i="1"/>
  <c r="P27" i="1"/>
  <c r="G28" i="1"/>
  <c r="H28" i="1"/>
  <c r="I28" i="1"/>
  <c r="J28" i="1"/>
  <c r="K28" i="1"/>
  <c r="L28" i="1"/>
  <c r="M28" i="1"/>
  <c r="N28" i="1"/>
  <c r="O28" i="1"/>
  <c r="P28" i="1"/>
  <c r="G29" i="1"/>
  <c r="H29" i="1"/>
  <c r="I29" i="1"/>
  <c r="J29" i="1"/>
  <c r="K29" i="1"/>
  <c r="L29" i="1"/>
  <c r="M29" i="1"/>
  <c r="N29" i="1"/>
  <c r="O29" i="1"/>
  <c r="P29" i="1"/>
  <c r="G30" i="1"/>
  <c r="H30" i="1"/>
  <c r="I30" i="1"/>
  <c r="J30" i="1"/>
  <c r="K30" i="1"/>
  <c r="L30" i="1"/>
  <c r="M30" i="1"/>
  <c r="N30" i="1"/>
  <c r="O30" i="1"/>
  <c r="P30" i="1"/>
  <c r="G31" i="1"/>
  <c r="H31" i="1"/>
  <c r="I31" i="1"/>
  <c r="J31" i="1"/>
  <c r="K31" i="1"/>
  <c r="L31" i="1"/>
  <c r="M31" i="1"/>
  <c r="N31" i="1"/>
  <c r="O31" i="1"/>
  <c r="P31" i="1"/>
  <c r="G32" i="1"/>
  <c r="H32" i="1"/>
  <c r="I32" i="1"/>
  <c r="J32" i="1"/>
  <c r="K32" i="1"/>
  <c r="L32" i="1"/>
  <c r="M32" i="1"/>
  <c r="N32" i="1"/>
  <c r="O32" i="1"/>
  <c r="P32" i="1"/>
  <c r="G33" i="1"/>
  <c r="H33" i="1"/>
  <c r="I33" i="1"/>
  <c r="J33" i="1"/>
  <c r="K33" i="1"/>
  <c r="L33" i="1"/>
  <c r="M33" i="1"/>
  <c r="N33" i="1"/>
  <c r="O33" i="1"/>
  <c r="P33" i="1"/>
  <c r="G34" i="1"/>
  <c r="H34" i="1"/>
  <c r="I34" i="1"/>
  <c r="J34" i="1"/>
  <c r="K34" i="1"/>
  <c r="L34" i="1"/>
  <c r="M34" i="1"/>
  <c r="N34" i="1"/>
  <c r="O34" i="1"/>
  <c r="P34" i="1"/>
  <c r="G35" i="1"/>
  <c r="H35" i="1"/>
  <c r="I35" i="1"/>
  <c r="J35" i="1"/>
  <c r="K35" i="1"/>
  <c r="L35" i="1"/>
  <c r="M35" i="1"/>
  <c r="N35" i="1"/>
  <c r="O35" i="1"/>
  <c r="P35" i="1"/>
  <c r="G36" i="1"/>
  <c r="H36" i="1"/>
  <c r="I36" i="1"/>
  <c r="J36" i="1"/>
  <c r="K36" i="1"/>
  <c r="L36" i="1"/>
  <c r="M36" i="1"/>
  <c r="N36" i="1"/>
  <c r="O36" i="1"/>
  <c r="P36" i="1"/>
  <c r="G37" i="1"/>
  <c r="H37" i="1"/>
  <c r="I37" i="1"/>
  <c r="J37" i="1"/>
  <c r="K37" i="1"/>
  <c r="L37" i="1"/>
  <c r="M37" i="1"/>
  <c r="N37" i="1"/>
  <c r="O37" i="1"/>
  <c r="P37" i="1"/>
  <c r="G38" i="1"/>
  <c r="H38" i="1"/>
  <c r="I38" i="1"/>
  <c r="J38" i="1"/>
  <c r="K38" i="1"/>
  <c r="L38" i="1"/>
  <c r="M38" i="1"/>
  <c r="N38" i="1"/>
  <c r="O38" i="1"/>
  <c r="P38" i="1"/>
  <c r="G39" i="1"/>
  <c r="H39" i="1"/>
  <c r="I39" i="1"/>
  <c r="J39" i="1"/>
  <c r="K39" i="1"/>
  <c r="L39" i="1"/>
  <c r="M39" i="1"/>
  <c r="N39" i="1"/>
  <c r="O39" i="1"/>
  <c r="P39" i="1"/>
  <c r="G40" i="1"/>
  <c r="H40" i="1"/>
  <c r="I40" i="1"/>
  <c r="J40" i="1"/>
  <c r="K40" i="1"/>
  <c r="L40" i="1"/>
  <c r="M40" i="1"/>
  <c r="N40" i="1"/>
  <c r="O40" i="1"/>
  <c r="P40" i="1"/>
  <c r="G41" i="1"/>
  <c r="H41" i="1"/>
  <c r="I41" i="1"/>
  <c r="J41" i="1"/>
  <c r="K41" i="1"/>
  <c r="L41" i="1"/>
  <c r="M41" i="1"/>
  <c r="N41" i="1"/>
  <c r="O41" i="1"/>
  <c r="P41" i="1"/>
  <c r="G42" i="1"/>
  <c r="H42" i="1"/>
  <c r="I42" i="1"/>
  <c r="J42" i="1"/>
  <c r="K42" i="1"/>
  <c r="L42" i="1"/>
  <c r="M42" i="1"/>
  <c r="N42" i="1"/>
  <c r="O42" i="1"/>
  <c r="P42" i="1"/>
  <c r="G43" i="1"/>
  <c r="H43" i="1"/>
  <c r="I43" i="1"/>
  <c r="J43" i="1"/>
  <c r="K43" i="1"/>
  <c r="L43" i="1"/>
  <c r="M43" i="1"/>
  <c r="N43" i="1"/>
  <c r="O43" i="1"/>
  <c r="P43" i="1"/>
  <c r="G44" i="1"/>
  <c r="H44" i="1"/>
  <c r="I44" i="1"/>
  <c r="J44" i="1"/>
  <c r="K44" i="1"/>
  <c r="L44" i="1"/>
  <c r="M44" i="1"/>
  <c r="N44" i="1"/>
  <c r="O44" i="1"/>
  <c r="P44" i="1"/>
  <c r="G45" i="1"/>
  <c r="H45" i="1"/>
  <c r="I45" i="1"/>
  <c r="J45" i="1"/>
  <c r="K45" i="1"/>
  <c r="L45" i="1"/>
  <c r="M45" i="1"/>
  <c r="N45" i="1"/>
  <c r="O45" i="1"/>
  <c r="P45" i="1"/>
  <c r="G46" i="1"/>
  <c r="H46" i="1"/>
  <c r="I46" i="1"/>
  <c r="J46" i="1"/>
  <c r="K46" i="1"/>
  <c r="L46" i="1"/>
  <c r="M46" i="1"/>
  <c r="N46" i="1"/>
  <c r="O46" i="1"/>
  <c r="P46" i="1"/>
  <c r="G47" i="1"/>
  <c r="H47" i="1"/>
  <c r="I47" i="1"/>
  <c r="J47" i="1"/>
  <c r="K47" i="1"/>
  <c r="L47" i="1"/>
  <c r="M47" i="1"/>
  <c r="N47" i="1"/>
  <c r="O47" i="1"/>
  <c r="P47" i="1"/>
  <c r="G48" i="1"/>
  <c r="H48" i="1"/>
  <c r="I48" i="1"/>
  <c r="J48" i="1"/>
  <c r="K48" i="1"/>
  <c r="L48" i="1"/>
  <c r="M48" i="1"/>
  <c r="N48" i="1"/>
  <c r="O48" i="1"/>
  <c r="P48" i="1"/>
  <c r="G49" i="1"/>
  <c r="H49" i="1"/>
  <c r="I49" i="1"/>
  <c r="J49" i="1"/>
  <c r="K49" i="1"/>
  <c r="L49" i="1"/>
  <c r="M49" i="1"/>
  <c r="N49" i="1"/>
  <c r="O49" i="1"/>
  <c r="P49" i="1"/>
  <c r="G50" i="1"/>
  <c r="H50" i="1"/>
  <c r="I50" i="1"/>
  <c r="J50" i="1"/>
  <c r="K50" i="1"/>
  <c r="L50" i="1"/>
  <c r="M50" i="1"/>
  <c r="N50" i="1"/>
  <c r="O50" i="1"/>
  <c r="P50" i="1"/>
  <c r="G51" i="1"/>
  <c r="H51" i="1"/>
  <c r="I51" i="1"/>
  <c r="J51" i="1"/>
  <c r="K51" i="1"/>
  <c r="L51" i="1"/>
  <c r="M51" i="1"/>
  <c r="N51" i="1"/>
  <c r="O51" i="1"/>
  <c r="P51" i="1"/>
  <c r="G52" i="1"/>
  <c r="H52" i="1"/>
  <c r="I52" i="1"/>
  <c r="J52" i="1"/>
  <c r="K52" i="1"/>
  <c r="L52" i="1"/>
  <c r="M52" i="1"/>
  <c r="N52" i="1"/>
  <c r="O52" i="1"/>
  <c r="P52" i="1"/>
  <c r="G53" i="1"/>
  <c r="H53" i="1"/>
  <c r="I53" i="1"/>
  <c r="J53" i="1"/>
  <c r="K53" i="1"/>
  <c r="L53" i="1"/>
  <c r="M53" i="1"/>
  <c r="N53" i="1"/>
  <c r="O53" i="1"/>
  <c r="P53" i="1"/>
  <c r="G54" i="1"/>
  <c r="H54" i="1"/>
  <c r="I54" i="1"/>
  <c r="J54" i="1"/>
  <c r="K54" i="1"/>
  <c r="L54" i="1"/>
  <c r="M54" i="1"/>
  <c r="N54" i="1"/>
  <c r="O54" i="1"/>
  <c r="P54" i="1"/>
  <c r="G55" i="1"/>
  <c r="H55" i="1"/>
  <c r="I55" i="1"/>
  <c r="J55" i="1"/>
  <c r="K55" i="1"/>
  <c r="L55" i="1"/>
  <c r="M55" i="1"/>
  <c r="N55" i="1"/>
  <c r="O55" i="1"/>
  <c r="P55" i="1"/>
  <c r="G56" i="1"/>
  <c r="H56" i="1"/>
  <c r="I56" i="1"/>
  <c r="J56" i="1"/>
  <c r="K56" i="1"/>
  <c r="L56" i="1"/>
  <c r="M56" i="1"/>
  <c r="N56" i="1"/>
  <c r="O56" i="1"/>
  <c r="P56" i="1"/>
  <c r="G57" i="1"/>
  <c r="H57" i="1"/>
  <c r="I57" i="1"/>
  <c r="J57" i="1"/>
  <c r="K57" i="1"/>
  <c r="L57" i="1"/>
  <c r="M57" i="1"/>
  <c r="N57" i="1"/>
  <c r="O57" i="1"/>
  <c r="P57" i="1"/>
  <c r="G58" i="1"/>
  <c r="H58" i="1"/>
  <c r="I58" i="1"/>
  <c r="J58" i="1"/>
  <c r="K58" i="1"/>
  <c r="L58" i="1"/>
  <c r="M58" i="1"/>
  <c r="N58" i="1"/>
  <c r="O58" i="1"/>
  <c r="P58" i="1"/>
  <c r="G59" i="1"/>
  <c r="H59" i="1"/>
  <c r="I59" i="1"/>
  <c r="J59" i="1"/>
  <c r="K59" i="1"/>
  <c r="L59" i="1"/>
  <c r="M59" i="1"/>
  <c r="N59" i="1"/>
  <c r="O59" i="1"/>
  <c r="P59" i="1"/>
  <c r="G60" i="1"/>
  <c r="H60" i="1"/>
  <c r="I60" i="1"/>
  <c r="J60" i="1"/>
  <c r="K60" i="1"/>
  <c r="L60" i="1"/>
  <c r="M60" i="1"/>
  <c r="N60" i="1"/>
  <c r="O60" i="1"/>
  <c r="P60" i="1"/>
  <c r="G61" i="1"/>
  <c r="H61" i="1"/>
  <c r="I61" i="1"/>
  <c r="J61" i="1"/>
  <c r="K61" i="1"/>
  <c r="L61" i="1"/>
  <c r="M61" i="1"/>
  <c r="N61" i="1"/>
  <c r="O61" i="1"/>
  <c r="P61" i="1"/>
  <c r="G62" i="1"/>
  <c r="H62" i="1"/>
  <c r="I62" i="1"/>
  <c r="J62" i="1"/>
  <c r="K62" i="1"/>
  <c r="L62" i="1"/>
  <c r="M62" i="1"/>
  <c r="N62" i="1"/>
  <c r="O62" i="1"/>
  <c r="P62" i="1"/>
  <c r="G63" i="1"/>
  <c r="H63" i="1"/>
  <c r="I63" i="1"/>
  <c r="J63" i="1"/>
  <c r="K63" i="1"/>
  <c r="L63" i="1"/>
  <c r="M63" i="1"/>
  <c r="N63" i="1"/>
  <c r="O63" i="1"/>
  <c r="P63" i="1"/>
  <c r="G64" i="1"/>
  <c r="H64" i="1"/>
  <c r="I64" i="1"/>
  <c r="J64" i="1"/>
  <c r="K64" i="1"/>
  <c r="L64" i="1"/>
  <c r="M64" i="1"/>
  <c r="N64" i="1"/>
  <c r="O64" i="1"/>
  <c r="P64" i="1"/>
  <c r="G65" i="1"/>
  <c r="H65" i="1"/>
  <c r="I65" i="1"/>
  <c r="J65" i="1"/>
  <c r="K65" i="1"/>
  <c r="L65" i="1"/>
  <c r="M65" i="1"/>
  <c r="N65" i="1"/>
  <c r="O65" i="1"/>
  <c r="P65" i="1"/>
  <c r="G66" i="1"/>
  <c r="H66" i="1"/>
  <c r="I66" i="1"/>
  <c r="J66" i="1"/>
  <c r="K66" i="1"/>
  <c r="L66" i="1"/>
  <c r="M66" i="1"/>
  <c r="N66" i="1"/>
  <c r="O66" i="1"/>
  <c r="P66" i="1"/>
  <c r="G67" i="1"/>
  <c r="H67" i="1"/>
  <c r="I67" i="1"/>
  <c r="J67" i="1"/>
  <c r="K67" i="1"/>
  <c r="L67" i="1"/>
  <c r="M67" i="1"/>
  <c r="N67" i="1"/>
  <c r="O67" i="1"/>
  <c r="P67" i="1"/>
  <c r="G68" i="1"/>
  <c r="H68" i="1"/>
  <c r="I68" i="1"/>
  <c r="J68" i="1"/>
  <c r="K68" i="1"/>
  <c r="L68" i="1"/>
  <c r="M68" i="1"/>
  <c r="N68" i="1"/>
  <c r="O68" i="1"/>
  <c r="P68" i="1"/>
  <c r="G69" i="1"/>
  <c r="H69" i="1"/>
  <c r="I69" i="1"/>
  <c r="J69" i="1"/>
  <c r="K69" i="1"/>
  <c r="L69" i="1"/>
  <c r="M69" i="1"/>
  <c r="N69" i="1"/>
  <c r="O69" i="1"/>
  <c r="P69" i="1"/>
  <c r="G70" i="1"/>
  <c r="H70" i="1"/>
  <c r="I70" i="1"/>
  <c r="J70" i="1"/>
  <c r="K70" i="1"/>
  <c r="L70" i="1"/>
  <c r="M70" i="1"/>
  <c r="N70" i="1"/>
  <c r="O70" i="1"/>
  <c r="P70" i="1"/>
  <c r="G71" i="1"/>
  <c r="H71" i="1"/>
  <c r="I71" i="1"/>
  <c r="J71" i="1"/>
  <c r="K71" i="1"/>
  <c r="L71" i="1"/>
  <c r="M71" i="1"/>
  <c r="N71" i="1"/>
  <c r="O71" i="1"/>
  <c r="P71" i="1"/>
  <c r="G72" i="1"/>
  <c r="H72" i="1"/>
  <c r="I72" i="1"/>
  <c r="J72" i="1"/>
  <c r="K72" i="1"/>
  <c r="L72" i="1"/>
  <c r="M72" i="1"/>
  <c r="N72" i="1"/>
  <c r="O72" i="1"/>
  <c r="P72" i="1"/>
  <c r="G73" i="1"/>
  <c r="H73" i="1"/>
  <c r="I73" i="1"/>
  <c r="J73" i="1"/>
  <c r="K73" i="1"/>
  <c r="L73" i="1"/>
  <c r="M73" i="1"/>
  <c r="N73" i="1"/>
  <c r="O73" i="1"/>
  <c r="P73" i="1"/>
  <c r="G74" i="1"/>
  <c r="H74" i="1"/>
  <c r="I74" i="1"/>
  <c r="J74" i="1"/>
  <c r="K74" i="1"/>
  <c r="L74" i="1"/>
  <c r="M74" i="1"/>
  <c r="N74" i="1"/>
  <c r="O74" i="1"/>
  <c r="P74" i="1"/>
  <c r="G75" i="1"/>
  <c r="H75" i="1"/>
  <c r="I75" i="1"/>
  <c r="J75" i="1"/>
  <c r="K75" i="1"/>
  <c r="L75" i="1"/>
  <c r="M75" i="1"/>
  <c r="N75" i="1"/>
  <c r="O75" i="1"/>
  <c r="P75" i="1"/>
  <c r="G76" i="1"/>
  <c r="H76" i="1"/>
  <c r="I76" i="1"/>
  <c r="J76" i="1"/>
  <c r="K76" i="1"/>
  <c r="L76" i="1"/>
  <c r="M76" i="1"/>
  <c r="N76" i="1"/>
  <c r="O76" i="1"/>
  <c r="P76" i="1"/>
  <c r="G77" i="1"/>
  <c r="H77" i="1"/>
  <c r="I77" i="1"/>
  <c r="J77" i="1"/>
  <c r="K77" i="1"/>
  <c r="L77" i="1"/>
  <c r="M77" i="1"/>
  <c r="N77" i="1"/>
  <c r="O77" i="1"/>
  <c r="P77" i="1"/>
  <c r="G78" i="1"/>
  <c r="H78" i="1"/>
  <c r="I78" i="1"/>
  <c r="J78" i="1"/>
  <c r="K78" i="1"/>
  <c r="L78" i="1"/>
  <c r="M78" i="1"/>
  <c r="N78" i="1"/>
  <c r="O78" i="1"/>
  <c r="P78" i="1"/>
  <c r="G79" i="1"/>
  <c r="H79" i="1"/>
  <c r="I79" i="1"/>
  <c r="J79" i="1"/>
  <c r="K79" i="1"/>
  <c r="L79" i="1"/>
  <c r="M79" i="1"/>
  <c r="N79" i="1"/>
  <c r="O79" i="1"/>
  <c r="P79" i="1"/>
  <c r="G80" i="1"/>
  <c r="H80" i="1"/>
  <c r="I80" i="1"/>
  <c r="J80" i="1"/>
  <c r="K80" i="1"/>
  <c r="L80" i="1"/>
  <c r="M80" i="1"/>
  <c r="N80" i="1"/>
  <c r="O80" i="1"/>
  <c r="P80" i="1"/>
  <c r="G81" i="1"/>
  <c r="H81" i="1"/>
  <c r="I81" i="1"/>
  <c r="J81" i="1"/>
  <c r="K81" i="1"/>
  <c r="L81" i="1"/>
  <c r="M81" i="1"/>
  <c r="N81" i="1"/>
  <c r="O81" i="1"/>
  <c r="P81" i="1"/>
  <c r="G82" i="1"/>
  <c r="H82" i="1"/>
  <c r="I82" i="1"/>
  <c r="J82" i="1"/>
  <c r="K82" i="1"/>
  <c r="L82" i="1"/>
  <c r="M82" i="1"/>
  <c r="N82" i="1"/>
  <c r="O82" i="1"/>
  <c r="P82" i="1"/>
  <c r="G83" i="1"/>
  <c r="H83" i="1"/>
  <c r="I83" i="1"/>
  <c r="J83" i="1"/>
  <c r="K83" i="1"/>
  <c r="L83" i="1"/>
  <c r="M83" i="1"/>
  <c r="N83" i="1"/>
  <c r="O83" i="1"/>
  <c r="P83" i="1"/>
  <c r="G84" i="1"/>
  <c r="H84" i="1"/>
  <c r="I84" i="1"/>
  <c r="J84" i="1"/>
  <c r="K84" i="1"/>
  <c r="L84" i="1"/>
  <c r="M84" i="1"/>
  <c r="N84" i="1"/>
  <c r="O84" i="1"/>
  <c r="P84" i="1"/>
  <c r="G85" i="1"/>
  <c r="H85" i="1"/>
  <c r="I85" i="1"/>
  <c r="J85" i="1"/>
  <c r="K85" i="1"/>
  <c r="L85" i="1"/>
  <c r="M85" i="1"/>
  <c r="N85" i="1"/>
  <c r="O85" i="1"/>
  <c r="P85" i="1"/>
  <c r="G86" i="1"/>
  <c r="H86" i="1"/>
  <c r="I86" i="1"/>
  <c r="J86" i="1"/>
  <c r="K86" i="1"/>
  <c r="L86" i="1"/>
  <c r="M86" i="1"/>
  <c r="N86" i="1"/>
  <c r="O86" i="1"/>
  <c r="P86" i="1"/>
  <c r="G87" i="1"/>
  <c r="H87" i="1"/>
  <c r="I87" i="1"/>
  <c r="J87" i="1"/>
  <c r="K87" i="1"/>
  <c r="L87" i="1"/>
  <c r="M87" i="1"/>
  <c r="N87" i="1"/>
  <c r="O87" i="1"/>
  <c r="P87" i="1"/>
  <c r="G88" i="1"/>
  <c r="H88" i="1"/>
  <c r="I88" i="1"/>
  <c r="J88" i="1"/>
  <c r="K88" i="1"/>
  <c r="L88" i="1"/>
  <c r="M88" i="1"/>
  <c r="N88" i="1"/>
  <c r="O88" i="1"/>
  <c r="P88" i="1"/>
  <c r="G89" i="1"/>
  <c r="H89" i="1"/>
  <c r="I89" i="1"/>
  <c r="J89" i="1"/>
  <c r="K89" i="1"/>
  <c r="L89" i="1"/>
  <c r="M89" i="1"/>
  <c r="N89" i="1"/>
  <c r="O89" i="1"/>
  <c r="P89" i="1"/>
  <c r="G90" i="1"/>
  <c r="H90" i="1"/>
  <c r="I90" i="1"/>
  <c r="J90" i="1"/>
  <c r="K90" i="1"/>
  <c r="L90" i="1"/>
  <c r="M90" i="1"/>
  <c r="N90" i="1"/>
  <c r="O90" i="1"/>
  <c r="P90" i="1"/>
  <c r="G91" i="1"/>
  <c r="H91" i="1"/>
  <c r="I91" i="1"/>
  <c r="J91" i="1"/>
  <c r="K91" i="1"/>
  <c r="L91" i="1"/>
  <c r="M91" i="1"/>
  <c r="N91" i="1"/>
  <c r="O91" i="1"/>
  <c r="P91" i="1"/>
  <c r="G92" i="1"/>
  <c r="H92" i="1"/>
  <c r="I92" i="1"/>
  <c r="J92" i="1"/>
  <c r="K92" i="1"/>
  <c r="L92" i="1"/>
  <c r="M92" i="1"/>
  <c r="N92" i="1"/>
  <c r="O92" i="1"/>
  <c r="P92" i="1"/>
  <c r="G93" i="1"/>
  <c r="H93" i="1"/>
  <c r="I93" i="1"/>
  <c r="J93" i="1"/>
  <c r="K93" i="1"/>
  <c r="L93" i="1"/>
  <c r="M93" i="1"/>
  <c r="N93" i="1"/>
  <c r="O93" i="1"/>
  <c r="P93" i="1"/>
  <c r="G94" i="1"/>
  <c r="H94" i="1"/>
  <c r="I94" i="1"/>
  <c r="J94" i="1"/>
  <c r="K94" i="1"/>
  <c r="L94" i="1"/>
  <c r="M94" i="1"/>
  <c r="N94" i="1"/>
  <c r="O94" i="1"/>
  <c r="P94" i="1"/>
  <c r="G95" i="1"/>
  <c r="H95" i="1"/>
  <c r="I95" i="1"/>
  <c r="J95" i="1"/>
  <c r="K95" i="1"/>
  <c r="L95" i="1"/>
  <c r="M95" i="1"/>
  <c r="N95" i="1"/>
  <c r="O95" i="1"/>
  <c r="P95" i="1"/>
  <c r="G96" i="1"/>
  <c r="H96" i="1"/>
  <c r="I96" i="1"/>
  <c r="J96" i="1"/>
  <c r="K96" i="1"/>
  <c r="L96" i="1"/>
  <c r="M96" i="1"/>
  <c r="N96" i="1"/>
  <c r="O96" i="1"/>
  <c r="P96" i="1"/>
  <c r="G97" i="1"/>
  <c r="H97" i="1"/>
  <c r="I97" i="1"/>
  <c r="J97" i="1"/>
  <c r="K97" i="1"/>
  <c r="L97" i="1"/>
  <c r="M97" i="1"/>
  <c r="N97" i="1"/>
  <c r="O97" i="1"/>
  <c r="P97" i="1"/>
  <c r="G98" i="1"/>
  <c r="H98" i="1"/>
  <c r="I98" i="1"/>
  <c r="J98" i="1"/>
  <c r="K98" i="1"/>
  <c r="L98" i="1"/>
  <c r="M98" i="1"/>
  <c r="N98" i="1"/>
  <c r="O98" i="1"/>
  <c r="P98" i="1"/>
  <c r="G99" i="1"/>
  <c r="H99" i="1"/>
  <c r="I99" i="1"/>
  <c r="J99" i="1"/>
  <c r="K99" i="1"/>
  <c r="L99" i="1"/>
  <c r="M99" i="1"/>
  <c r="N99" i="1"/>
  <c r="O99" i="1"/>
  <c r="P99" i="1"/>
  <c r="G100" i="1"/>
  <c r="H100" i="1"/>
  <c r="I100" i="1"/>
  <c r="J100" i="1"/>
  <c r="K100" i="1"/>
  <c r="L100" i="1"/>
  <c r="M100" i="1"/>
  <c r="N100" i="1"/>
  <c r="O100" i="1"/>
  <c r="P100" i="1"/>
  <c r="G101" i="1"/>
  <c r="H101" i="1"/>
  <c r="I101" i="1"/>
  <c r="J101" i="1"/>
  <c r="K101" i="1"/>
  <c r="L101" i="1"/>
  <c r="M101" i="1"/>
  <c r="N101" i="1"/>
  <c r="O101" i="1"/>
  <c r="P101" i="1"/>
  <c r="G102" i="1"/>
  <c r="H102" i="1"/>
  <c r="I102" i="1"/>
  <c r="J102" i="1"/>
  <c r="K102" i="1"/>
  <c r="L102" i="1"/>
  <c r="M102" i="1"/>
  <c r="N102" i="1"/>
  <c r="O102" i="1"/>
  <c r="P102" i="1"/>
  <c r="G103" i="1"/>
  <c r="H103" i="1"/>
  <c r="I103" i="1"/>
  <c r="J103" i="1"/>
  <c r="K103" i="1"/>
  <c r="L103" i="1"/>
  <c r="M103" i="1"/>
  <c r="N103" i="1"/>
  <c r="O103" i="1"/>
  <c r="P103" i="1"/>
  <c r="G104" i="1"/>
  <c r="H104" i="1"/>
  <c r="I104" i="1"/>
  <c r="J104" i="1"/>
  <c r="K104" i="1"/>
  <c r="L104" i="1"/>
  <c r="M104" i="1"/>
  <c r="N104" i="1"/>
  <c r="O104" i="1"/>
  <c r="P104" i="1"/>
  <c r="G105" i="1"/>
  <c r="H105" i="1"/>
  <c r="I105" i="1"/>
  <c r="J105" i="1"/>
  <c r="K105" i="1"/>
  <c r="L105" i="1"/>
  <c r="M105" i="1"/>
  <c r="N105" i="1"/>
  <c r="O105" i="1"/>
  <c r="P105" i="1"/>
  <c r="G106" i="1"/>
  <c r="H106" i="1"/>
  <c r="I106" i="1"/>
  <c r="J106" i="1"/>
  <c r="K106" i="1"/>
  <c r="L106" i="1"/>
  <c r="M106" i="1"/>
  <c r="N106" i="1"/>
  <c r="O106" i="1"/>
  <c r="P106" i="1"/>
  <c r="G107" i="1"/>
  <c r="H107" i="1"/>
  <c r="I107" i="1"/>
  <c r="J107" i="1"/>
  <c r="K107" i="1"/>
  <c r="L107" i="1"/>
  <c r="M107" i="1"/>
  <c r="N107" i="1"/>
  <c r="O107" i="1"/>
  <c r="P107" i="1"/>
  <c r="G108" i="1"/>
  <c r="H108" i="1"/>
  <c r="I108" i="1"/>
  <c r="J108" i="1"/>
  <c r="K108" i="1"/>
  <c r="L108" i="1"/>
  <c r="M108" i="1"/>
  <c r="N108" i="1"/>
  <c r="O108" i="1"/>
  <c r="P108" i="1"/>
  <c r="G109" i="1"/>
  <c r="H109" i="1"/>
  <c r="I109" i="1"/>
  <c r="J109" i="1"/>
  <c r="K109" i="1"/>
  <c r="L109" i="1"/>
  <c r="M109" i="1"/>
  <c r="N109" i="1"/>
  <c r="O109" i="1"/>
  <c r="P109" i="1"/>
  <c r="G110" i="1"/>
  <c r="H110" i="1"/>
  <c r="I110" i="1"/>
  <c r="J110" i="1"/>
  <c r="K110" i="1"/>
  <c r="L110" i="1"/>
  <c r="M110" i="1"/>
  <c r="N110" i="1"/>
  <c r="O110" i="1"/>
  <c r="P110" i="1"/>
  <c r="G111" i="1"/>
  <c r="H111" i="1"/>
  <c r="I111" i="1"/>
  <c r="J111" i="1"/>
  <c r="K111" i="1"/>
  <c r="L111" i="1"/>
  <c r="M111" i="1"/>
  <c r="N111" i="1"/>
  <c r="O111" i="1"/>
  <c r="P111" i="1"/>
  <c r="G112" i="1"/>
  <c r="H112" i="1"/>
  <c r="I112" i="1"/>
  <c r="J112" i="1"/>
  <c r="K112" i="1"/>
  <c r="L112" i="1"/>
  <c r="M112" i="1"/>
  <c r="N112" i="1"/>
  <c r="O112" i="1"/>
  <c r="P112" i="1"/>
  <c r="G113" i="1"/>
  <c r="H113" i="1"/>
  <c r="I113" i="1"/>
  <c r="J113" i="1"/>
  <c r="K113" i="1"/>
  <c r="L113" i="1"/>
  <c r="M113" i="1"/>
  <c r="N113" i="1"/>
  <c r="O113" i="1"/>
  <c r="P113" i="1"/>
  <c r="G114" i="1"/>
  <c r="H114" i="1"/>
  <c r="I114" i="1"/>
  <c r="J114" i="1"/>
  <c r="K114" i="1"/>
  <c r="L114" i="1"/>
  <c r="M114" i="1"/>
  <c r="N114" i="1"/>
  <c r="O114" i="1"/>
  <c r="P114" i="1"/>
  <c r="G115" i="1"/>
  <c r="H115" i="1"/>
  <c r="I115" i="1"/>
  <c r="J115" i="1"/>
  <c r="K115" i="1"/>
  <c r="L115" i="1"/>
  <c r="M115" i="1"/>
  <c r="N115" i="1"/>
  <c r="O115" i="1"/>
  <c r="P115" i="1"/>
  <c r="G116" i="1"/>
  <c r="H116" i="1"/>
  <c r="I116" i="1"/>
  <c r="J116" i="1"/>
  <c r="K116" i="1"/>
  <c r="L116" i="1"/>
  <c r="M116" i="1"/>
  <c r="N116" i="1"/>
  <c r="O116" i="1"/>
  <c r="P116" i="1"/>
  <c r="G117" i="1"/>
  <c r="H117" i="1"/>
  <c r="I117" i="1"/>
  <c r="J117" i="1"/>
  <c r="K117" i="1"/>
  <c r="L117" i="1"/>
  <c r="M117" i="1"/>
  <c r="N117" i="1"/>
  <c r="O117" i="1"/>
  <c r="P117" i="1"/>
  <c r="G118" i="1"/>
  <c r="H118" i="1"/>
  <c r="I118" i="1"/>
  <c r="J118" i="1"/>
  <c r="K118" i="1"/>
  <c r="L118" i="1"/>
  <c r="M118" i="1"/>
  <c r="N118" i="1"/>
  <c r="O118" i="1"/>
  <c r="P118" i="1"/>
  <c r="G119" i="1"/>
  <c r="H119" i="1"/>
  <c r="I119" i="1"/>
  <c r="J119" i="1"/>
  <c r="K119" i="1"/>
  <c r="L119" i="1"/>
  <c r="M119" i="1"/>
  <c r="N119" i="1"/>
  <c r="O119" i="1"/>
  <c r="P119" i="1"/>
  <c r="G120" i="1"/>
  <c r="H120" i="1"/>
  <c r="I120" i="1"/>
  <c r="J120" i="1"/>
  <c r="K120" i="1"/>
  <c r="L120" i="1"/>
  <c r="M120" i="1"/>
  <c r="N120" i="1"/>
  <c r="O120" i="1"/>
  <c r="P120" i="1"/>
  <c r="G121" i="1"/>
  <c r="H121" i="1"/>
  <c r="I121" i="1"/>
  <c r="J121" i="1"/>
  <c r="K121" i="1"/>
  <c r="L121" i="1"/>
  <c r="M121" i="1"/>
  <c r="N121" i="1"/>
  <c r="O121" i="1"/>
  <c r="P121" i="1"/>
  <c r="G122" i="1"/>
  <c r="H122" i="1"/>
  <c r="I122" i="1"/>
  <c r="J122" i="1"/>
  <c r="K122" i="1"/>
  <c r="L122" i="1"/>
  <c r="M122" i="1"/>
  <c r="N122" i="1"/>
  <c r="O122" i="1"/>
  <c r="P122" i="1"/>
  <c r="G123" i="1"/>
  <c r="H123" i="1"/>
  <c r="I123" i="1"/>
  <c r="J123" i="1"/>
  <c r="K123" i="1"/>
  <c r="L123" i="1"/>
  <c r="M123" i="1"/>
  <c r="N123" i="1"/>
  <c r="O123" i="1"/>
  <c r="P123" i="1"/>
  <c r="G124" i="1"/>
  <c r="H124" i="1"/>
  <c r="I124" i="1"/>
  <c r="J124" i="1"/>
  <c r="K124" i="1"/>
  <c r="L124" i="1"/>
  <c r="M124" i="1"/>
  <c r="N124" i="1"/>
  <c r="O124" i="1"/>
  <c r="P124" i="1"/>
  <c r="G125" i="1"/>
  <c r="H125" i="1"/>
  <c r="I125" i="1"/>
  <c r="J125" i="1"/>
  <c r="K125" i="1"/>
  <c r="L125" i="1"/>
  <c r="M125" i="1"/>
  <c r="N125" i="1"/>
  <c r="O125" i="1"/>
  <c r="P125" i="1"/>
  <c r="G126" i="1"/>
  <c r="H126" i="1"/>
  <c r="I126" i="1"/>
  <c r="J126" i="1"/>
  <c r="K126" i="1"/>
  <c r="L126" i="1"/>
  <c r="M126" i="1"/>
  <c r="N126" i="1"/>
  <c r="O126" i="1"/>
  <c r="P126" i="1"/>
  <c r="G127" i="1"/>
  <c r="H127" i="1"/>
  <c r="I127" i="1"/>
  <c r="J127" i="1"/>
  <c r="K127" i="1"/>
  <c r="L127" i="1"/>
  <c r="M127" i="1"/>
  <c r="N127" i="1"/>
  <c r="O127" i="1"/>
  <c r="P127" i="1"/>
  <c r="G128" i="1"/>
  <c r="H128" i="1"/>
  <c r="I128" i="1"/>
  <c r="J128" i="1"/>
  <c r="K128" i="1"/>
  <c r="L128" i="1"/>
  <c r="M128" i="1"/>
  <c r="N128" i="1"/>
  <c r="O128" i="1"/>
  <c r="P128" i="1"/>
  <c r="G129" i="1"/>
  <c r="H129" i="1"/>
  <c r="I129" i="1"/>
  <c r="J129" i="1"/>
  <c r="K129" i="1"/>
  <c r="L129" i="1"/>
  <c r="M129" i="1"/>
  <c r="N129" i="1"/>
  <c r="O129" i="1"/>
  <c r="P129" i="1"/>
  <c r="G130" i="1"/>
  <c r="H130" i="1"/>
  <c r="I130" i="1"/>
  <c r="J130" i="1"/>
  <c r="K130" i="1"/>
  <c r="L130" i="1"/>
  <c r="M130" i="1"/>
  <c r="N130" i="1"/>
  <c r="O130" i="1"/>
  <c r="P130" i="1"/>
  <c r="G131" i="1"/>
  <c r="H131" i="1"/>
  <c r="I131" i="1"/>
  <c r="J131" i="1"/>
  <c r="K131" i="1"/>
  <c r="L131" i="1"/>
  <c r="M131" i="1"/>
  <c r="N131" i="1"/>
  <c r="O131" i="1"/>
  <c r="P131" i="1"/>
  <c r="G132" i="1"/>
  <c r="H132" i="1"/>
  <c r="I132" i="1"/>
  <c r="J132" i="1"/>
  <c r="K132" i="1"/>
  <c r="L132" i="1"/>
  <c r="M132" i="1"/>
  <c r="N132" i="1"/>
  <c r="O132" i="1"/>
  <c r="P132" i="1"/>
  <c r="G133" i="1"/>
  <c r="H133" i="1"/>
  <c r="I133" i="1"/>
  <c r="J133" i="1"/>
  <c r="K133" i="1"/>
  <c r="L133" i="1"/>
  <c r="M133" i="1"/>
  <c r="N133" i="1"/>
  <c r="O133" i="1"/>
  <c r="P133" i="1"/>
  <c r="G134" i="1"/>
  <c r="H134" i="1"/>
  <c r="I134" i="1"/>
  <c r="J134" i="1"/>
  <c r="K134" i="1"/>
  <c r="L134" i="1"/>
  <c r="M134" i="1"/>
  <c r="N134" i="1"/>
  <c r="O134" i="1"/>
  <c r="P134" i="1"/>
  <c r="G135" i="1"/>
  <c r="H135" i="1"/>
  <c r="I135" i="1"/>
  <c r="J135" i="1"/>
  <c r="K135" i="1"/>
  <c r="L135" i="1"/>
  <c r="M135" i="1"/>
  <c r="N135" i="1"/>
  <c r="O135" i="1"/>
  <c r="P135" i="1"/>
  <c r="G136" i="1"/>
  <c r="H136" i="1"/>
  <c r="I136" i="1"/>
  <c r="J136" i="1"/>
  <c r="K136" i="1"/>
  <c r="L136" i="1"/>
  <c r="M136" i="1"/>
  <c r="N136" i="1"/>
  <c r="O136" i="1"/>
  <c r="P136" i="1"/>
  <c r="G137" i="1"/>
  <c r="H137" i="1"/>
  <c r="I137" i="1"/>
  <c r="J137" i="1"/>
  <c r="K137" i="1"/>
  <c r="L137" i="1"/>
  <c r="M137" i="1"/>
  <c r="N137" i="1"/>
  <c r="O137" i="1"/>
  <c r="P137" i="1"/>
  <c r="G138" i="1"/>
  <c r="H138" i="1"/>
  <c r="I138" i="1"/>
  <c r="J138" i="1"/>
  <c r="K138" i="1"/>
  <c r="L138" i="1"/>
  <c r="M138" i="1"/>
  <c r="N138" i="1"/>
  <c r="O138" i="1"/>
  <c r="P138" i="1"/>
  <c r="G139" i="1"/>
  <c r="H139" i="1"/>
  <c r="I139" i="1"/>
  <c r="J139" i="1"/>
  <c r="K139" i="1"/>
  <c r="L139" i="1"/>
  <c r="M139" i="1"/>
  <c r="N139" i="1"/>
  <c r="O139" i="1"/>
  <c r="P139" i="1"/>
  <c r="G140" i="1"/>
  <c r="H140" i="1"/>
  <c r="I140" i="1"/>
  <c r="J140" i="1"/>
  <c r="K140" i="1"/>
  <c r="L140" i="1"/>
  <c r="M140" i="1"/>
  <c r="N140" i="1"/>
  <c r="O140" i="1"/>
  <c r="P140" i="1"/>
  <c r="G141" i="1"/>
  <c r="H141" i="1"/>
  <c r="I141" i="1"/>
  <c r="J141" i="1"/>
  <c r="K141" i="1"/>
  <c r="L141" i="1"/>
  <c r="M141" i="1"/>
  <c r="N141" i="1"/>
  <c r="O141" i="1"/>
  <c r="P141" i="1"/>
  <c r="G142" i="1"/>
  <c r="H142" i="1"/>
  <c r="I142" i="1"/>
  <c r="J142" i="1"/>
  <c r="K142" i="1"/>
  <c r="L142" i="1"/>
  <c r="M142" i="1"/>
  <c r="N142" i="1"/>
  <c r="O142" i="1"/>
  <c r="P142" i="1"/>
  <c r="G143" i="1"/>
  <c r="H143" i="1"/>
  <c r="I143" i="1"/>
  <c r="J143" i="1"/>
  <c r="K143" i="1"/>
  <c r="L143" i="1"/>
  <c r="M143" i="1"/>
  <c r="N143" i="1"/>
  <c r="O143" i="1"/>
  <c r="P143" i="1"/>
  <c r="G144" i="1"/>
  <c r="H144" i="1"/>
  <c r="I144" i="1"/>
  <c r="J144" i="1"/>
  <c r="K144" i="1"/>
  <c r="L144" i="1"/>
  <c r="M144" i="1"/>
  <c r="N144" i="1"/>
  <c r="O144" i="1"/>
  <c r="P144" i="1"/>
  <c r="G145" i="1"/>
  <c r="H145" i="1"/>
  <c r="I145" i="1"/>
  <c r="J145" i="1"/>
  <c r="K145" i="1"/>
  <c r="L145" i="1"/>
  <c r="M145" i="1"/>
  <c r="N145" i="1"/>
  <c r="O145" i="1"/>
  <c r="P145" i="1"/>
  <c r="G146" i="1"/>
  <c r="H146" i="1"/>
  <c r="I146" i="1"/>
  <c r="J146" i="1"/>
  <c r="K146" i="1"/>
  <c r="L146" i="1"/>
  <c r="M146" i="1"/>
  <c r="N146" i="1"/>
  <c r="O146" i="1"/>
  <c r="P146" i="1"/>
  <c r="G147" i="1"/>
  <c r="H147" i="1"/>
  <c r="I147" i="1"/>
  <c r="J147" i="1"/>
  <c r="K147" i="1"/>
  <c r="L147" i="1"/>
  <c r="M147" i="1"/>
  <c r="N147" i="1"/>
  <c r="O147" i="1"/>
  <c r="P147" i="1"/>
  <c r="G148" i="1"/>
  <c r="H148" i="1"/>
  <c r="I148" i="1"/>
  <c r="J148" i="1"/>
  <c r="K148" i="1"/>
  <c r="L148" i="1"/>
  <c r="M148" i="1"/>
  <c r="N148" i="1"/>
  <c r="O148" i="1"/>
  <c r="P148" i="1"/>
  <c r="G149" i="1"/>
  <c r="H149" i="1"/>
  <c r="I149" i="1"/>
  <c r="J149" i="1"/>
  <c r="K149" i="1"/>
  <c r="L149" i="1"/>
  <c r="M149" i="1"/>
  <c r="N149" i="1"/>
  <c r="O149" i="1"/>
  <c r="P149" i="1"/>
  <c r="G150" i="1"/>
  <c r="H150" i="1"/>
  <c r="I150" i="1"/>
  <c r="J150" i="1"/>
  <c r="K150" i="1"/>
  <c r="L150" i="1"/>
  <c r="M150" i="1"/>
  <c r="N150" i="1"/>
  <c r="O150" i="1"/>
  <c r="P150" i="1"/>
  <c r="G151" i="1"/>
  <c r="H151" i="1"/>
  <c r="I151" i="1"/>
  <c r="J151" i="1"/>
  <c r="K151" i="1"/>
  <c r="L151" i="1"/>
  <c r="M151" i="1"/>
  <c r="N151" i="1"/>
  <c r="O151" i="1"/>
  <c r="P151" i="1"/>
  <c r="G152" i="1"/>
  <c r="H152" i="1"/>
  <c r="I152" i="1"/>
  <c r="J152" i="1"/>
  <c r="K152" i="1"/>
  <c r="L152" i="1"/>
  <c r="M152" i="1"/>
  <c r="N152" i="1"/>
  <c r="O152" i="1"/>
  <c r="P152" i="1"/>
  <c r="G153" i="1"/>
  <c r="H153" i="1"/>
  <c r="I153" i="1"/>
  <c r="J153" i="1"/>
  <c r="K153" i="1"/>
  <c r="L153" i="1"/>
  <c r="M153" i="1"/>
  <c r="N153" i="1"/>
  <c r="O153" i="1"/>
  <c r="P153" i="1"/>
  <c r="G154" i="1"/>
  <c r="H154" i="1"/>
  <c r="I154" i="1"/>
  <c r="J154" i="1"/>
  <c r="K154" i="1"/>
  <c r="L154" i="1"/>
  <c r="M154" i="1"/>
  <c r="N154" i="1"/>
  <c r="O154" i="1"/>
  <c r="P154" i="1"/>
  <c r="G155" i="1"/>
  <c r="H155" i="1"/>
  <c r="I155" i="1"/>
  <c r="J155" i="1"/>
  <c r="K155" i="1"/>
  <c r="L155" i="1"/>
  <c r="M155" i="1"/>
  <c r="N155" i="1"/>
  <c r="O155" i="1"/>
  <c r="P155" i="1"/>
  <c r="G156" i="1"/>
  <c r="H156" i="1"/>
  <c r="I156" i="1"/>
  <c r="J156" i="1"/>
  <c r="K156" i="1"/>
  <c r="L156" i="1"/>
  <c r="M156" i="1"/>
  <c r="N156" i="1"/>
  <c r="O156" i="1"/>
  <c r="P156" i="1"/>
  <c r="G157" i="1"/>
  <c r="H157" i="1"/>
  <c r="I157" i="1"/>
  <c r="J157" i="1"/>
  <c r="K157" i="1"/>
  <c r="L157" i="1"/>
  <c r="M157" i="1"/>
  <c r="N157" i="1"/>
  <c r="O157" i="1"/>
  <c r="P157" i="1"/>
  <c r="G158" i="1"/>
  <c r="H158" i="1"/>
  <c r="I158" i="1"/>
  <c r="J158" i="1"/>
  <c r="K158" i="1"/>
  <c r="L158" i="1"/>
  <c r="M158" i="1"/>
  <c r="N158" i="1"/>
  <c r="O158" i="1"/>
  <c r="P158" i="1"/>
  <c r="G159" i="1"/>
  <c r="H159" i="1"/>
  <c r="I159" i="1"/>
  <c r="J159" i="1"/>
  <c r="K159" i="1"/>
  <c r="L159" i="1"/>
  <c r="M159" i="1"/>
  <c r="N159" i="1"/>
  <c r="O159" i="1"/>
  <c r="P159" i="1"/>
  <c r="G160" i="1"/>
  <c r="H160" i="1"/>
  <c r="I160" i="1"/>
  <c r="J160" i="1"/>
  <c r="K160" i="1"/>
  <c r="L160" i="1"/>
  <c r="M160" i="1"/>
  <c r="N160" i="1"/>
  <c r="O160" i="1"/>
  <c r="P160" i="1"/>
  <c r="G161" i="1"/>
  <c r="H161" i="1"/>
  <c r="I161" i="1"/>
  <c r="J161" i="1"/>
  <c r="K161" i="1"/>
  <c r="L161" i="1"/>
  <c r="M161" i="1"/>
  <c r="N161" i="1"/>
  <c r="O161" i="1"/>
  <c r="P161" i="1"/>
  <c r="G162" i="1"/>
  <c r="H162" i="1"/>
  <c r="I162" i="1"/>
  <c r="J162" i="1"/>
  <c r="K162" i="1"/>
  <c r="L162" i="1"/>
  <c r="M162" i="1"/>
  <c r="N162" i="1"/>
  <c r="O162" i="1"/>
  <c r="P162" i="1"/>
  <c r="G163" i="1"/>
  <c r="H163" i="1"/>
  <c r="I163" i="1"/>
  <c r="J163" i="1"/>
  <c r="K163" i="1"/>
  <c r="L163" i="1"/>
  <c r="M163" i="1"/>
  <c r="N163" i="1"/>
  <c r="O163" i="1"/>
  <c r="P163" i="1"/>
  <c r="G164" i="1"/>
  <c r="H164" i="1"/>
  <c r="I164" i="1"/>
  <c r="J164" i="1"/>
  <c r="K164" i="1"/>
  <c r="L164" i="1"/>
  <c r="M164" i="1"/>
  <c r="N164" i="1"/>
  <c r="O164" i="1"/>
  <c r="P164" i="1"/>
  <c r="G165" i="1"/>
  <c r="H165" i="1"/>
  <c r="I165" i="1"/>
  <c r="J165" i="1"/>
  <c r="K165" i="1"/>
  <c r="L165" i="1"/>
  <c r="M165" i="1"/>
  <c r="N165" i="1"/>
  <c r="O165" i="1"/>
  <c r="P165" i="1"/>
  <c r="G166" i="1"/>
  <c r="H166" i="1"/>
  <c r="I166" i="1"/>
  <c r="J166" i="1"/>
  <c r="K166" i="1"/>
  <c r="L166" i="1"/>
  <c r="M166" i="1"/>
  <c r="N166" i="1"/>
  <c r="O166" i="1"/>
  <c r="P166" i="1"/>
  <c r="G167" i="1"/>
  <c r="H167" i="1"/>
  <c r="I167" i="1"/>
  <c r="J167" i="1"/>
  <c r="K167" i="1"/>
  <c r="L167" i="1"/>
  <c r="M167" i="1"/>
  <c r="N167" i="1"/>
  <c r="O167" i="1"/>
  <c r="P167" i="1"/>
  <c r="G168" i="1"/>
  <c r="H168" i="1"/>
  <c r="I168" i="1"/>
  <c r="J168" i="1"/>
  <c r="K168" i="1"/>
  <c r="L168" i="1"/>
  <c r="M168" i="1"/>
  <c r="N168" i="1"/>
  <c r="O168" i="1"/>
  <c r="P168" i="1"/>
  <c r="G169" i="1"/>
  <c r="H169" i="1"/>
  <c r="I169" i="1"/>
  <c r="J169" i="1"/>
  <c r="K169" i="1"/>
  <c r="L169" i="1"/>
  <c r="M169" i="1"/>
  <c r="N169" i="1"/>
  <c r="O169" i="1"/>
  <c r="P169" i="1"/>
  <c r="G170" i="1"/>
  <c r="H170" i="1"/>
  <c r="I170" i="1"/>
  <c r="J170" i="1"/>
  <c r="K170" i="1"/>
  <c r="L170" i="1"/>
  <c r="M170" i="1"/>
  <c r="N170" i="1"/>
  <c r="O170" i="1"/>
  <c r="P170" i="1"/>
  <c r="G171" i="1"/>
  <c r="H171" i="1"/>
  <c r="I171" i="1"/>
  <c r="J171" i="1"/>
  <c r="K171" i="1"/>
  <c r="L171" i="1"/>
  <c r="M171" i="1"/>
  <c r="N171" i="1"/>
  <c r="O171" i="1"/>
  <c r="P171" i="1"/>
  <c r="G172" i="1"/>
  <c r="H172" i="1"/>
  <c r="I172" i="1"/>
  <c r="J172" i="1"/>
  <c r="K172" i="1"/>
  <c r="L172" i="1"/>
  <c r="M172" i="1"/>
  <c r="N172" i="1"/>
  <c r="O172" i="1"/>
  <c r="P172" i="1"/>
  <c r="G173" i="1"/>
  <c r="H173" i="1"/>
  <c r="I173" i="1"/>
  <c r="J173" i="1"/>
  <c r="K173" i="1"/>
  <c r="L173" i="1"/>
  <c r="M173" i="1"/>
  <c r="N173" i="1"/>
  <c r="O173" i="1"/>
  <c r="P173" i="1"/>
  <c r="G174" i="1"/>
  <c r="H174" i="1"/>
  <c r="I174" i="1"/>
  <c r="J174" i="1"/>
  <c r="K174" i="1"/>
  <c r="L174" i="1"/>
  <c r="M174" i="1"/>
  <c r="N174" i="1"/>
  <c r="O174" i="1"/>
  <c r="P174" i="1"/>
  <c r="G175" i="1"/>
  <c r="H175" i="1"/>
  <c r="I175" i="1"/>
  <c r="J175" i="1"/>
  <c r="K175" i="1"/>
  <c r="L175" i="1"/>
  <c r="M175" i="1"/>
  <c r="N175" i="1"/>
  <c r="O175" i="1"/>
  <c r="P175" i="1"/>
  <c r="G176" i="1"/>
  <c r="H176" i="1"/>
  <c r="I176" i="1"/>
  <c r="J176" i="1"/>
  <c r="K176" i="1"/>
  <c r="L176" i="1"/>
  <c r="M176" i="1"/>
  <c r="N176" i="1"/>
  <c r="O176" i="1"/>
  <c r="P176" i="1"/>
  <c r="G177" i="1"/>
  <c r="H177" i="1"/>
  <c r="I177" i="1"/>
  <c r="J177" i="1"/>
  <c r="K177" i="1"/>
  <c r="L177" i="1"/>
  <c r="M177" i="1"/>
  <c r="N177" i="1"/>
  <c r="O177" i="1"/>
  <c r="P177" i="1"/>
  <c r="G178" i="1"/>
  <c r="H178" i="1"/>
  <c r="I178" i="1"/>
  <c r="J178" i="1"/>
  <c r="K178" i="1"/>
  <c r="L178" i="1"/>
  <c r="M178" i="1"/>
  <c r="N178" i="1"/>
  <c r="O178" i="1"/>
  <c r="P178" i="1"/>
  <c r="G179" i="1"/>
  <c r="H179" i="1"/>
  <c r="I179" i="1"/>
  <c r="J179" i="1"/>
  <c r="K179" i="1"/>
  <c r="L179" i="1"/>
  <c r="M179" i="1"/>
  <c r="N179" i="1"/>
  <c r="O179" i="1"/>
  <c r="P179" i="1"/>
  <c r="G180" i="1"/>
  <c r="H180" i="1"/>
  <c r="I180" i="1"/>
  <c r="J180" i="1"/>
  <c r="K180" i="1"/>
  <c r="L180" i="1"/>
  <c r="M180" i="1"/>
  <c r="N180" i="1"/>
  <c r="O180" i="1"/>
  <c r="P180" i="1"/>
  <c r="G181" i="1"/>
  <c r="H181" i="1"/>
  <c r="I181" i="1"/>
  <c r="J181" i="1"/>
  <c r="K181" i="1"/>
  <c r="L181" i="1"/>
  <c r="M181" i="1"/>
  <c r="N181" i="1"/>
  <c r="O181" i="1"/>
  <c r="P181" i="1"/>
  <c r="G182" i="1"/>
  <c r="H182" i="1"/>
  <c r="I182" i="1"/>
  <c r="J182" i="1"/>
  <c r="K182" i="1"/>
  <c r="L182" i="1"/>
  <c r="M182" i="1"/>
  <c r="N182" i="1"/>
  <c r="O182" i="1"/>
  <c r="P182" i="1"/>
  <c r="G183" i="1"/>
  <c r="H183" i="1"/>
  <c r="I183" i="1"/>
  <c r="J183" i="1"/>
  <c r="K183" i="1"/>
  <c r="L183" i="1"/>
  <c r="M183" i="1"/>
  <c r="N183" i="1"/>
  <c r="O183" i="1"/>
  <c r="P183" i="1"/>
  <c r="G184" i="1"/>
  <c r="H184" i="1"/>
  <c r="I184" i="1"/>
  <c r="J184" i="1"/>
  <c r="K184" i="1"/>
  <c r="L184" i="1"/>
  <c r="M184" i="1"/>
  <c r="N184" i="1"/>
  <c r="O184" i="1"/>
  <c r="P184" i="1"/>
  <c r="G186" i="1"/>
  <c r="H186" i="1"/>
  <c r="O186" i="1"/>
  <c r="K186" i="1"/>
  <c r="I186" i="1"/>
  <c r="N186" i="1" l="1"/>
  <c r="L186" i="1"/>
  <c r="J186" i="1"/>
  <c r="M186" i="1"/>
</calcChain>
</file>

<file path=xl/sharedStrings.xml><?xml version="1.0" encoding="utf-8"?>
<sst xmlns="http://schemas.openxmlformats.org/spreadsheetml/2006/main" count="514" uniqueCount="226">
  <si>
    <t>Type</t>
  </si>
  <si>
    <t>ENNEAGRAM TYPE</t>
  </si>
  <si>
    <t>Random Order</t>
  </si>
  <si>
    <t>RATING</t>
  </si>
  <si>
    <t>Dalam kolom RATING, silakan beri peringkat seberapa baik Anda berpikir setiap pernyataan di bawah ini menggambarkan Anda pada skala dari 0 - 3 di mana 0 = tidak sama sekali, 1 = agak, 2 = cukup baik, 3 = sangat baik.</t>
  </si>
  <si>
    <t>UNTUK MELIHAT TYPE YANG TERKAIT DENGAN SETIAP DESKRIPSI, lihat kolom di sebelah kanan. &gt;&gt;&gt;&gt;&gt;&gt;&gt;</t>
  </si>
  <si>
    <t>Saya suka ide melibatkan pasangan intim saya dalam kehidupan kerja saya, jadi kami tidak berpisah.</t>
  </si>
  <si>
    <t>Kebanyakan orang melihat saya lebih damai daripada yang sebenarnya.</t>
  </si>
  <si>
    <t>Saya sering merasakan kerinduan tanpa benar-benar tahu mengapa.</t>
  </si>
  <si>
    <t>Keinginan saya untuk berpikir positif terkadang bisa seperti kecanduan.</t>
  </si>
  <si>
    <t>Memiliki ruang pribadi adalah kebutuhan, bukan kemewahan.</t>
  </si>
  <si>
    <t>Bertemu deadline saya lebih penting daripada mendapatkan setiap detail kecil tepat.</t>
  </si>
  <si>
    <t>Perasaan takut saya kurang kuat ketika saya memiliki proyek untuk dikerjakan.</t>
  </si>
  <si>
    <t>Saya bisa merangkul sisi manis dari kesedihan.</t>
  </si>
  <si>
    <t>Aku adalah kekuatan yang harus diperhitungkan.</t>
  </si>
  <si>
    <t>Ketidakjujuran saya kadang-kadang bisa melenyapkan orang.</t>
  </si>
  <si>
    <t>Saya benci meminta bantuan, meskipun saya suka memberikannya.</t>
  </si>
  <si>
    <t>Saya merasa sulit untuk menahan ketika datang untuk menawarkan bantuan dan saran.</t>
  </si>
  <si>
    <t>Menjadi pemenang membuat usaha saya berharga.</t>
  </si>
  <si>
    <t>Berada di alam sangat menenangkanku.</t>
  </si>
  <si>
    <t>Aku bisa marah ketika semuanya menjadi terlalu rumit.</t>
  </si>
  <si>
    <t>Membuat orang lain tertawa membantu saya merasa lebih tenang dan kurang cemas.</t>
  </si>
  <si>
    <t>Situasi emosional yang kuat membuat saya merasa benar-benar hidup.</t>
  </si>
  <si>
    <t>Saya suka melakukan sesuatu yang baru, bukan hal yang sama.</t>
  </si>
  <si>
    <t>Saya bangga dengan cara saya membuat orang merasa nyaman.</t>
  </si>
  <si>
    <t>Saya suka melakukan banyak hal sehingga mudah untuk menyebarkan diri terlalu kurus.</t>
  </si>
  <si>
    <t>Keinginan saya untuk mencapai tidak mengenal batas.</t>
  </si>
  <si>
    <t>Bahkan ketika saya terlihat diterima oleh suatu kelompok, sulit untuk merasa bahwa saya benar-benar milik.</t>
  </si>
  <si>
    <t>Saya bisa keras kepala dengan cara yang menghindari konfrontasi langsung.</t>
  </si>
  <si>
    <t>Orang mengatakan saya memiliki aura yang kuat.</t>
  </si>
  <si>
    <t>Saya bisa membuat peraturan dan menegakkannya.</t>
  </si>
  <si>
    <t>Sulit untuk tidak menangis ketika saya merasa sentimental, bahkan ketika saya berada di depan umum.</t>
  </si>
  <si>
    <t>Saya bisa merasa kesal karena tidak ada alasan khusus.</t>
  </si>
  <si>
    <t>Saya mampu menciptakan keharmonisan di lingkungan saya.</t>
  </si>
  <si>
    <t>Saya mencari orang-orang yang tidak dapat melihat diri mereka sendiri.</t>
  </si>
  <si>
    <t>Menemukan tujuan hidup saya berarti segalanya bagi saya.</t>
  </si>
  <si>
    <t>Saya lebih suka memikirkan masalah sebelum bertindak.</t>
  </si>
  <si>
    <t>Belajar untuk menegaskan diri memberi saya kepercayaan diri dan mengurangi kecemasan saya.</t>
  </si>
  <si>
    <t>Saya tidak bisa membantu tetapi melihat kedua sisi dari hampir semua pertanyaan.</t>
  </si>
  <si>
    <t>Saya merasa tidak nyaman berbicara dengan orang-orang yang tampaknya tidak terlibat secara emosional.</t>
  </si>
  <si>
    <t>Saya ingin membuat hidup sederhana dan tidak rumit.</t>
  </si>
  <si>
    <t>Mempertahankan hubungan dekat dengan teman dan keluarga membantu saya merasa aman di dunia yang kacau.</t>
  </si>
  <si>
    <t>Meskipun saya dapat dengan mudah membayangkan panik dalam krisis, ketika keadaan darurat yang sebenarnya datang, saya melakukannya dengan sangat baik.</t>
  </si>
  <si>
    <t>Saya jauh lebih dari hati orang daripada kepala orang.</t>
  </si>
  <si>
    <t>Mendapatkan pekerjaan yang dilakukan dengan benar lebih penting daripada menyelesaikan pekerjaan dengan cepat.</t>
  </si>
  <si>
    <t>Saya suka membaca terlebih dahulu sebelum mencoba beberapa aktivitas baru.</t>
  </si>
  <si>
    <t>Saya lebih menghargai orisinalitas daripada sukses.</t>
  </si>
  <si>
    <t>Sesuai dengan norma kelompok tidak memungkinkan saya untuk mengungkapkan siapa diri saya sebenarnya.</t>
  </si>
  <si>
    <t>Saya merasa sulit untuk menanggung aspek-aspek kehidupan yang menumpulkan hati dan membunuh jiwa.</t>
  </si>
  <si>
    <t>Tidak ada yang saya nikmati seperti membuat perkenalan dan membantu orang saling mengenal satu sama lain.</t>
  </si>
  <si>
    <t>Sebagai seorang anak, saya lebih serius dan realistis daripada banyak anak lain.</t>
  </si>
  <si>
    <t>Detail masa kecil saya terkadang tampak kabur dan jauh.</t>
  </si>
  <si>
    <t>Tidak ada yang lebih kritis terhadap saya daripada saya sendiri.</t>
  </si>
  <si>
    <t>Saya sering merasa sulit untuk mencapai sesuatu tanpa terganggu oleh tugas-tugas lain.</t>
  </si>
  <si>
    <t>Iman dan kepercayaan itu sulit bagiku, karena aku meragukan hal-hal yang tampaknya diterima sebagian besar orang.</t>
  </si>
  <si>
    <t>Perhatian saya terlalu mudah pergi ke skenario terburuk, bahkan ketika mereka tidak mungkin terjadi.</t>
  </si>
  <si>
    <t>Saya cenderung membuat diri saya begitu sibuk dengan pekerjaan sehingga tidak ada banyak waktu untuk duduk dan merenung.</t>
  </si>
  <si>
    <t>Saya terkadang dilihat oleh orang lain sebagai tidak responsif secara sosial.</t>
  </si>
  <si>
    <t>Saya merasakan dorongan untuk melarikan diri ketika saya mendarat dalam situasi yang membutuhkan komitmen emosional.</t>
  </si>
  <si>
    <t>Saya cenderung menghormati atau menentang otoritas.</t>
  </si>
  <si>
    <t>Saya suka berkonsentrasi pada satu hal pada satu waktu dan tidak menghargai gangguan.</t>
  </si>
  <si>
    <t>Terkadang sulit untuk membedakan antara gambar yang saya proyeksikan dan orang yang ada di dalam saya.</t>
  </si>
  <si>
    <t>Saya selalu sadar akan aturan yang harus saya ikuti, apakah saya memilih untuk menyesuaikan dengan mereka atau melanggarnya.</t>
  </si>
  <si>
    <t>Saya optimis tentang banyak hal.</t>
  </si>
  <si>
    <t>Sulit untuk tidak merasa gugup saat bertemu orang baru.</t>
  </si>
  <si>
    <t>Saya tidak dapat membayangkan kehidupan tanpa banyak kenalan dan kontak sosial saya.</t>
  </si>
  <si>
    <t>Naluri pertama saya selalu membantu orang, apakah mereka memintanya atau tidak.</t>
  </si>
  <si>
    <t>Orang-orang melihat saya sebagai pemimpin alami.</t>
  </si>
  <si>
    <t>Dalam situasi kelompok, saya biasanya lebih suka berbaur, daripada mengambil pimpinan atau keberatan suara.</t>
  </si>
  <si>
    <t>Memiliki rutinitas sehari-hari membantu saya tetap di jalur dan menyelesaikan berbagai hal.</t>
  </si>
  <si>
    <t>Saya tidak perlu membuktikan apa pun kepada siapa pun.</t>
  </si>
  <si>
    <t>Sebagai orang tua atau wali, saya lebih ketat daripada permisif.</t>
  </si>
  <si>
    <t>Saya bekerja keras untuk berhasil karena kegagalan bukanlah pilihan.</t>
  </si>
  <si>
    <t>Saya lebih bersedia daripada banyak orang untuk melakukan pekerjaan "menggerutu" pada proyek kelompok.</t>
  </si>
  <si>
    <t>Menjadi orang yang autentik lebih berarti bagiku daripada kesuksesan materi.</t>
  </si>
  <si>
    <t>Saya memiliki begitu banyak ide berdengung di kepala saya sehingga sulit untuk mengerjakannya satu per satu.</t>
  </si>
  <si>
    <t>Saya adalah karyawan yang sangat andal, setia, dan mantap.</t>
  </si>
  <si>
    <t>Seringkali saya merasa bahwa pendapat pribadi saya tidak begitu penting untuk diskusi kelompok.</t>
  </si>
  <si>
    <t>Saya sangat sadar akan kesan yang saya buat pada orang lain.</t>
  </si>
  <si>
    <t>Kebanggaan adalah kekuatan terbesar saya dan kelemahan terbesar saya.</t>
  </si>
  <si>
    <t>Meluangkan waktu untuk hubungan bisa jadi sulit karena jadwal sibuk saya.</t>
  </si>
  <si>
    <t>Memberi, peduli, dan berbagi sangat berarti bagiku.</t>
  </si>
  <si>
    <t>Mendengarkan dengan tidak sopan datang dengan mudah bagi saya.</t>
  </si>
  <si>
    <t>Ide sering datang kepada saya seperti kilatan petir.</t>
  </si>
  <si>
    <t>Saya memiliki banyak energi gugup dan imajinasi yang terlalu aktif.</t>
  </si>
  <si>
    <t>Ketidaktahuan emosi benar-benar menggangguku.</t>
  </si>
  <si>
    <t>Saya bisa sangat terbelit oleh keprihatinan saya terhadap orang lain.</t>
  </si>
  <si>
    <t>Saya memiliki kekuatan untuk mengambil tugas yang akan mengalahkan orang yang lebih lemah.</t>
  </si>
  <si>
    <t>Emosi mendalam saya adalah sumber daya kreatif terbesar saya.</t>
  </si>
  <si>
    <t>Ini sangat memalukan untuk dikritik publik.</t>
  </si>
  <si>
    <t>Orang yang tidak menganggap serius sesuatu mengganggu saya.</t>
  </si>
  <si>
    <t>Tidak ada yang memotivasi saya seperti pencapaian yang tinggi.</t>
  </si>
  <si>
    <t>Mengendalikan amarah saya sangat sulit.</t>
  </si>
  <si>
    <t>Saya disebut perfeksionis, meskipun saya merasa tidak sempurna.</t>
  </si>
  <si>
    <t>Karena saya melakukan banyak hal untuk orang lain, saya terkadang merasa berhak atas perlakuan khusus.</t>
  </si>
  <si>
    <t>Pengakuan publik sangat berarti bagi saya.</t>
  </si>
  <si>
    <t>Saya cenderung melihat orang lain sebagai sederajat.</t>
  </si>
  <si>
    <t>Saya ingin memastikan bahwa saya memenuhi standar perilaku tinggi saya sendiri.</t>
  </si>
  <si>
    <t>Ketika saya beresonansi dengan seseorang, itu bukan pada tingkat yang dangkal.</t>
  </si>
  <si>
    <t>Penting bagi saya untuk menjadi pendengar yang simpatik dan teman yang mendukung.</t>
  </si>
  <si>
    <t>Saya menghargai makanan yang baik, perusahaan yang baik, dan kehidupan yang baik.</t>
  </si>
  <si>
    <t>Terkadang melakukan pelanggaran adalah satu-satunya cara untuk menaklukkan rasa takut.</t>
  </si>
  <si>
    <t>Saya sangat tertarik dengan pekerjaan kemanusiaan dengan orang atau hewan.</t>
  </si>
  <si>
    <t>Kegembiraan alami saya biasanya membuat saya tidak terjebak dalam emosi yang berat.</t>
  </si>
  <si>
    <t>Saya adalah pemelihara alami.</t>
  </si>
  <si>
    <t>Saya biasanya menikmati mengendap-endap dan kehilangan diri sendiri dalam tugas-tugas kecil kehidupan sehari-hari.</t>
  </si>
  <si>
    <t>Saya adalah pengamat yang cermat terhadap orang dan situasi.</t>
  </si>
  <si>
    <t>Meskipun saya ingin diterima, saya benci gagasan penyesuaian tanpa berpikir.</t>
  </si>
  <si>
    <t>Ketika saya peduli dengan orang lain, saya ingin memperbaiki perilaku mereka.</t>
  </si>
  <si>
    <t>Tidak terlalu menyenangkan hanya melakukan satu aktivitas dalam satu waktu.</t>
  </si>
  <si>
    <t>Ketika saya berjalan di ruangan penuh orang, saya langsung merasakan siapa yang bertanggung jawab.</t>
  </si>
  <si>
    <t>Saya senang mencari solusi yang cerdik untuk masalah yang tidak biasa.</t>
  </si>
  <si>
    <t>Saya menemukan tampilan umum emosi tidak menarik.</t>
  </si>
  <si>
    <t>Saya mengambil sesuatu secara pribadi dan tidak peduli siapa yang mengetahuinya.</t>
  </si>
  <si>
    <t>Kebanyakan orang menganggap saya tidak menghakimi dan santai.</t>
  </si>
  <si>
    <t>Menjunjung tinggi etika dan prinsip sangat penting bagi saya.</t>
  </si>
  <si>
    <t>Menerjemahkan visi batin saya ke dalam karya seni dapat menjadi sangat menarik.</t>
  </si>
  <si>
    <t>Saya dapat menyesuaikan pakaian dan perilaku saya dengan kebutuhan situasi.</t>
  </si>
  <si>
    <t>Saya mencoba membuka opsi saya.</t>
  </si>
  <si>
    <t>Saya dapat mengabaikan emosi yang menyakitkan untuk menyelesaikan pekerjaan.</t>
  </si>
  <si>
    <t>Game dapat membuat saya terpesona.</t>
  </si>
  <si>
    <t>Berada di lingkungan yang plastik dan impersonal hanya menguras kehidupan langsung dari saya.</t>
  </si>
  <si>
    <t>Saya suka mempelajari pola yang rumit dan konsep yang rumit.</t>
  </si>
  <si>
    <t>Saya memiliki kritik batin yang sangat aktif.</t>
  </si>
  <si>
    <t>Kadang-kadang sulit untuk memenuhi kebutuhan pribadi saya sendiri.</t>
  </si>
  <si>
    <t>Saya merasa sulit untuk tidak menghakimi orang terlalu keras.</t>
  </si>
  <si>
    <t>Rumah dan keluarga saya memberi saya tempat berlindung yang aman di dunia yang tidak aman.</t>
  </si>
  <si>
    <t>Kata-kata saya adalah ikatan saya.</t>
  </si>
  <si>
    <t>Toleransi datang dengan mudah bagi saya.</t>
  </si>
  <si>
    <t>Saya tidak keberatan memberikan cinta yang kuat ketika dibutuhkan.</t>
  </si>
  <si>
    <t>Saya merasa cukup bersalah ketika saya marah tanpa pembenaran.</t>
  </si>
  <si>
    <t>Saya cenderung tidak taat ketika orang mendorong reaksi emosional.</t>
  </si>
  <si>
    <t>Ketika saya menyukai seni, sering ada sesuatu yang aneh atau tidak biasa.</t>
  </si>
  <si>
    <t>Kenyamanan yang familier memberi saya rasa damai.</t>
  </si>
  <si>
    <t>Saya jarang menerima ide yang tidak bertahan dalam ujian waktu.</t>
  </si>
  <si>
    <t>Kadang-kadang butuh waktu untuk emosi saya untuk mengejar pikiran saya.</t>
  </si>
  <si>
    <t>Saya adalah ketua di lingkaran teman-teman saya.</t>
  </si>
  <si>
    <t>Merasa rentan membuatku menggeliat.</t>
  </si>
  <si>
    <t>Saya tidak peduli dengan gangguan ketika saya mencoba memikirkan masalah.</t>
  </si>
  <si>
    <t>Teman-teman menggambarkan saya sebagai orang yang hangat, romantis, dan penuh kasih sayang.</t>
  </si>
  <si>
    <t>Lebih dari segalanya, saya adalah tipe orang yang "bisa melakukan".</t>
  </si>
  <si>
    <t>Tidak sulit untuk berhati-hati jika diperlukan.</t>
  </si>
  <si>
    <t>Teman-teman terkadang mengatakan bahwa saya terlalu keras untuk diri sendiri.</t>
  </si>
  <si>
    <t>Saya menjadi tegang atau kritis lebih mudah daripada kebanyakan orang.</t>
  </si>
  <si>
    <t>Berada di mata publik adalah sesuatu yang biasanya saya nikmati.</t>
  </si>
  <si>
    <t>Saya selalu melindungi apa milik saya.</t>
  </si>
  <si>
    <t>Sudah menjadi sifat saya untuk mencari hal baru, bukan rutinitas.</t>
  </si>
  <si>
    <t>Saya sangat sensitif dengan suasana hati orang lain.</t>
  </si>
  <si>
    <t>Apapun yang saya lakukan, saya selalu berusaha melebihi yang terbaik dari diri saya.</t>
  </si>
  <si>
    <t>Saya sangat setia kepada orang-orang yang telah mendapatkan kepercayaan saya.</t>
  </si>
  <si>
    <t>Saya seorang pemikir sistem yang dapat memisahkan pikiran dari emosi.</t>
  </si>
  <si>
    <t>Saya adalah orang yang selamat alami, dan persediaan saya ditimbun untuk membuktikannya!</t>
  </si>
  <si>
    <t>Saya sering dapat memilih ide "keluar dari udara."</t>
  </si>
  <si>
    <t>Ketika saya dihalau, itu membantu saya menjalankan rencana yang ada, bukan hanya mengembangkan yang baru.</t>
  </si>
  <si>
    <t>Saya tahu bagaimana rasanya mengalami kesepian yang intens.</t>
  </si>
  <si>
    <t>Dalam hubungan yang intim, saya sering mengalami perasaan cemburu, meskipun saya tidak menyetujui mereka.</t>
  </si>
  <si>
    <t>Prestasi dan pengakuan memberi tahu saya bahwa saya menargetkan sasaran saya.</t>
  </si>
  <si>
    <t>Saya pandai membuat orang tertawa, karena saya cepat tanggap dan tidak menganggap diri saya terlalu serius.</t>
  </si>
  <si>
    <t>Saya menggunakan "radar batin" saya untuk menggerakkan motif orang lain dan memutuskan apakah aman untuk memercayai mereka atau tidak.</t>
  </si>
  <si>
    <t>Saya menghargai pertukaran intelektual lebih dari berbagi secara emosional.</t>
  </si>
  <si>
    <t>Saya merasa terkejut dengan proyek-proyek inovatif atau ide-ide visioner.</t>
  </si>
  <si>
    <t>Kata-kata "harus" dan "seharusnya" muncul banyak dalam pemikiran saya.</t>
  </si>
  <si>
    <t>Banyak orang menganggap saya terlalu emosional atau dramatis.</t>
  </si>
  <si>
    <t>Saya sering menjadi ahli dalam topik yang saya pelajari.</t>
  </si>
  <si>
    <t>Sendirian memungkinkan saya untuk berhubungan dengan diri saya yang terdalam.</t>
  </si>
  <si>
    <t>Saya lebih terpisah daripada emosional.</t>
  </si>
  <si>
    <t>Saya bersedia berkorban untuk berada dalam hubungan.</t>
  </si>
  <si>
    <t>Saya memiliki selera besar dan keinginan “lebih besar dari hidup”.</t>
  </si>
  <si>
    <t>Istilah "Tipe A kepribadian" diciptakan dengan saya dalam pikiran.</t>
  </si>
  <si>
    <t>Jika saya masuk ke grup yang tidak memiliki pemimpin, saya akan bertanggung jawab.</t>
  </si>
  <si>
    <t>Terkadang saya merasa seperti akan meledak.</t>
  </si>
  <si>
    <t>Saya bisa menjadi penindas kejam yang menempel untuk diunggulkan.</t>
  </si>
  <si>
    <t>Pembicaraan kecil tidak banyak bermanfaat bagi saya.</t>
  </si>
  <si>
    <t>Merasa dihargai sangat berarti bagiku.</t>
  </si>
  <si>
    <t>Membuat kesan yang baik itu penting bagiku.</t>
  </si>
  <si>
    <t>Mengetahui saya benar mengambil tepi dari ketegangan yang saya rasakan.</t>
  </si>
  <si>
    <t>Keputusan pribadi yang besar dapat melumpuhkan saya.</t>
  </si>
  <si>
    <t>Saya alami suka bermain, suka bersenang-senang, dan berjiwa bebas.</t>
  </si>
  <si>
    <t>Kadang-kadang lebih mudah untuk langsung menghadapi ketakutan saya daripada membiarkan imajinasi saya menjadi liar.</t>
  </si>
  <si>
    <t>Saya seorang pemain tim yang hebat.</t>
  </si>
  <si>
    <t>Saya secara mental keluar ketika saya kekurangan waktu sendirian.</t>
  </si>
  <si>
    <t>Pikiran saya cepat, tetapi tidak terlalu menyeluruh.</t>
  </si>
  <si>
    <t>Sangat mudah untuk membiarkan teman-teman saya memutuskan bagaimana kita menghabiskan waktu bersama.</t>
  </si>
  <si>
    <t>Saya mudah mengidentifikasi dengan luka yang telah saya terima dalam hidup.</t>
  </si>
  <si>
    <t>Saya mengambil tindakan ketika orang lain masih mencoba memilah perasaan mereka.</t>
  </si>
  <si>
    <t>Kebebasan lebih berarti bagi saya daripada hampir apa pun.</t>
  </si>
  <si>
    <t>1. Tipe Perfeksionis (The Reformer)</t>
  </si>
  <si>
    <t>Tipe kepribadian ini adalah tipe orang yang sulit menerima dirinya ketika ia melakukan sebuah kesalahan, Tipe perfeksionis ini memiliki standar yang tinggi terhadap sesuatu, kepribadian perfeksionis dimotivasi oleh kebutuhan untuk menjalani hidup dengan benar, sesuai dengan standar yang ia miliki. Ia merasa harus memperbaiki diri serta lingkungan di sekitarnya. Tipe ini adalah orang yang sangat memegang etika serta bisa diandalkan. Mereka merasa akan gagal jika ia tidak bisa mengontrol situasi dimana ia memikul tanggungjawab disitu. Mereka seringkali mendapat kepercayaan untuk menjadi pucuk pimpinan pada sebuah organisasi, sangat produktif dan amat bijaksana. Orang perfeksionis biasanya juga amat idealis ketika memilih sesuatu.</t>
  </si>
  <si>
    <t>Tipe Perfeksionis:</t>
  </si>
  <si>
    <t>Memili standar tinggi, Idealis, Bijaksana, Produktif, Minim membuat kesalahan, Obsesif kompulsif kelainan ini ditandai dengan pikiran dan ketakutan tidak masuk akal (obsesi) yang dapat menyebabkan perilaku repetitif (kompulsi). Misalnya, orang yang merasa harus memeriksa pintu dan jendela lebih dari 3 kali sebelum keluar rumah.</t>
  </si>
  <si>
    <t>2. Tipe Penolong (The Helper)</t>
  </si>
  <si>
    <t>Tipe penolong adalah tipe manusia yang sangat murah hati dan senang memberikan pertolongan kepada orang lain. Namun belum tentu apa yang ia lakukan itu benar-benar tulus ingin menolong. Bisa jadi apa yang ia lakukan itu karena merasa tidak enak untuk menolak. Tergerak oleh motivasi terhadap kebutuhan untuk dicintai, dihargai, juga untuk mengekpresikan perasaan positif mereka kepada orang lain. Seorang tipe penolong memiliki sifat mengasihi, perhatian, berwawasan luas, murah hati, antusias, &amp; amat peka terhadap apa yang orang lain rasakan. Orang dengan tipe ini adalah orang yang amat menyenangkan. Banyak orang yang menyenangi dirinya. tipe sosial yang mudah bergaul dan pandai membina relasi pertemanan. orang dengan tipe ini amat peka pada orang lain dan tahu apa yang orang lain butuhkan.</t>
  </si>
  <si>
    <t>Tipe Penolong :</t>
  </si>
  <si>
    <r>
      <t>Murah hati, Suka menolong orang lain, Peka terhadap perasaan orang lain, Sosial, Sedikit Manupulatif. </t>
    </r>
    <r>
      <rPr>
        <sz val="15"/>
        <color indexed="40"/>
        <rFont val="Times New Roman"/>
        <family val="1"/>
      </rPr>
      <t>(Kemampuan memanipulasi (disebut juga kelicikan) Ini berhubungan erat dengan kecerdasan seseorang. Hampir semua manusia bisa memanipulasi keadaan yang dialaminya dimana hal ini juga turut dipengaruhi oleh pengalaman pribadi dan kepercayaan seseorang. Kepribadian manipulatif yang syarat dengan tipu muslihat adalah mereka yang suka mengkambing hitamkan sesuatu atau yang gemar mencari alibi atas semua yang terjadi dalam hidupnya. Ciri khas manusia seperti ini adalah enggan menerima kenyataan dan selalu mengalihkan kesalahan bahkan kadang membiaskan tuduhan kepada pihak lain.)</t>
    </r>
  </si>
  <si>
    <r>
      <t>3</t>
    </r>
    <r>
      <rPr>
        <b/>
        <sz val="15"/>
        <color indexed="36"/>
        <rFont val="Times New Roman"/>
        <family val="1"/>
      </rPr>
      <t>. Tipe Pengejar Prestasi (The Achiever) /Motivator/ Performer</t>
    </r>
  </si>
  <si>
    <t>Tipe pemburu prestasi adalah tipe kepribadian yang digerakan oleh kebutuhan untuk menjadi terus produktif. Tipe ini adalah tipe orang yang ambisi besarnya meraih kesuksesan. Sebisa mungkin ia akan menghindari kegagalan, terutama jika berhubungan dengan pekerjaan, secara natural sangat optimis. Ia sangat yakin bahwa berbagai kerja yang ia lakukan akan berbuah baik. Orang seperti ini, percaya bahwa tidak ada rintangan yang tidak bisa dihancurkan. Semua rintangan adalah batu penghalang yang menjadi ujian bagi setiap orang. Terkadang akan melakukan segala cara untuk meraih kesuksesan. Ia akan kompetitif dan bisa menjadi sangat manipulatif. Terkadang ia akan memperdaya orang lain agar bisa memuluskan jalannya menuju goal yang ia rancang.</t>
  </si>
  <si>
    <t>Tipe Pengejar Prestasi :</t>
  </si>
  <si>
    <t>Produktif, Ambisius, Optimis, Kompetitif, Senang berbagi, Manipulatif</t>
  </si>
  <si>
    <t>4. Tipe Romantis / Artist / Individualist (The Melancholy)</t>
  </si>
  <si>
    <t>Romantis atau melankolis ini seringkali disebut the individualist. Orang yang seringkali tenggelam dalam perasaannya sendiri. Ia begitu mengamini serta memaklumi berbagai hal yang ia alami dalam hidup dengan amat dalam. Melankolis ini seringkali merasa tidak ada yang bisa memahami apa yang ia rasakan. Ia seperti merasa berjalan sendirian. Ia juga gemar mencari makna hidup, dan menghindari citra diri yang datar-datar saja. Melankolik ini ingin menjadi seseorang yang tidak biasa, atau ia ingin menjadi si eksentrik. Seseorang yang dianggap tidak mainstream pada lingkungannya. Ia memiliki hati yang amat halus, sehingga jika ada hal-hal yang mengerikan, atau tindakan yang amat keji, hatinya tidak akan kuat melihat hal-hal seperti itu.</t>
  </si>
  <si>
    <t>Tipe Romantis :</t>
  </si>
  <si>
    <t>Perasaannya halus, Moody, Dalam, Menyukai seni, Ekspresif, Depresif</t>
  </si>
  <si>
    <t>5. Tipe Pengamat Observer / Thinker (The Investigator)</t>
  </si>
  <si>
    <t>Tipe pengamat adalah seorang yang memiliki rasa ingin tahu yang tinggi, ingin memahami dunia di sekitarnya. Ibarat seorang peneliti atau detektif, seorang pengamat akan mencari berbagai data dan mengumpulkan berbagai cerita agar ia bisa mencari jawaban atas berbagai pertanyaan dalam dirinya. Orang yang memiliki kepekaan tinggi terhadap lingkungan dan sesamanya. Tanpa harus bertanya atau mengumpulkan jawaban dari sana-sini, lewat pengamatannya yang tajam, ia bisa menyimpulkan jawaban atau merangkai sebuah cerita dari sebuah fenomena yang terjadi di depannya. Seorang yang sangat analitis dan memiliki tingkat intelektualitas yang tinggi. Jika ada sebuah masalah, ia adalah orang yang amat tepat untuk bisa memetakan permasalahan itu. Secara bijaksana ia pun akan mencari berbagai alternatif  jawaban yang sangat masuk akal untuk bisa memecahkan masalah tersebut.</t>
  </si>
  <si>
    <t>Tipe Pengamat :</t>
  </si>
  <si>
    <t>Rasa ingin tahu tinggi, Analitis, Objektif, Problem solver, Keras kepala, Argumentatif, Tidak mau mendengar pendapat orang.</t>
  </si>
  <si>
    <t>6. Tipe Pencemas (The Sceptic) Loyalist / Pessimist</t>
  </si>
  <si>
    <t>Tipe pencemas adalah orang yang selalu menginginkan rasa aman dalam hidupnya. Ia seringmerasa cemas karena selalu merasa tidak bisa mengontrol segala hal yang mungkin terjadi. Si pencemas ini sulit untuk memasrahkan hidupnya pada alam semesta atau pada orang lain. Ia cenderung tidak mudah percaya. Namun ia adalah orang yang setia, amat perhatian dan hangat, serta senang membantu orang lain. Seorang pencemas juga mudah khawatir terhadap sesuatu. Ia tidak akan nyaman jika ada sebuah masalah belum benar-benar selesai. Ia harus menjadi saksi sendiri atas penyelesaian masalah yang ia hadapi itu. Misalnya saja jika ada sebuah kasus hukum yang menimpa dirinya, tipe ini tidak akan benar-benar percaya pada pengacara yang sudah ia pilih. Sehingga ia akan terus mengontrol dan mengecek ulang berbagai pekerjaan yang dikerjakan oleh pengacaranya itu. Seorang tipe pencemas umumnya memiliki komitmen kuat terhadap sesuatu yang sudah ia pegang.</t>
  </si>
  <si>
    <t>Tipe Pencemas :</t>
  </si>
  <si>
    <t>Insecure (perasan tidak aman), Terlalu khawatir, Tidak mudah percaya, Komitmen kuat, Setia, Bertanggung jawab.</t>
  </si>
  <si>
    <t>7. Tipe Petualang (The Enthusiast) Generalist / Optimist / Adventure</t>
  </si>
  <si>
    <t>Si petualang ini adalah tipe orang yang tidak bisa diam dan energinya begitu menggebu. Motivasi dan tujuannya adalah mencapai kehidupan yang gembira serta setiap hari bisa melakukan kegiatan yang menyenangkan. Ini yang membuatnya cepat bosan. Ia tidak akan tahan jika harus terus-menerus berada pada satu tempat yang sama dengan kegiatan yang sama pula. Ia adalah orang yang menyenangkan, spontan, dan tidak akan pernah bisa membosankan berteman dengan si petualang ini. Selalu ada hal-hal menyenangkan yang bisa dilakukan bersamanya. Ia pun amat imajinatif, dan amat antusias jika melakukan kegiatan yang sesuai dengan kata hatinya.</t>
  </si>
  <si>
    <t>Tipe Petualang :</t>
  </si>
  <si>
    <t>Cepat bosan, Spontan, Menyenangkan, Imajinatif, Tidak konsisten, Tidak disiplin, Tidak focus</t>
  </si>
  <si>
    <t>8. Tipe Pejuang (The Challenger)  Leader / Boss/ Protector/ Intimidator</t>
  </si>
  <si>
    <t>Tipe pejuang ini adalah tipe manusia yang tidak mudah menyerah. Ia memiliki semangat baja dan memiliki pengendalian diri yang luar biasa. Ia tidak ingin orang lain sampai melihat kelemahannya. Ia pun amat mandiri dan tidak ingin bergantung pada orang lain, amat percaya diri dengan kemampuannya. Ia yakin segala sesuatu bisa ia kerjakan sendiri, sikap positif yang luar biasa. Namun, ia cenderung otoriter dan ingin menguasai orang lain. Yang jelas orang dengan tipe seperti ini tidak bisa diperintah atau berada di bawah kendali orang lain. Seorang dengan tipe pejuang adalah seseorang dengan tipe pemberontak. Ia tidak suka berada dalam sebuah sistem yang represif (Pengendalian sosial yang bertujuan untuk mengembalikan keserasian yang pernah terganggu karena terjadinya suatu pelanggaran dengan cara menjatuhkan sanksi sesuai dengan pelanggaran yang dilakukan. Contohnya, sanksi skors diberikan kepada siswa yang sering melanggar). Seorang tipe pejuang juga tidak sensitif terhadap orang-orang di sekitarnya. Ia tidak suka hal-hal yang sifatnya artifisial (Bahasa artifisial atau bahasa buatan atau bahasa terkonstruksi). Ia tidak terlalu menyukai orang-orang yang sangat 'jaga image'.</t>
  </si>
  <si>
    <t>Tipe Pejuang :</t>
  </si>
  <si>
    <t>Tidak mudah menyerah, Semangat baja, Mandiri, Percaya diri, Otoriter, Tidak sensitive, Kurang memiliki sifat Empati.</t>
  </si>
  <si>
    <t>9. Tipe Pendamai (The Mediator) Peacemaker / Mediator/ Accomodator</t>
  </si>
  <si>
    <t>Tipe pendamai adalah tipe manusia yang tidak suka dengan konflik. Ia amat menjaga kedamaian dirinya serta orang-orang yang di sekitarnya. Jika harus memilih antara dua pihak yang berkecamuk, ia akan berusaha mengambil jalan tengah, sehingga tida ada satu pun yang akan tersinggung. Ada yang memiliki perasaan halus dan lembut, ada juga yang amat mandiri dan amat keras. Sebagai seorang teman, tipe pendamai ini adalah kawan yang amat menyenangkan. Ia adalah orang yang amat sabar dan diplomatis. Jika sedang berselisih paham, ia akan selalu berusaha mencari kata-kata yang amat diplomatis, sehingga lawan bicaranya tidak akan sakit hati. Namun,  mereka amat pasif dan kesannya amat pemalu. Ia bukan tipe orang yang akan lantang berbicara, atau melakukan tindakan-tindakan yang memulai sebuah gerakan. Sikapnya itu sebenarnya juga didorong oleh sifat apatis dalam dirinya. Ia lebih bersikap tidak mau tahu atau tidak mau berada dalam posisi yang membahayakan. Seringkali ia bersikap cari aman.</t>
  </si>
  <si>
    <t>Tipe Pendamai:</t>
  </si>
  <si>
    <t>Tidak suka konflik, Diplomatis, Sabar, Apresiasif, Pendengar yang baik, Pasif, Cari aman, Pelupa.</t>
  </si>
  <si>
    <t>rvra.consultant@gmail.com</t>
  </si>
  <si>
    <t>TES KEPRIBADIAN ENNEAGRAM</t>
  </si>
  <si>
    <t>Klik Tipe dari Enneagram Untuk Melihat Interpretasinya</t>
  </si>
  <si>
    <t>Klik Tab Untuk Melihat Grafik Tes Enneagram</t>
  </si>
</sst>
</file>

<file path=xl/styles.xml><?xml version="1.0" encoding="utf-8"?>
<styleSheet xmlns="http://schemas.openxmlformats.org/spreadsheetml/2006/main" xmlns:mc="http://schemas.openxmlformats.org/markup-compatibility/2006" xmlns:x14ac="http://schemas.microsoft.com/office/spreadsheetml/2009/9/ac" mc:Ignorable="x14ac">
  <fonts count="38" x14ac:knownFonts="1">
    <font>
      <sz val="10"/>
      <name val="Arial"/>
    </font>
    <font>
      <b/>
      <sz val="10"/>
      <name val="Arial"/>
      <family val="2"/>
    </font>
    <font>
      <sz val="10"/>
      <name val="Arial"/>
      <family val="2"/>
    </font>
    <font>
      <b/>
      <sz val="10"/>
      <color indexed="8"/>
      <name val="Arial"/>
      <family val="2"/>
    </font>
    <font>
      <sz val="10"/>
      <color indexed="8"/>
      <name val="Arial"/>
      <family val="2"/>
    </font>
    <font>
      <sz val="11.5"/>
      <color indexed="8"/>
      <name val="Arial"/>
      <family val="2"/>
    </font>
    <font>
      <b/>
      <sz val="11.5"/>
      <color indexed="8"/>
      <name val="Arial"/>
      <family val="2"/>
    </font>
    <font>
      <u/>
      <sz val="10"/>
      <color indexed="12"/>
      <name val="Arial"/>
      <family val="2"/>
    </font>
    <font>
      <b/>
      <u/>
      <sz val="10"/>
      <color indexed="12"/>
      <name val="Arial"/>
      <family val="2"/>
    </font>
    <font>
      <sz val="11.5"/>
      <color indexed="8"/>
      <name val="Bookman Old Style"/>
      <family val="1"/>
    </font>
    <font>
      <b/>
      <i/>
      <sz val="12"/>
      <color indexed="8"/>
      <name val="Arial"/>
      <family val="2"/>
    </font>
    <font>
      <u/>
      <sz val="10"/>
      <color indexed="12"/>
      <name val="Arial"/>
      <family val="2"/>
    </font>
    <font>
      <sz val="15"/>
      <color indexed="40"/>
      <name val="Times New Roman"/>
      <family val="1"/>
    </font>
    <font>
      <b/>
      <sz val="15"/>
      <color indexed="36"/>
      <name val="Times New Roman"/>
      <family val="1"/>
    </font>
    <font>
      <b/>
      <sz val="15"/>
      <color rgb="FFE36C0A"/>
      <name val="Times New Roman"/>
      <family val="1"/>
    </font>
    <font>
      <sz val="15"/>
      <color rgb="FF292929"/>
      <name val="Times New Roman"/>
      <family val="1"/>
    </font>
    <font>
      <b/>
      <sz val="15"/>
      <color rgb="FF00B0F0"/>
      <name val="Times New Roman"/>
      <family val="1"/>
    </font>
    <font>
      <b/>
      <sz val="15"/>
      <color rgb="FF5F497A"/>
      <name val="Times New Roman"/>
      <family val="1"/>
    </font>
    <font>
      <b/>
      <sz val="15"/>
      <color rgb="FF7030A0"/>
      <name val="Times New Roman"/>
      <family val="1"/>
    </font>
    <font>
      <b/>
      <sz val="15"/>
      <color rgb="FFFF00FF"/>
      <name val="Times New Roman"/>
      <family val="1"/>
    </font>
    <font>
      <b/>
      <sz val="15"/>
      <color rgb="FF00B050"/>
      <name val="Times New Roman"/>
      <family val="1"/>
    </font>
    <font>
      <b/>
      <sz val="15"/>
      <color rgb="FF1F497D"/>
      <name val="Times New Roman"/>
      <family val="1"/>
    </font>
    <font>
      <b/>
      <sz val="15"/>
      <color rgb="FFFF9900"/>
      <name val="Times New Roman"/>
      <family val="1"/>
    </font>
    <font>
      <b/>
      <sz val="15"/>
      <color rgb="FFFF0000"/>
      <name val="Times New Roman"/>
      <family val="1"/>
    </font>
    <font>
      <b/>
      <sz val="15"/>
      <color rgb="FF7F7F7F"/>
      <name val="Times New Roman"/>
      <family val="1"/>
    </font>
    <font>
      <sz val="10"/>
      <color theme="0"/>
      <name val="Arial"/>
      <family val="2"/>
    </font>
    <font>
      <b/>
      <i/>
      <sz val="10"/>
      <color theme="0"/>
      <name val="Arial"/>
      <family val="2"/>
    </font>
    <font>
      <i/>
      <sz val="10"/>
      <color theme="0"/>
      <name val="Arial"/>
      <family val="2"/>
    </font>
    <font>
      <b/>
      <sz val="11.5"/>
      <color theme="0"/>
      <name val="Arial"/>
      <family val="2"/>
    </font>
    <font>
      <sz val="11.5"/>
      <color theme="0"/>
      <name val="Arial"/>
      <family val="2"/>
    </font>
    <font>
      <b/>
      <sz val="8"/>
      <color theme="0"/>
      <name val="Arial"/>
      <family val="2"/>
    </font>
    <font>
      <i/>
      <sz val="8"/>
      <color theme="0"/>
      <name val="Arial"/>
      <family val="2"/>
    </font>
    <font>
      <sz val="8"/>
      <color theme="0"/>
      <name val="Arial"/>
      <family val="2"/>
    </font>
    <font>
      <b/>
      <i/>
      <sz val="8"/>
      <color theme="0"/>
      <name val="Arial"/>
      <family val="2"/>
    </font>
    <font>
      <b/>
      <sz val="36"/>
      <color theme="0"/>
      <name val="Bookman Old Style"/>
      <family val="1"/>
    </font>
    <font>
      <b/>
      <sz val="10"/>
      <color theme="0"/>
      <name val="Arial"/>
      <family val="2"/>
    </font>
    <font>
      <b/>
      <i/>
      <sz val="10"/>
      <color rgb="FFFF0000"/>
      <name val="Bookman Old Style"/>
      <family val="1"/>
    </font>
    <font>
      <b/>
      <i/>
      <sz val="14"/>
      <color rgb="FFFF0000"/>
      <name val="Bookman Old Style"/>
      <family val="1"/>
    </font>
  </fonts>
  <fills count="10">
    <fill>
      <patternFill patternType="none"/>
    </fill>
    <fill>
      <patternFill patternType="gray125"/>
    </fill>
    <fill>
      <patternFill patternType="solid">
        <fgColor indexed="9"/>
        <bgColor indexed="64"/>
      </patternFill>
    </fill>
    <fill>
      <patternFill patternType="solid">
        <fgColor indexed="41"/>
        <bgColor indexed="64"/>
      </patternFill>
    </fill>
    <fill>
      <patternFill patternType="solid">
        <fgColor indexed="27"/>
        <bgColor indexed="64"/>
      </patternFill>
    </fill>
    <fill>
      <patternFill patternType="solid">
        <fgColor indexed="49"/>
        <bgColor indexed="24"/>
      </patternFill>
    </fill>
    <fill>
      <patternFill patternType="solid">
        <fgColor indexed="52"/>
        <bgColor indexed="64"/>
      </patternFill>
    </fill>
    <fill>
      <patternFill patternType="solid">
        <fgColor theme="0"/>
        <bgColor indexed="64"/>
      </patternFill>
    </fill>
    <fill>
      <patternFill patternType="solid">
        <fgColor theme="0"/>
        <bgColor indexed="24"/>
      </patternFill>
    </fill>
    <fill>
      <patternFill patternType="solid">
        <fgColor theme="4" tint="-0.249977111117893"/>
        <bgColor indexed="64"/>
      </patternFill>
    </fill>
  </fills>
  <borders count="1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bottom style="thin">
        <color indexed="64"/>
      </bottom>
      <diagonal/>
    </border>
    <border>
      <left style="thin">
        <color indexed="64"/>
      </left>
      <right/>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82">
    <xf numFmtId="0" fontId="0" fillId="0" borderId="0" xfId="0"/>
    <xf numFmtId="0" fontId="0" fillId="0" borderId="0" xfId="0" applyAlignment="1">
      <alignment horizontal="center" vertical="center"/>
    </xf>
    <xf numFmtId="0" fontId="2" fillId="2" borderId="0" xfId="0" applyFont="1" applyFill="1" applyAlignment="1">
      <alignment horizontal="left" vertical="center" wrapText="1" indent="1"/>
    </xf>
    <xf numFmtId="0" fontId="2" fillId="2" borderId="0" xfId="0" applyFont="1" applyFill="1" applyBorder="1" applyAlignment="1" applyProtection="1">
      <alignment horizontal="centerContinuous" vertical="center"/>
      <protection locked="0"/>
    </xf>
    <xf numFmtId="0" fontId="0" fillId="3" borderId="0" xfId="0" applyFill="1"/>
    <xf numFmtId="0" fontId="0" fillId="3" borderId="0" xfId="0" applyFill="1" applyAlignment="1">
      <alignment horizontal="center" vertical="center"/>
    </xf>
    <xf numFmtId="0" fontId="0" fillId="3" borderId="0" xfId="0" applyFill="1" applyAlignment="1">
      <alignment horizontal="centerContinuous" vertical="center"/>
    </xf>
    <xf numFmtId="0" fontId="2" fillId="3" borderId="0" xfId="0" applyFont="1" applyFill="1" applyAlignment="1">
      <alignment horizontal="left" vertical="center" wrapText="1" indent="1"/>
    </xf>
    <xf numFmtId="0" fontId="2" fillId="3" borderId="0" xfId="0" applyFont="1" applyFill="1" applyBorder="1" applyAlignment="1" applyProtection="1">
      <alignment horizontal="centerContinuous" vertical="center"/>
      <protection locked="0"/>
    </xf>
    <xf numFmtId="0" fontId="1" fillId="3" borderId="0" xfId="0" applyFont="1" applyFill="1" applyAlignment="1">
      <alignment horizontal="center" vertical="center"/>
    </xf>
    <xf numFmtId="0" fontId="0" fillId="0" borderId="0" xfId="0" applyFill="1"/>
    <xf numFmtId="0" fontId="9" fillId="4" borderId="0" xfId="0" applyFont="1" applyFill="1" applyAlignment="1">
      <alignment horizontal="left" vertical="center" wrapText="1" indent="1"/>
    </xf>
    <xf numFmtId="0" fontId="0" fillId="7" borderId="0" xfId="0" applyFill="1" applyAlignment="1">
      <alignment vertical="top"/>
    </xf>
    <xf numFmtId="0" fontId="14" fillId="7" borderId="1" xfId="0" applyFont="1" applyFill="1" applyBorder="1" applyAlignment="1">
      <alignment horizontal="justify" vertical="top" wrapText="1"/>
    </xf>
    <xf numFmtId="0" fontId="15" fillId="7" borderId="2" xfId="0" applyFont="1" applyFill="1" applyBorder="1" applyAlignment="1">
      <alignment horizontal="justify" vertical="top" wrapText="1"/>
    </xf>
    <xf numFmtId="0" fontId="14" fillId="7" borderId="2" xfId="0" applyFont="1" applyFill="1" applyBorder="1" applyAlignment="1">
      <alignment horizontal="justify" vertical="top" wrapText="1"/>
    </xf>
    <xf numFmtId="0" fontId="14" fillId="7" borderId="3" xfId="0" applyFont="1" applyFill="1" applyBorder="1" applyAlignment="1">
      <alignment horizontal="justify" vertical="top" wrapText="1"/>
    </xf>
    <xf numFmtId="0" fontId="16" fillId="7" borderId="1" xfId="0" applyFont="1" applyFill="1" applyBorder="1" applyAlignment="1">
      <alignment horizontal="justify" vertical="top" wrapText="1"/>
    </xf>
    <xf numFmtId="0" fontId="16" fillId="7" borderId="2" xfId="0" applyFont="1" applyFill="1" applyBorder="1" applyAlignment="1">
      <alignment horizontal="justify" vertical="top" wrapText="1"/>
    </xf>
    <xf numFmtId="0" fontId="16" fillId="7" borderId="3" xfId="0" applyFont="1" applyFill="1" applyBorder="1" applyAlignment="1">
      <alignment horizontal="justify" vertical="top" wrapText="1"/>
    </xf>
    <xf numFmtId="0" fontId="17" fillId="7" borderId="1" xfId="0" applyFont="1" applyFill="1" applyBorder="1" applyAlignment="1">
      <alignment horizontal="justify" vertical="top" wrapText="1"/>
    </xf>
    <xf numFmtId="0" fontId="18" fillId="7" borderId="2" xfId="0" applyFont="1" applyFill="1" applyBorder="1" applyAlignment="1">
      <alignment horizontal="justify" vertical="top" wrapText="1"/>
    </xf>
    <xf numFmtId="0" fontId="18" fillId="7" borderId="3" xfId="0" applyFont="1" applyFill="1" applyBorder="1" applyAlignment="1">
      <alignment horizontal="justify" vertical="top" wrapText="1"/>
    </xf>
    <xf numFmtId="0" fontId="19" fillId="7" borderId="1" xfId="0" applyFont="1" applyFill="1" applyBorder="1" applyAlignment="1">
      <alignment horizontal="justify" vertical="top" wrapText="1"/>
    </xf>
    <xf numFmtId="0" fontId="19" fillId="7" borderId="2" xfId="0" applyFont="1" applyFill="1" applyBorder="1" applyAlignment="1">
      <alignment horizontal="justify" vertical="top" wrapText="1"/>
    </xf>
    <xf numFmtId="0" fontId="19" fillId="7" borderId="3" xfId="0" applyFont="1" applyFill="1" applyBorder="1" applyAlignment="1">
      <alignment horizontal="justify" vertical="top" wrapText="1"/>
    </xf>
    <xf numFmtId="0" fontId="20" fillId="7" borderId="1" xfId="0" applyFont="1" applyFill="1" applyBorder="1" applyAlignment="1">
      <alignment horizontal="justify" vertical="top" wrapText="1"/>
    </xf>
    <xf numFmtId="0" fontId="20" fillId="7" borderId="2" xfId="0" applyFont="1" applyFill="1" applyBorder="1" applyAlignment="1">
      <alignment horizontal="justify" vertical="top" wrapText="1"/>
    </xf>
    <xf numFmtId="0" fontId="20" fillId="7" borderId="3" xfId="0" applyFont="1" applyFill="1" applyBorder="1" applyAlignment="1">
      <alignment horizontal="justify" vertical="top" wrapText="1"/>
    </xf>
    <xf numFmtId="0" fontId="21" fillId="7" borderId="1" xfId="0" applyFont="1" applyFill="1" applyBorder="1" applyAlignment="1">
      <alignment horizontal="justify" vertical="top" wrapText="1"/>
    </xf>
    <xf numFmtId="0" fontId="21" fillId="7" borderId="2" xfId="0" applyFont="1" applyFill="1" applyBorder="1" applyAlignment="1">
      <alignment horizontal="justify" vertical="top" wrapText="1"/>
    </xf>
    <xf numFmtId="0" fontId="21" fillId="7" borderId="3" xfId="0" applyFont="1" applyFill="1" applyBorder="1" applyAlignment="1">
      <alignment horizontal="justify" vertical="top" wrapText="1"/>
    </xf>
    <xf numFmtId="0" fontId="22" fillId="7" borderId="1" xfId="0" applyFont="1" applyFill="1" applyBorder="1" applyAlignment="1">
      <alignment horizontal="justify" vertical="top" wrapText="1"/>
    </xf>
    <xf numFmtId="0" fontId="22" fillId="7" borderId="2" xfId="0" applyFont="1" applyFill="1" applyBorder="1" applyAlignment="1">
      <alignment horizontal="justify" vertical="top" wrapText="1"/>
    </xf>
    <xf numFmtId="0" fontId="22" fillId="7" borderId="3" xfId="0" applyFont="1" applyFill="1" applyBorder="1" applyAlignment="1">
      <alignment horizontal="justify" vertical="top" wrapText="1"/>
    </xf>
    <xf numFmtId="0" fontId="23" fillId="7" borderId="1" xfId="0" applyFont="1" applyFill="1" applyBorder="1" applyAlignment="1">
      <alignment horizontal="justify" vertical="top" wrapText="1"/>
    </xf>
    <xf numFmtId="0" fontId="23" fillId="7" borderId="2" xfId="0" applyFont="1" applyFill="1" applyBorder="1" applyAlignment="1">
      <alignment horizontal="justify" vertical="top" wrapText="1"/>
    </xf>
    <xf numFmtId="0" fontId="23" fillId="7" borderId="3" xfId="0" applyFont="1" applyFill="1" applyBorder="1" applyAlignment="1">
      <alignment horizontal="justify" vertical="top" wrapText="1"/>
    </xf>
    <xf numFmtId="0" fontId="24" fillId="7" borderId="1" xfId="0" applyFont="1" applyFill="1" applyBorder="1" applyAlignment="1">
      <alignment horizontal="justify" vertical="top" wrapText="1"/>
    </xf>
    <xf numFmtId="0" fontId="24" fillId="7" borderId="2" xfId="0" applyFont="1" applyFill="1" applyBorder="1" applyAlignment="1">
      <alignment horizontal="justify" vertical="top" wrapText="1"/>
    </xf>
    <xf numFmtId="0" fontId="24" fillId="7" borderId="3" xfId="0" applyFont="1" applyFill="1" applyBorder="1" applyAlignment="1">
      <alignment horizontal="justify" vertical="top" wrapText="1"/>
    </xf>
    <xf numFmtId="0" fontId="25" fillId="7" borderId="0" xfId="0" applyFont="1" applyFill="1" applyAlignment="1">
      <alignment horizontal="left" vertical="center" wrapText="1" indent="1"/>
    </xf>
    <xf numFmtId="0" fontId="25" fillId="7" borderId="0" xfId="0" applyFont="1" applyFill="1" applyAlignment="1">
      <alignment vertical="center" wrapText="1"/>
    </xf>
    <xf numFmtId="0" fontId="25" fillId="7" borderId="0" xfId="0" applyFont="1" applyFill="1" applyAlignment="1">
      <alignment horizontal="center" vertical="center"/>
    </xf>
    <xf numFmtId="0" fontId="25" fillId="7" borderId="0" xfId="0" applyFont="1" applyFill="1" applyAlignment="1">
      <alignment wrapText="1"/>
    </xf>
    <xf numFmtId="0" fontId="25" fillId="7" borderId="0" xfId="0" applyFont="1" applyFill="1"/>
    <xf numFmtId="0" fontId="26" fillId="8" borderId="0" xfId="0" applyFont="1" applyFill="1" applyAlignment="1">
      <alignment horizontal="left" vertical="center" wrapText="1" indent="1"/>
    </xf>
    <xf numFmtId="0" fontId="27" fillId="7" borderId="0" xfId="0" applyFont="1" applyFill="1" applyAlignment="1">
      <alignment vertical="center" wrapText="1"/>
    </xf>
    <xf numFmtId="0" fontId="28" fillId="7" borderId="0" xfId="0" applyFont="1" applyFill="1" applyAlignment="1">
      <alignment horizontal="left" vertical="center" wrapText="1" indent="1"/>
    </xf>
    <xf numFmtId="0" fontId="29" fillId="7" borderId="0" xfId="0" applyFont="1" applyFill="1" applyAlignment="1">
      <alignment horizontal="left" vertical="center" wrapText="1" indent="1"/>
    </xf>
    <xf numFmtId="0" fontId="30" fillId="7" borderId="0" xfId="0" applyFont="1" applyFill="1" applyAlignment="1">
      <alignment horizontal="center" vertical="center"/>
    </xf>
    <xf numFmtId="0" fontId="31" fillId="7" borderId="0" xfId="0" applyFont="1" applyFill="1" applyAlignment="1">
      <alignment horizontal="center" vertical="center"/>
    </xf>
    <xf numFmtId="0" fontId="25" fillId="7" borderId="0" xfId="0" applyFont="1" applyFill="1" applyAlignment="1">
      <alignment horizontal="left" vertical="center" wrapText="1"/>
    </xf>
    <xf numFmtId="0" fontId="32" fillId="7" borderId="0" xfId="0" applyFont="1" applyFill="1" applyAlignment="1">
      <alignment horizontal="center" vertical="center"/>
    </xf>
    <xf numFmtId="0" fontId="33" fillId="7" borderId="0" xfId="0" applyFont="1" applyFill="1" applyAlignment="1">
      <alignment horizontal="center" vertical="center"/>
    </xf>
    <xf numFmtId="0" fontId="0" fillId="7" borderId="0" xfId="0" applyFill="1"/>
    <xf numFmtId="0" fontId="7" fillId="7" borderId="0" xfId="1" applyFill="1" applyAlignment="1" applyProtection="1"/>
    <xf numFmtId="0" fontId="8" fillId="7" borderId="0" xfId="1" applyFont="1" applyFill="1" applyAlignment="1" applyProtection="1"/>
    <xf numFmtId="0" fontId="8" fillId="7" borderId="0" xfId="1" applyFont="1" applyFill="1" applyAlignment="1" applyProtection="1">
      <alignment horizontal="center"/>
    </xf>
    <xf numFmtId="0" fontId="1" fillId="7" borderId="0" xfId="0" applyFont="1" applyFill="1" applyAlignment="1"/>
    <xf numFmtId="0" fontId="0" fillId="3" borderId="4" xfId="0" applyFill="1" applyBorder="1" applyAlignment="1" applyProtection="1">
      <alignment horizontal="centerContinuous" vertical="center"/>
      <protection locked="0"/>
    </xf>
    <xf numFmtId="0" fontId="10" fillId="5" borderId="5" xfId="0" applyFont="1" applyFill="1" applyBorder="1" applyAlignment="1">
      <alignment horizontal="left" vertical="center" wrapText="1" indent="1"/>
    </xf>
    <xf numFmtId="0" fontId="9" fillId="4" borderId="6" xfId="0" applyFont="1" applyFill="1" applyBorder="1" applyAlignment="1">
      <alignment horizontal="left" vertical="center" wrapText="1" indent="1"/>
    </xf>
    <xf numFmtId="0" fontId="9" fillId="4" borderId="7" xfId="0" applyFont="1" applyFill="1" applyBorder="1" applyAlignment="1">
      <alignment horizontal="left" vertical="center" wrapText="1" indent="1"/>
    </xf>
    <xf numFmtId="0" fontId="9" fillId="4" borderId="8" xfId="0" applyFont="1" applyFill="1" applyBorder="1" applyAlignment="1">
      <alignment horizontal="left" vertical="center" wrapText="1" indent="1"/>
    </xf>
    <xf numFmtId="0" fontId="11" fillId="3" borderId="0" xfId="1" applyFont="1" applyFill="1" applyBorder="1" applyAlignment="1" applyProtection="1">
      <alignment horizontal="left" vertical="center"/>
      <protection locked="0"/>
    </xf>
    <xf numFmtId="0" fontId="0" fillId="0" borderId="9" xfId="0" applyBorder="1" applyAlignment="1" applyProtection="1">
      <alignment horizontal="centerContinuous" vertical="center"/>
      <protection locked="0"/>
    </xf>
    <xf numFmtId="0" fontId="0" fillId="0" borderId="10" xfId="0" applyBorder="1" applyAlignment="1" applyProtection="1">
      <alignment horizontal="centerContinuous" vertical="center"/>
      <protection locked="0"/>
    </xf>
    <xf numFmtId="0" fontId="0" fillId="0" borderId="11" xfId="0" applyBorder="1" applyAlignment="1" applyProtection="1">
      <alignment horizontal="centerContinuous" vertical="center"/>
      <protection locked="0"/>
    </xf>
    <xf numFmtId="0" fontId="34" fillId="9" borderId="0" xfId="0" applyFont="1" applyFill="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35" fillId="7" borderId="0" xfId="0" applyFont="1" applyFill="1" applyAlignment="1">
      <alignment horizontal="right" wrapText="1"/>
    </xf>
    <xf numFmtId="0" fontId="25" fillId="7" borderId="0" xfId="0" applyFont="1" applyFill="1" applyAlignment="1">
      <alignment horizontal="right" wrapText="1"/>
    </xf>
    <xf numFmtId="0" fontId="35" fillId="7" borderId="0" xfId="0" applyFont="1" applyFill="1" applyAlignment="1">
      <alignment horizontal="center" vertical="center"/>
    </xf>
    <xf numFmtId="0" fontId="25" fillId="7" borderId="0" xfId="0" applyFont="1" applyFill="1" applyAlignment="1">
      <alignment horizontal="center" vertical="center"/>
    </xf>
    <xf numFmtId="0" fontId="6" fillId="4" borderId="6" xfId="0" applyFont="1" applyFill="1" applyBorder="1" applyAlignment="1">
      <alignment horizontal="left" vertical="center" wrapText="1" indent="1"/>
    </xf>
    <xf numFmtId="0" fontId="5" fillId="4" borderId="6" xfId="0" applyFont="1" applyFill="1" applyBorder="1" applyAlignment="1">
      <alignment horizontal="left" vertical="center" wrapText="1" indent="1"/>
    </xf>
    <xf numFmtId="0" fontId="3" fillId="6" borderId="11" xfId="0" applyFont="1" applyFill="1" applyBorder="1" applyAlignment="1" applyProtection="1">
      <alignment horizontal="center" vertical="center"/>
      <protection locked="0"/>
    </xf>
    <xf numFmtId="0" fontId="4" fillId="6" borderId="11" xfId="0" applyFont="1" applyFill="1" applyBorder="1" applyAlignment="1" applyProtection="1">
      <alignment horizontal="center" vertical="center"/>
      <protection locked="0"/>
    </xf>
    <xf numFmtId="0" fontId="36" fillId="7" borderId="0" xfId="0" applyFont="1" applyFill="1" applyAlignment="1">
      <alignment horizontal="left" vertical="center" wrapText="1"/>
    </xf>
    <xf numFmtId="0" fontId="37" fillId="7"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75" b="1" i="0" u="sng" strike="noStrike" baseline="0">
                <a:solidFill>
                  <a:srgbClr val="000000"/>
                </a:solidFill>
                <a:latin typeface="Arial"/>
                <a:ea typeface="Arial"/>
                <a:cs typeface="Arial"/>
              </a:defRPr>
            </a:pPr>
            <a:r>
              <a:rPr lang="en-ID"/>
              <a:t>Grafik Hasil Tes Enneagram</a:t>
            </a:r>
          </a:p>
        </c:rich>
      </c:tx>
      <c:layout>
        <c:manualLayout>
          <c:xMode val="edge"/>
          <c:yMode val="edge"/>
          <c:x val="0.26158476827167904"/>
          <c:y val="0.12306438467807661"/>
        </c:manualLayout>
      </c:layout>
      <c:overlay val="0"/>
      <c:spPr>
        <a:noFill/>
        <a:ln w="25400">
          <a:noFill/>
        </a:ln>
      </c:spPr>
    </c:title>
    <c:autoTitleDeleted val="0"/>
    <c:plotArea>
      <c:layout>
        <c:manualLayout>
          <c:layoutTarget val="inner"/>
          <c:xMode val="edge"/>
          <c:yMode val="edge"/>
          <c:x val="0.1733933771740955"/>
          <c:y val="0.3276287529950539"/>
          <c:w val="0.78923882024071057"/>
          <c:h val="0.47921817602261618"/>
        </c:manualLayout>
      </c:layout>
      <c:barChart>
        <c:barDir val="col"/>
        <c:grouping val="clustered"/>
        <c:varyColors val="0"/>
        <c:ser>
          <c:idx val="0"/>
          <c:order val="0"/>
          <c:spPr>
            <a:solidFill>
              <a:srgbClr val="00FFFF"/>
            </a:solidFill>
            <a:ln w="12700">
              <a:solidFill>
                <a:srgbClr val="000000"/>
              </a:solidFill>
              <a:prstDash val="solid"/>
            </a:ln>
          </c:spPr>
          <c:invertIfNegative val="0"/>
          <c:dPt>
            <c:idx val="0"/>
            <c:invertIfNegative val="0"/>
            <c:bubble3D val="0"/>
            <c:spPr>
              <a:solidFill>
                <a:srgbClr val="FF0000"/>
              </a:solidFill>
              <a:ln w="12700">
                <a:solidFill>
                  <a:srgbClr val="000000"/>
                </a:solidFill>
                <a:prstDash val="solid"/>
              </a:ln>
            </c:spPr>
            <c:extLst xmlns:c16r2="http://schemas.microsoft.com/office/drawing/2015/06/chart">
              <c:ext xmlns:c16="http://schemas.microsoft.com/office/drawing/2014/chart" uri="{C3380CC4-5D6E-409C-BE32-E72D297353CC}">
                <c16:uniqueId val="{00000000-02BD-4F26-B511-33E965FDE41D}"/>
              </c:ext>
            </c:extLst>
          </c:dPt>
          <c:dPt>
            <c:idx val="1"/>
            <c:invertIfNegative val="0"/>
            <c:bubble3D val="0"/>
            <c:spPr>
              <a:solidFill>
                <a:srgbClr val="FF9900"/>
              </a:solidFill>
              <a:ln w="12700">
                <a:solidFill>
                  <a:srgbClr val="000000"/>
                </a:solidFill>
                <a:prstDash val="solid"/>
              </a:ln>
            </c:spPr>
            <c:extLst xmlns:c16r2="http://schemas.microsoft.com/office/drawing/2015/06/chart">
              <c:ext xmlns:c16="http://schemas.microsoft.com/office/drawing/2014/chart" uri="{C3380CC4-5D6E-409C-BE32-E72D297353CC}">
                <c16:uniqueId val="{00000001-02BD-4F26-B511-33E965FDE41D}"/>
              </c:ext>
            </c:extLst>
          </c:dPt>
          <c:dPt>
            <c:idx val="2"/>
            <c:invertIfNegative val="0"/>
            <c:bubble3D val="0"/>
            <c:spPr>
              <a:solidFill>
                <a:srgbClr val="FFFF00"/>
              </a:solidFill>
              <a:ln w="12700">
                <a:solidFill>
                  <a:srgbClr val="000000"/>
                </a:solidFill>
                <a:prstDash val="solid"/>
              </a:ln>
            </c:spPr>
            <c:extLst xmlns:c16r2="http://schemas.microsoft.com/office/drawing/2015/06/chart">
              <c:ext xmlns:c16="http://schemas.microsoft.com/office/drawing/2014/chart" uri="{C3380CC4-5D6E-409C-BE32-E72D297353CC}">
                <c16:uniqueId val="{00000002-02BD-4F26-B511-33E965FDE41D}"/>
              </c:ext>
            </c:extLst>
          </c:dPt>
          <c:dPt>
            <c:idx val="3"/>
            <c:invertIfNegative val="0"/>
            <c:bubble3D val="0"/>
            <c:spPr>
              <a:solidFill>
                <a:srgbClr val="00FF00"/>
              </a:solidFill>
              <a:ln w="12700">
                <a:solidFill>
                  <a:srgbClr val="000000"/>
                </a:solidFill>
                <a:prstDash val="solid"/>
              </a:ln>
            </c:spPr>
            <c:extLst xmlns:c16r2="http://schemas.microsoft.com/office/drawing/2015/06/chart">
              <c:ext xmlns:c16="http://schemas.microsoft.com/office/drawing/2014/chart" uri="{C3380CC4-5D6E-409C-BE32-E72D297353CC}">
                <c16:uniqueId val="{00000003-02BD-4F26-B511-33E965FDE41D}"/>
              </c:ext>
            </c:extLst>
          </c:dPt>
          <c:dPt>
            <c:idx val="4"/>
            <c:invertIfNegative val="0"/>
            <c:bubble3D val="0"/>
            <c:spPr>
              <a:solidFill>
                <a:srgbClr val="339966"/>
              </a:solidFill>
              <a:ln w="12700">
                <a:solidFill>
                  <a:srgbClr val="000000"/>
                </a:solidFill>
                <a:prstDash val="solid"/>
              </a:ln>
            </c:spPr>
            <c:extLst xmlns:c16r2="http://schemas.microsoft.com/office/drawing/2015/06/chart">
              <c:ext xmlns:c16="http://schemas.microsoft.com/office/drawing/2014/chart" uri="{C3380CC4-5D6E-409C-BE32-E72D297353CC}">
                <c16:uniqueId val="{00000004-02BD-4F26-B511-33E965FDE41D}"/>
              </c:ext>
            </c:extLst>
          </c:dPt>
          <c:dPt>
            <c:idx val="5"/>
            <c:invertIfNegative val="0"/>
            <c:bubble3D val="0"/>
            <c:spPr>
              <a:solidFill>
                <a:srgbClr val="33CCCC"/>
              </a:solidFill>
              <a:ln w="12700">
                <a:solidFill>
                  <a:srgbClr val="000000"/>
                </a:solidFill>
                <a:prstDash val="solid"/>
              </a:ln>
            </c:spPr>
            <c:extLst xmlns:c16r2="http://schemas.microsoft.com/office/drawing/2015/06/chart">
              <c:ext xmlns:c16="http://schemas.microsoft.com/office/drawing/2014/chart" uri="{C3380CC4-5D6E-409C-BE32-E72D297353CC}">
                <c16:uniqueId val="{00000005-02BD-4F26-B511-33E965FDE41D}"/>
              </c:ext>
            </c:extLst>
          </c:dPt>
          <c:dPt>
            <c:idx val="6"/>
            <c:invertIfNegative val="0"/>
            <c:bubble3D val="0"/>
            <c:spPr>
              <a:solidFill>
                <a:srgbClr val="3366FF"/>
              </a:solidFill>
              <a:ln w="12700">
                <a:solidFill>
                  <a:srgbClr val="000000"/>
                </a:solidFill>
                <a:prstDash val="solid"/>
              </a:ln>
            </c:spPr>
            <c:extLst xmlns:c16r2="http://schemas.microsoft.com/office/drawing/2015/06/chart">
              <c:ext xmlns:c16="http://schemas.microsoft.com/office/drawing/2014/chart" uri="{C3380CC4-5D6E-409C-BE32-E72D297353CC}">
                <c16:uniqueId val="{00000006-02BD-4F26-B511-33E965FDE41D}"/>
              </c:ext>
            </c:extLst>
          </c:dPt>
          <c:dPt>
            <c:idx val="7"/>
            <c:invertIfNegative val="0"/>
            <c:bubble3D val="0"/>
            <c:spPr>
              <a:solidFill>
                <a:srgbClr val="800080"/>
              </a:solidFill>
              <a:ln w="12700">
                <a:solidFill>
                  <a:srgbClr val="000000"/>
                </a:solidFill>
                <a:prstDash val="solid"/>
              </a:ln>
            </c:spPr>
            <c:extLst xmlns:c16r2="http://schemas.microsoft.com/office/drawing/2015/06/chart">
              <c:ext xmlns:c16="http://schemas.microsoft.com/office/drawing/2014/chart" uri="{C3380CC4-5D6E-409C-BE32-E72D297353CC}">
                <c16:uniqueId val="{00000007-02BD-4F26-B511-33E965FDE41D}"/>
              </c:ext>
            </c:extLst>
          </c:dPt>
          <c:dPt>
            <c:idx val="8"/>
            <c:invertIfNegative val="0"/>
            <c:bubble3D val="0"/>
            <c:spPr>
              <a:solidFill>
                <a:srgbClr val="FF00FF"/>
              </a:solidFill>
              <a:ln w="12700">
                <a:solidFill>
                  <a:srgbClr val="000000"/>
                </a:solidFill>
                <a:prstDash val="solid"/>
              </a:ln>
            </c:spPr>
            <c:extLst xmlns:c16r2="http://schemas.microsoft.com/office/drawing/2015/06/chart">
              <c:ext xmlns:c16="http://schemas.microsoft.com/office/drawing/2014/chart" uri="{C3380CC4-5D6E-409C-BE32-E72D297353CC}">
                <c16:uniqueId val="{00000008-02BD-4F26-B511-33E965FDE41D}"/>
              </c:ext>
            </c:extLst>
          </c:dPt>
          <c:dLbls>
            <c:dLbl>
              <c:idx val="0"/>
              <c:layout/>
              <c:spPr>
                <a:noFill/>
                <a:ln w="25400">
                  <a:noFill/>
                </a:ln>
              </c:spPr>
              <c:txPr>
                <a:bodyPr/>
                <a:lstStyle/>
                <a:p>
                  <a:pPr>
                    <a:defRPr sz="1125" b="0" i="0" u="none" strike="noStrike" baseline="0">
                      <a:solidFill>
                        <a:srgbClr val="000000"/>
                      </a:solidFill>
                      <a:latin typeface="Arial"/>
                      <a:ea typeface="Arial"/>
                      <a:cs typeface="Arial"/>
                    </a:defRPr>
                  </a:pPr>
                  <a:endParaRPr lang="id-ID"/>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0-02BD-4F26-B511-33E965FDE41D}"/>
                </c:ext>
              </c:extLst>
            </c:dLbl>
            <c:dLbl>
              <c:idx val="1"/>
              <c:layout/>
              <c:spPr>
                <a:noFill/>
                <a:ln w="25400">
                  <a:noFill/>
                </a:ln>
              </c:spPr>
              <c:txPr>
                <a:bodyPr/>
                <a:lstStyle/>
                <a:p>
                  <a:pPr>
                    <a:defRPr sz="1125" b="0" i="0" u="none" strike="noStrike" baseline="0">
                      <a:solidFill>
                        <a:srgbClr val="000000"/>
                      </a:solidFill>
                      <a:latin typeface="Arial"/>
                      <a:ea typeface="Arial"/>
                      <a:cs typeface="Arial"/>
                    </a:defRPr>
                  </a:pPr>
                  <a:endParaRPr lang="id-ID"/>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1-02BD-4F26-B511-33E965FDE41D}"/>
                </c:ext>
              </c:extLst>
            </c:dLbl>
            <c:dLbl>
              <c:idx val="2"/>
              <c:layout/>
              <c:spPr>
                <a:noFill/>
                <a:ln w="25400">
                  <a:noFill/>
                </a:ln>
              </c:spPr>
              <c:txPr>
                <a:bodyPr/>
                <a:lstStyle/>
                <a:p>
                  <a:pPr>
                    <a:defRPr sz="1125" b="0" i="0" u="none" strike="noStrike" baseline="0">
                      <a:solidFill>
                        <a:srgbClr val="000000"/>
                      </a:solidFill>
                      <a:latin typeface="Arial"/>
                      <a:ea typeface="Arial"/>
                      <a:cs typeface="Arial"/>
                    </a:defRPr>
                  </a:pPr>
                  <a:endParaRPr lang="id-ID"/>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2-02BD-4F26-B511-33E965FDE41D}"/>
                </c:ext>
              </c:extLst>
            </c:dLbl>
            <c:dLbl>
              <c:idx val="3"/>
              <c:layout/>
              <c:spPr>
                <a:noFill/>
                <a:ln w="25400">
                  <a:noFill/>
                </a:ln>
              </c:spPr>
              <c:txPr>
                <a:bodyPr/>
                <a:lstStyle/>
                <a:p>
                  <a:pPr>
                    <a:defRPr sz="1125" b="0" i="0" u="none" strike="noStrike" baseline="0">
                      <a:solidFill>
                        <a:srgbClr val="000000"/>
                      </a:solidFill>
                      <a:latin typeface="Arial"/>
                      <a:ea typeface="Arial"/>
                      <a:cs typeface="Arial"/>
                    </a:defRPr>
                  </a:pPr>
                  <a:endParaRPr lang="id-ID"/>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3-02BD-4F26-B511-33E965FDE41D}"/>
                </c:ext>
              </c:extLst>
            </c:dLbl>
            <c:dLbl>
              <c:idx val="4"/>
              <c:layout/>
              <c:spPr>
                <a:noFill/>
                <a:ln w="25400">
                  <a:noFill/>
                </a:ln>
              </c:spPr>
              <c:txPr>
                <a:bodyPr/>
                <a:lstStyle/>
                <a:p>
                  <a:pPr>
                    <a:defRPr sz="1125" b="0" i="0" u="none" strike="noStrike" baseline="0">
                      <a:solidFill>
                        <a:srgbClr val="000000"/>
                      </a:solidFill>
                      <a:latin typeface="Arial"/>
                      <a:ea typeface="Arial"/>
                      <a:cs typeface="Arial"/>
                    </a:defRPr>
                  </a:pPr>
                  <a:endParaRPr lang="id-ID"/>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4-02BD-4F26-B511-33E965FDE41D}"/>
                </c:ext>
              </c:extLst>
            </c:dLbl>
            <c:dLbl>
              <c:idx val="5"/>
              <c:layout/>
              <c:spPr>
                <a:noFill/>
                <a:ln w="25400">
                  <a:noFill/>
                </a:ln>
              </c:spPr>
              <c:txPr>
                <a:bodyPr/>
                <a:lstStyle/>
                <a:p>
                  <a:pPr>
                    <a:defRPr sz="1125" b="0" i="0" u="none" strike="noStrike" baseline="0">
                      <a:solidFill>
                        <a:srgbClr val="000000"/>
                      </a:solidFill>
                      <a:latin typeface="Arial"/>
                      <a:ea typeface="Arial"/>
                      <a:cs typeface="Arial"/>
                    </a:defRPr>
                  </a:pPr>
                  <a:endParaRPr lang="id-ID"/>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5-02BD-4F26-B511-33E965FDE41D}"/>
                </c:ext>
              </c:extLst>
            </c:dLbl>
            <c:dLbl>
              <c:idx val="6"/>
              <c:layout/>
              <c:spPr>
                <a:noFill/>
                <a:ln w="25400">
                  <a:noFill/>
                </a:ln>
              </c:spPr>
              <c:txPr>
                <a:bodyPr/>
                <a:lstStyle/>
                <a:p>
                  <a:pPr>
                    <a:defRPr sz="1125" b="0" i="0" u="none" strike="noStrike" baseline="0">
                      <a:solidFill>
                        <a:srgbClr val="000000"/>
                      </a:solidFill>
                      <a:latin typeface="Arial"/>
                      <a:ea typeface="Arial"/>
                      <a:cs typeface="Arial"/>
                    </a:defRPr>
                  </a:pPr>
                  <a:endParaRPr lang="id-ID"/>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6-02BD-4F26-B511-33E965FDE41D}"/>
                </c:ext>
              </c:extLst>
            </c:dLbl>
            <c:dLbl>
              <c:idx val="7"/>
              <c:layout/>
              <c:spPr>
                <a:noFill/>
                <a:ln w="25400">
                  <a:noFill/>
                </a:ln>
              </c:spPr>
              <c:txPr>
                <a:bodyPr/>
                <a:lstStyle/>
                <a:p>
                  <a:pPr>
                    <a:defRPr sz="1125" b="0" i="0" u="none" strike="noStrike" baseline="0">
                      <a:solidFill>
                        <a:srgbClr val="000000"/>
                      </a:solidFill>
                      <a:latin typeface="Arial"/>
                      <a:ea typeface="Arial"/>
                      <a:cs typeface="Arial"/>
                    </a:defRPr>
                  </a:pPr>
                  <a:endParaRPr lang="id-ID"/>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7-02BD-4F26-B511-33E965FDE41D}"/>
                </c:ext>
              </c:extLst>
            </c:dLbl>
            <c:dLbl>
              <c:idx val="8"/>
              <c:layout/>
              <c:spPr>
                <a:noFill/>
                <a:ln w="25400">
                  <a:noFill/>
                </a:ln>
              </c:spPr>
              <c:txPr>
                <a:bodyPr/>
                <a:lstStyle/>
                <a:p>
                  <a:pPr>
                    <a:defRPr sz="1125" b="0" i="0" u="none" strike="noStrike" baseline="0">
                      <a:solidFill>
                        <a:srgbClr val="000000"/>
                      </a:solidFill>
                      <a:latin typeface="Arial"/>
                      <a:ea typeface="Arial"/>
                      <a:cs typeface="Arial"/>
                    </a:defRPr>
                  </a:pPr>
                  <a:endParaRPr lang="id-ID"/>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8-02BD-4F26-B511-33E965FDE41D}"/>
                </c:ext>
              </c:extLst>
            </c:dLbl>
            <c:spPr>
              <a:noFill/>
              <a:ln>
                <a:noFill/>
              </a:ln>
              <a:effectLst/>
            </c:spPr>
            <c:showLegendKey val="0"/>
            <c:showVal val="0"/>
            <c:showCatName val="0"/>
            <c:showSerName val="0"/>
            <c:showPercent val="0"/>
            <c:showBubbleSize val="0"/>
            <c:extLst xmlns:c16r2="http://schemas.microsoft.com/office/drawing/2015/06/chart">
              <c:ext xmlns:c15="http://schemas.microsoft.com/office/drawing/2012/chart" uri="{CE6537A1-D6FC-4f65-9D91-7224C49458BB}">
                <c15:showLeaderLines val="0"/>
              </c:ext>
            </c:extLst>
          </c:dLbls>
          <c:val>
            <c:numRef>
              <c:f>'Lembar Tes Enneagram'!$G$186:$O$186</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9-02BD-4F26-B511-33E965FDE41D}"/>
            </c:ext>
          </c:extLst>
        </c:ser>
        <c:dLbls>
          <c:showLegendKey val="0"/>
          <c:showVal val="0"/>
          <c:showCatName val="0"/>
          <c:showSerName val="0"/>
          <c:showPercent val="0"/>
          <c:showBubbleSize val="0"/>
        </c:dLbls>
        <c:gapWidth val="150"/>
        <c:axId val="125086720"/>
        <c:axId val="124558080"/>
      </c:barChart>
      <c:catAx>
        <c:axId val="125086720"/>
        <c:scaling>
          <c:orientation val="minMax"/>
        </c:scaling>
        <c:delete val="0"/>
        <c:axPos val="b"/>
        <c:title>
          <c:tx>
            <c:rich>
              <a:bodyPr/>
              <a:lstStyle/>
              <a:p>
                <a:pPr>
                  <a:defRPr sz="1400" b="1" i="0" u="none" strike="noStrike" baseline="0">
                    <a:solidFill>
                      <a:srgbClr val="000000"/>
                    </a:solidFill>
                    <a:latin typeface="Arial"/>
                    <a:ea typeface="Arial"/>
                    <a:cs typeface="Arial"/>
                  </a:defRPr>
                </a:pPr>
                <a:r>
                  <a:rPr lang="en-ID"/>
                  <a:t>Total Skor Tipe Enneagram </a:t>
                </a:r>
              </a:p>
            </c:rich>
          </c:tx>
          <c:layout>
            <c:manualLayout>
              <c:xMode val="edge"/>
              <c:yMode val="edge"/>
              <c:x val="0.26158476827167904"/>
              <c:y val="0.8801966257885245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id-ID"/>
          </a:p>
        </c:txPr>
        <c:crossAx val="124558080"/>
        <c:crossesAt val="0"/>
        <c:auto val="1"/>
        <c:lblAlgn val="ctr"/>
        <c:lblOffset val="100"/>
        <c:tickLblSkip val="1"/>
        <c:tickMarkSkip val="1"/>
        <c:noMultiLvlLbl val="0"/>
      </c:catAx>
      <c:valAx>
        <c:axId val="124558080"/>
        <c:scaling>
          <c:orientation val="minMax"/>
          <c:max val="60"/>
          <c:min val="0"/>
        </c:scaling>
        <c:delete val="0"/>
        <c:axPos val="l"/>
        <c:title>
          <c:tx>
            <c:rich>
              <a:bodyPr/>
              <a:lstStyle/>
              <a:p>
                <a:pPr>
                  <a:defRPr sz="1875" b="1" i="0" u="none" strike="noStrike" baseline="0">
                    <a:solidFill>
                      <a:srgbClr val="000000"/>
                    </a:solidFill>
                    <a:latin typeface="Arial"/>
                    <a:ea typeface="Arial"/>
                    <a:cs typeface="Arial"/>
                  </a:defRPr>
                </a:pPr>
                <a:r>
                  <a:rPr lang="en-ID"/>
                  <a:t>Skor</a:t>
                </a:r>
              </a:p>
            </c:rich>
          </c:tx>
          <c:layout>
            <c:manualLayout>
              <c:xMode val="edge"/>
              <c:yMode val="edge"/>
              <c:x val="2.9895366218236172E-2"/>
              <c:y val="0.4718831539700569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875" b="0" i="0" u="none" strike="noStrike" baseline="0">
                <a:solidFill>
                  <a:srgbClr val="000000"/>
                </a:solidFill>
                <a:latin typeface="Arial"/>
                <a:ea typeface="Arial"/>
                <a:cs typeface="Arial"/>
              </a:defRPr>
            </a:pPr>
            <a:endParaRPr lang="id-ID"/>
          </a:p>
        </c:txPr>
        <c:crossAx val="125086720"/>
        <c:crosses val="autoZero"/>
        <c:crossBetween val="between"/>
        <c:majorUnit val="15"/>
        <c:minorUnit val="15"/>
      </c:valAx>
      <c:spPr>
        <a:solidFill>
          <a:srgbClr val="FFFFCC"/>
        </a:solidFill>
        <a:ln w="12700">
          <a:solidFill>
            <a:srgbClr val="FFFF99"/>
          </a:solidFill>
          <a:prstDash val="solid"/>
        </a:ln>
      </c:spPr>
    </c:plotArea>
    <c:plotVisOnly val="1"/>
    <c:dispBlanksAs val="gap"/>
    <c:showDLblsOverMax val="0"/>
  </c:chart>
  <c:spPr>
    <a:solidFill>
      <a:schemeClr val="accent5">
        <a:lumMod val="40000"/>
        <a:lumOff val="60000"/>
      </a:schemeClr>
    </a:solidFill>
    <a:ln w="3175">
      <a:solidFill>
        <a:srgbClr val="000000"/>
      </a:solidFill>
      <a:prstDash val="solid"/>
    </a:ln>
  </c:spPr>
  <c:txPr>
    <a:bodyPr/>
    <a:lstStyle/>
    <a:p>
      <a:pPr>
        <a:defRPr sz="1875" b="0" i="0" u="none" strike="noStrike" baseline="0">
          <a:solidFill>
            <a:srgbClr val="000000"/>
          </a:solidFill>
          <a:latin typeface="Arial"/>
          <a:ea typeface="Arial"/>
          <a:cs typeface="Arial"/>
        </a:defRPr>
      </a:pPr>
      <a:endParaRPr lang="id-ID"/>
    </a:p>
  </c:txPr>
  <c:printSettings>
    <c:headerFooter alignWithMargins="0"/>
    <c:pageMargins b="1" l="0.75" r="0.75" t="1" header="0.5" footer="0.5"/>
    <c:pageSetup orientation="landscape" horizontalDpi="-3" verticalDpi="0"/>
  </c:printSettings>
</c:chartSpace>
</file>

<file path=xl/drawings/_rels/drawing1.xml.rels><?xml version="1.0" encoding="UTF-8" standalone="yes"?>
<Relationships xmlns="http://schemas.openxmlformats.org/package/2006/relationships"><Relationship Id="rId2" Type="http://schemas.openxmlformats.org/officeDocument/2006/relationships/hyperlink" Target="#'Lembar Tes Enneagram'!A1"/><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Grafik Hasil Tes Enneagram'!A1"/></Relationships>
</file>

<file path=xl/drawings/_rels/drawing3.xml.rels><?xml version="1.0" encoding="UTF-8" standalone="yes"?>
<Relationships xmlns="http://schemas.openxmlformats.org/package/2006/relationships"><Relationship Id="rId8" Type="http://schemas.openxmlformats.org/officeDocument/2006/relationships/hyperlink" Target="#'Interpretasi (4)'!A1"/><Relationship Id="rId13" Type="http://schemas.openxmlformats.org/officeDocument/2006/relationships/hyperlink" Target="#'Interpretasi (5)'!A1"/><Relationship Id="rId3" Type="http://schemas.openxmlformats.org/officeDocument/2006/relationships/hyperlink" Target="#HOME!A1"/><Relationship Id="rId7" Type="http://schemas.openxmlformats.org/officeDocument/2006/relationships/hyperlink" Target="#'Interpretasi (3)'!A1"/><Relationship Id="rId12" Type="http://schemas.openxmlformats.org/officeDocument/2006/relationships/hyperlink" Target="#'Interpretasi (6)'!A1"/><Relationship Id="rId2" Type="http://schemas.openxmlformats.org/officeDocument/2006/relationships/chart" Target="../charts/chart1.xml"/><Relationship Id="rId1" Type="http://schemas.openxmlformats.org/officeDocument/2006/relationships/image" Target="../media/image2.jpeg"/><Relationship Id="rId6" Type="http://schemas.openxmlformats.org/officeDocument/2006/relationships/hyperlink" Target="#'Interpretasi (2)'!A1"/><Relationship Id="rId11" Type="http://schemas.openxmlformats.org/officeDocument/2006/relationships/hyperlink" Target="#'Interpretasi (7)'!A1"/><Relationship Id="rId5" Type="http://schemas.openxmlformats.org/officeDocument/2006/relationships/hyperlink" Target="#'Interpretasi (1)'!A1"/><Relationship Id="rId10" Type="http://schemas.openxmlformats.org/officeDocument/2006/relationships/hyperlink" Target="#'Interpretasi (8)'!A1"/><Relationship Id="rId4" Type="http://schemas.openxmlformats.org/officeDocument/2006/relationships/hyperlink" Target="#'Lembar Tes Enneagram'!A1"/><Relationship Id="rId9" Type="http://schemas.openxmlformats.org/officeDocument/2006/relationships/hyperlink" Target="#'Interpretasi (9)'!A1"/></Relationships>
</file>

<file path=xl/drawings/_rels/drawing4.xml.rels><?xml version="1.0" encoding="UTF-8" standalone="yes"?>
<Relationships xmlns="http://schemas.openxmlformats.org/package/2006/relationships"><Relationship Id="rId2" Type="http://schemas.openxmlformats.org/officeDocument/2006/relationships/hyperlink" Target="#'Grafik Hasil Tes Enneagram'!A1"/><Relationship Id="rId1" Type="http://schemas.openxmlformats.org/officeDocument/2006/relationships/hyperlink" Target="#'Lembar Tes Enneagram'!A1"/></Relationships>
</file>

<file path=xl/drawings/_rels/drawing5.xml.rels><?xml version="1.0" encoding="UTF-8" standalone="yes"?>
<Relationships xmlns="http://schemas.openxmlformats.org/package/2006/relationships"><Relationship Id="rId2" Type="http://schemas.openxmlformats.org/officeDocument/2006/relationships/hyperlink" Target="#'Grafik Hasil Tes Enneagram'!A1"/><Relationship Id="rId1" Type="http://schemas.openxmlformats.org/officeDocument/2006/relationships/hyperlink" Target="#'Lembar Tes Enneagram'!A1"/></Relationships>
</file>

<file path=xl/drawings/_rels/drawing6.xml.rels><?xml version="1.0" encoding="UTF-8" standalone="yes"?>
<Relationships xmlns="http://schemas.openxmlformats.org/package/2006/relationships"><Relationship Id="rId2" Type="http://schemas.openxmlformats.org/officeDocument/2006/relationships/hyperlink" Target="#'Grafik Hasil Tes Enneagram'!A1"/><Relationship Id="rId1" Type="http://schemas.openxmlformats.org/officeDocument/2006/relationships/hyperlink" Target="#'Lembar Tes Enneagram'!A1"/></Relationships>
</file>

<file path=xl/drawings/_rels/drawing7.xml.rels><?xml version="1.0" encoding="UTF-8" standalone="yes"?>
<Relationships xmlns="http://schemas.openxmlformats.org/package/2006/relationships"><Relationship Id="rId2" Type="http://schemas.openxmlformats.org/officeDocument/2006/relationships/hyperlink" Target="#'Grafik Hasil Tes Enneagram'!A1"/><Relationship Id="rId1" Type="http://schemas.openxmlformats.org/officeDocument/2006/relationships/hyperlink" Target="#'Lembar Tes Enneagram'!A1"/></Relationships>
</file>

<file path=xl/drawings/_rels/drawing8.xml.rels><?xml version="1.0" encoding="UTF-8" standalone="yes"?>
<Relationships xmlns="http://schemas.openxmlformats.org/package/2006/relationships"><Relationship Id="rId2" Type="http://schemas.openxmlformats.org/officeDocument/2006/relationships/hyperlink" Target="#'Grafik Hasil Tes Enneagram'!A1"/><Relationship Id="rId1" Type="http://schemas.openxmlformats.org/officeDocument/2006/relationships/hyperlink" Target="#'Lembar Tes Enneagram'!A1"/></Relationships>
</file>

<file path=xl/drawings/_rels/drawing9.xml.rels><?xml version="1.0" encoding="UTF-8" standalone="yes"?>
<Relationships xmlns="http://schemas.openxmlformats.org/package/2006/relationships"><Relationship Id="rId2" Type="http://schemas.openxmlformats.org/officeDocument/2006/relationships/hyperlink" Target="#'Grafik Hasil Tes Enneagram'!A1"/><Relationship Id="rId1" Type="http://schemas.openxmlformats.org/officeDocument/2006/relationships/hyperlink" Target="#'Lembar Tes Enneagram'!A1"/></Relationships>
</file>

<file path=xl/drawings/_rels/drawing10.xml.rels><?xml version="1.0" encoding="UTF-8" standalone="yes"?>
<Relationships xmlns="http://schemas.openxmlformats.org/package/2006/relationships"><Relationship Id="rId2" Type="http://schemas.openxmlformats.org/officeDocument/2006/relationships/hyperlink" Target="#'Grafik Hasil Tes Enneagram'!A1"/><Relationship Id="rId1" Type="http://schemas.openxmlformats.org/officeDocument/2006/relationships/hyperlink" Target="#'Lembar Tes Enneagram'!A1"/></Relationships>
</file>

<file path=xl/drawings/_rels/drawing11.xml.rels><?xml version="1.0" encoding="UTF-8" standalone="yes"?>
<Relationships xmlns="http://schemas.openxmlformats.org/package/2006/relationships"><Relationship Id="rId2" Type="http://schemas.openxmlformats.org/officeDocument/2006/relationships/hyperlink" Target="#'Grafik Hasil Tes Enneagram'!A1"/><Relationship Id="rId1" Type="http://schemas.openxmlformats.org/officeDocument/2006/relationships/hyperlink" Target="#'Lembar Tes Enneagram'!A1"/></Relationships>
</file>

<file path=xl/drawings/_rels/drawing12.xml.rels><?xml version="1.0" encoding="UTF-8" standalone="yes"?>
<Relationships xmlns="http://schemas.openxmlformats.org/package/2006/relationships"><Relationship Id="rId2" Type="http://schemas.openxmlformats.org/officeDocument/2006/relationships/hyperlink" Target="#'Grafik Hasil Tes Enneagram'!A1"/><Relationship Id="rId1" Type="http://schemas.openxmlformats.org/officeDocument/2006/relationships/hyperlink" Target="#'Lembar Tes Enneagram'!A1"/></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0</xdr:row>
      <xdr:rowOff>152400</xdr:rowOff>
    </xdr:from>
    <xdr:to>
      <xdr:col>12</xdr:col>
      <xdr:colOff>85725</xdr:colOff>
      <xdr:row>29</xdr:row>
      <xdr:rowOff>9525</xdr:rowOff>
    </xdr:to>
    <xdr:pic>
      <xdr:nvPicPr>
        <xdr:cNvPr id="42012" name="Picture 29" descr="https://i2.wp.com/www.lynnroulo.com/wp-content/uploads/2016/05/enneagram-image.jpg?resize=577%2C690&amp;ssl=1">
          <a:extLst>
            <a:ext uri="{FF2B5EF4-FFF2-40B4-BE49-F238E27FC236}">
              <a16:creationId xmlns="" xmlns:a16="http://schemas.microsoft.com/office/drawing/2014/main" id="{C7B5034C-475B-4D50-B9D5-7BB5626E76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3425" y="152400"/>
          <a:ext cx="6667500" cy="4552950"/>
        </a:xfrm>
        <a:prstGeom prst="rect">
          <a:avLst/>
        </a:prstGeom>
        <a:noFill/>
        <a:ln w="9525">
          <a:solidFill>
            <a:srgbClr val="4F81BD"/>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447675</xdr:colOff>
      <xdr:row>1</xdr:row>
      <xdr:rowOff>0</xdr:rowOff>
    </xdr:from>
    <xdr:to>
      <xdr:col>11</xdr:col>
      <xdr:colOff>600075</xdr:colOff>
      <xdr:row>3</xdr:row>
      <xdr:rowOff>19050</xdr:rowOff>
    </xdr:to>
    <xdr:sp macro="" textlink="">
      <xdr:nvSpPr>
        <xdr:cNvPr id="42013" name="Rounded Rectangle 2">
          <a:extLst>
            <a:ext uri="{FF2B5EF4-FFF2-40B4-BE49-F238E27FC236}">
              <a16:creationId xmlns="" xmlns:a16="http://schemas.microsoft.com/office/drawing/2014/main" id="{BDABB707-0B5B-4C1F-BD01-0A4A5BE20BFA}"/>
            </a:ext>
          </a:extLst>
        </xdr:cNvPr>
        <xdr:cNvSpPr>
          <a:spLocks noChangeArrowheads="1"/>
        </xdr:cNvSpPr>
      </xdr:nvSpPr>
      <xdr:spPr bwMode="auto">
        <a:xfrm>
          <a:off x="5934075" y="161925"/>
          <a:ext cx="1371600" cy="342900"/>
        </a:xfrm>
        <a:prstGeom prst="roundRect">
          <a:avLst>
            <a:gd name="adj" fmla="val 16667"/>
          </a:avLst>
        </a:prstGeom>
        <a:solidFill>
          <a:srgbClr val="FFFFFF"/>
        </a:solidFill>
        <a:ln>
          <a:noFill/>
        </a:ln>
        <a:extLs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14</xdr:col>
      <xdr:colOff>323850</xdr:colOff>
      <xdr:row>22</xdr:row>
      <xdr:rowOff>47625</xdr:rowOff>
    </xdr:from>
    <xdr:to>
      <xdr:col>18</xdr:col>
      <xdr:colOff>352425</xdr:colOff>
      <xdr:row>27</xdr:row>
      <xdr:rowOff>28575</xdr:rowOff>
    </xdr:to>
    <xdr:sp macro="[0]!RoundedRectangle1_Click" textlink="">
      <xdr:nvSpPr>
        <xdr:cNvPr id="4" name="Rounded Rectangle 3">
          <a:hlinkClick xmlns:r="http://schemas.openxmlformats.org/officeDocument/2006/relationships" r:id="rId2"/>
          <a:extLst>
            <a:ext uri="{FF2B5EF4-FFF2-40B4-BE49-F238E27FC236}">
              <a16:creationId xmlns="" xmlns:a16="http://schemas.microsoft.com/office/drawing/2014/main" id="{7E9B3D92-27BF-43B8-AA73-94FB0145A22D}"/>
            </a:ext>
          </a:extLst>
        </xdr:cNvPr>
        <xdr:cNvSpPr/>
      </xdr:nvSpPr>
      <xdr:spPr bwMode="auto">
        <a:xfrm>
          <a:off x="8858250" y="3609975"/>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2800" b="1">
              <a:solidFill>
                <a:schemeClr val="tx1"/>
              </a:solidFill>
              <a:latin typeface="Bookman Old Style" pitchFamily="18" charset="0"/>
            </a:rPr>
            <a:t>START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219074</xdr:colOff>
      <xdr:row>0</xdr:row>
      <xdr:rowOff>257175</xdr:rowOff>
    </xdr:from>
    <xdr:to>
      <xdr:col>5</xdr:col>
      <xdr:colOff>2295524</xdr:colOff>
      <xdr:row>2</xdr:row>
      <xdr:rowOff>19050</xdr:rowOff>
    </xdr:to>
    <xdr:sp macro="[0]!RoundedRectangle1_Click" textlink="">
      <xdr:nvSpPr>
        <xdr:cNvPr id="2" name="Rounded Rectangle 1">
          <a:hlinkClick xmlns:r="http://schemas.openxmlformats.org/officeDocument/2006/relationships" r:id="rId1"/>
          <a:extLst>
            <a:ext uri="{FF2B5EF4-FFF2-40B4-BE49-F238E27FC236}">
              <a16:creationId xmlns="" xmlns:a16="http://schemas.microsoft.com/office/drawing/2014/main" id="{0EFDD6D0-F8AA-44D6-A7FE-96D508FA2A43}"/>
            </a:ext>
          </a:extLst>
        </xdr:cNvPr>
        <xdr:cNvSpPr/>
      </xdr:nvSpPr>
      <xdr:spPr bwMode="auto">
        <a:xfrm>
          <a:off x="8772524" y="257175"/>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600" b="1">
              <a:solidFill>
                <a:schemeClr val="tx1"/>
              </a:solidFill>
              <a:latin typeface="Bookman Old Style" pitchFamily="18" charset="0"/>
            </a:rPr>
            <a:t>Grafik Hasil                Tes Enneagram</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219075</xdr:colOff>
      <xdr:row>1</xdr:row>
      <xdr:rowOff>114300</xdr:rowOff>
    </xdr:from>
    <xdr:to>
      <xdr:col>18</xdr:col>
      <xdr:colOff>476250</xdr:colOff>
      <xdr:row>25</xdr:row>
      <xdr:rowOff>95250</xdr:rowOff>
    </xdr:to>
    <xdr:pic>
      <xdr:nvPicPr>
        <xdr:cNvPr id="2166" name="Picture 9" descr="Enneagram">
          <a:extLst>
            <a:ext uri="{FF2B5EF4-FFF2-40B4-BE49-F238E27FC236}">
              <a16:creationId xmlns="" xmlns:a16="http://schemas.microsoft.com/office/drawing/2014/main" id="{F42F2DAD-7277-4A91-844E-CD94D10190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675" y="276225"/>
          <a:ext cx="4524375" cy="3867150"/>
        </a:xfrm>
        <a:prstGeom prst="rect">
          <a:avLst/>
        </a:prstGeom>
        <a:noFill/>
        <a:ln w="9525">
          <a:solidFill>
            <a:srgbClr val="4F81BD"/>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314325</xdr:colOff>
      <xdr:row>1</xdr:row>
      <xdr:rowOff>95250</xdr:rowOff>
    </xdr:from>
    <xdr:to>
      <xdr:col>10</xdr:col>
      <xdr:colOff>590550</xdr:colOff>
      <xdr:row>25</xdr:row>
      <xdr:rowOff>104775</xdr:rowOff>
    </xdr:to>
    <xdr:graphicFrame macro="">
      <xdr:nvGraphicFramePr>
        <xdr:cNvPr id="2167" name="Chart 1">
          <a:extLst>
            <a:ext uri="{FF2B5EF4-FFF2-40B4-BE49-F238E27FC236}">
              <a16:creationId xmlns="" xmlns:a16="http://schemas.microsoft.com/office/drawing/2014/main" id="{E82AA8A9-24FB-4141-95C0-6A2A5B938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295275</xdr:colOff>
      <xdr:row>26</xdr:row>
      <xdr:rowOff>28575</xdr:rowOff>
    </xdr:from>
    <xdr:to>
      <xdr:col>4</xdr:col>
      <xdr:colOff>323850</xdr:colOff>
      <xdr:row>29</xdr:row>
      <xdr:rowOff>66675</xdr:rowOff>
    </xdr:to>
    <xdr:sp macro="[0]!RoundedRectangle1_Click" textlink="">
      <xdr:nvSpPr>
        <xdr:cNvPr id="7" name="Rounded Rectangle 6">
          <a:hlinkClick xmlns:r="http://schemas.openxmlformats.org/officeDocument/2006/relationships" r:id="rId3"/>
          <a:extLst>
            <a:ext uri="{FF2B5EF4-FFF2-40B4-BE49-F238E27FC236}">
              <a16:creationId xmlns="" xmlns:a16="http://schemas.microsoft.com/office/drawing/2014/main" id="{78238615-D47E-48C0-907C-5F5ACBFA5A00}"/>
            </a:ext>
          </a:extLst>
        </xdr:cNvPr>
        <xdr:cNvSpPr/>
      </xdr:nvSpPr>
      <xdr:spPr bwMode="auto">
        <a:xfrm>
          <a:off x="295275" y="4238625"/>
          <a:ext cx="2466975" cy="5238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2800" b="1">
              <a:solidFill>
                <a:schemeClr val="tx1"/>
              </a:solidFill>
              <a:latin typeface="Bookman Old Style" pitchFamily="18" charset="0"/>
            </a:rPr>
            <a:t>HOME</a:t>
          </a:r>
        </a:p>
      </xdr:txBody>
    </xdr:sp>
    <xdr:clientData/>
  </xdr:twoCellAnchor>
  <xdr:twoCellAnchor>
    <xdr:from>
      <xdr:col>6</xdr:col>
      <xdr:colOff>561975</xdr:colOff>
      <xdr:row>26</xdr:row>
      <xdr:rowOff>19050</xdr:rowOff>
    </xdr:from>
    <xdr:to>
      <xdr:col>10</xdr:col>
      <xdr:colOff>590550</xdr:colOff>
      <xdr:row>29</xdr:row>
      <xdr:rowOff>57150</xdr:rowOff>
    </xdr:to>
    <xdr:sp macro="[0]!RoundedRectangle1_Click" textlink="">
      <xdr:nvSpPr>
        <xdr:cNvPr id="8" name="Rounded Rectangle 7">
          <a:hlinkClick xmlns:r="http://schemas.openxmlformats.org/officeDocument/2006/relationships" r:id="rId4"/>
          <a:extLst>
            <a:ext uri="{FF2B5EF4-FFF2-40B4-BE49-F238E27FC236}">
              <a16:creationId xmlns="" xmlns:a16="http://schemas.microsoft.com/office/drawing/2014/main" id="{FAAFCD50-A214-4D8C-AC3B-A8597E50CE05}"/>
            </a:ext>
          </a:extLst>
        </xdr:cNvPr>
        <xdr:cNvSpPr/>
      </xdr:nvSpPr>
      <xdr:spPr bwMode="auto">
        <a:xfrm>
          <a:off x="4219575" y="4229100"/>
          <a:ext cx="2466975" cy="5238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400" b="1">
              <a:solidFill>
                <a:schemeClr val="tx1"/>
              </a:solidFill>
              <a:latin typeface="Bookman Old Style" pitchFamily="18" charset="0"/>
            </a:rPr>
            <a:t>Lembar</a:t>
          </a:r>
          <a:r>
            <a:rPr lang="en-US" sz="1400" b="1" baseline="0">
              <a:solidFill>
                <a:schemeClr val="tx1"/>
              </a:solidFill>
              <a:latin typeface="Bookman Old Style" pitchFamily="18" charset="0"/>
            </a:rPr>
            <a:t> Tes Enneagram</a:t>
          </a:r>
          <a:endParaRPr lang="en-US" sz="1400" b="1">
            <a:solidFill>
              <a:schemeClr val="tx1"/>
            </a:solidFill>
            <a:latin typeface="Bookman Old Style" pitchFamily="18" charset="0"/>
          </a:endParaRPr>
        </a:p>
      </xdr:txBody>
    </xdr:sp>
    <xdr:clientData/>
  </xdr:twoCellAnchor>
  <xdr:twoCellAnchor>
    <xdr:from>
      <xdr:col>16</xdr:col>
      <xdr:colOff>342900</xdr:colOff>
      <xdr:row>6</xdr:row>
      <xdr:rowOff>57150</xdr:rowOff>
    </xdr:from>
    <xdr:to>
      <xdr:col>18</xdr:col>
      <xdr:colOff>114300</xdr:colOff>
      <xdr:row>8</xdr:row>
      <xdr:rowOff>104775</xdr:rowOff>
    </xdr:to>
    <xdr:sp macro="" textlink="">
      <xdr:nvSpPr>
        <xdr:cNvPr id="2170" name="Rectangle 5">
          <a:hlinkClick xmlns:r="http://schemas.openxmlformats.org/officeDocument/2006/relationships" r:id="rId5"/>
          <a:extLst>
            <a:ext uri="{FF2B5EF4-FFF2-40B4-BE49-F238E27FC236}">
              <a16:creationId xmlns="" xmlns:a16="http://schemas.microsoft.com/office/drawing/2014/main" id="{A3DC0C06-EE44-4717-9E93-DAF62274B0B8}"/>
            </a:ext>
          </a:extLst>
        </xdr:cNvPr>
        <xdr:cNvSpPr>
          <a:spLocks noChangeArrowheads="1"/>
        </xdr:cNvSpPr>
      </xdr:nvSpPr>
      <xdr:spPr bwMode="auto">
        <a:xfrm>
          <a:off x="10096500" y="1028700"/>
          <a:ext cx="990600" cy="371475"/>
        </a:xfrm>
        <a:prstGeom prst="rect">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17</xdr:col>
      <xdr:colOff>104775</xdr:colOff>
      <xdr:row>12</xdr:row>
      <xdr:rowOff>0</xdr:rowOff>
    </xdr:from>
    <xdr:to>
      <xdr:col>18</xdr:col>
      <xdr:colOff>257175</xdr:colOff>
      <xdr:row>14</xdr:row>
      <xdr:rowOff>38100</xdr:rowOff>
    </xdr:to>
    <xdr:sp macro="" textlink="">
      <xdr:nvSpPr>
        <xdr:cNvPr id="2171" name="Rectangle 8">
          <a:hlinkClick xmlns:r="http://schemas.openxmlformats.org/officeDocument/2006/relationships" r:id="rId6"/>
          <a:extLst>
            <a:ext uri="{FF2B5EF4-FFF2-40B4-BE49-F238E27FC236}">
              <a16:creationId xmlns="" xmlns:a16="http://schemas.microsoft.com/office/drawing/2014/main" id="{F0244138-0735-41A0-BF49-4280D540D80A}"/>
            </a:ext>
          </a:extLst>
        </xdr:cNvPr>
        <xdr:cNvSpPr>
          <a:spLocks noChangeArrowheads="1"/>
        </xdr:cNvSpPr>
      </xdr:nvSpPr>
      <xdr:spPr bwMode="auto">
        <a:xfrm>
          <a:off x="10467975" y="1943100"/>
          <a:ext cx="762000" cy="361950"/>
        </a:xfrm>
        <a:prstGeom prst="rect">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17</xdr:col>
      <xdr:colOff>9525</xdr:colOff>
      <xdr:row>16</xdr:row>
      <xdr:rowOff>152400</xdr:rowOff>
    </xdr:from>
    <xdr:to>
      <xdr:col>18</xdr:col>
      <xdr:colOff>228600</xdr:colOff>
      <xdr:row>19</xdr:row>
      <xdr:rowOff>85725</xdr:rowOff>
    </xdr:to>
    <xdr:sp macro="" textlink="">
      <xdr:nvSpPr>
        <xdr:cNvPr id="2172" name="Rectangle 10">
          <a:hlinkClick xmlns:r="http://schemas.openxmlformats.org/officeDocument/2006/relationships" r:id="rId7"/>
          <a:extLst>
            <a:ext uri="{FF2B5EF4-FFF2-40B4-BE49-F238E27FC236}">
              <a16:creationId xmlns="" xmlns:a16="http://schemas.microsoft.com/office/drawing/2014/main" id="{5FCF168B-837F-489A-B588-13EF3461F3EF}"/>
            </a:ext>
          </a:extLst>
        </xdr:cNvPr>
        <xdr:cNvSpPr>
          <a:spLocks noChangeArrowheads="1"/>
        </xdr:cNvSpPr>
      </xdr:nvSpPr>
      <xdr:spPr bwMode="auto">
        <a:xfrm>
          <a:off x="10372725" y="2743200"/>
          <a:ext cx="828675" cy="419100"/>
        </a:xfrm>
        <a:prstGeom prst="rect">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15</xdr:col>
      <xdr:colOff>581025</xdr:colOff>
      <xdr:row>21</xdr:row>
      <xdr:rowOff>28575</xdr:rowOff>
    </xdr:from>
    <xdr:to>
      <xdr:col>17</xdr:col>
      <xdr:colOff>523875</xdr:colOff>
      <xdr:row>23</xdr:row>
      <xdr:rowOff>123825</xdr:rowOff>
    </xdr:to>
    <xdr:sp macro="" textlink="">
      <xdr:nvSpPr>
        <xdr:cNvPr id="2173" name="Rectangle 11">
          <a:hlinkClick xmlns:r="http://schemas.openxmlformats.org/officeDocument/2006/relationships" r:id="rId8"/>
          <a:extLst>
            <a:ext uri="{FF2B5EF4-FFF2-40B4-BE49-F238E27FC236}">
              <a16:creationId xmlns="" xmlns:a16="http://schemas.microsoft.com/office/drawing/2014/main" id="{E20A9B78-5248-4DC8-94AE-078821E8FF5B}"/>
            </a:ext>
          </a:extLst>
        </xdr:cNvPr>
        <xdr:cNvSpPr>
          <a:spLocks noChangeArrowheads="1"/>
        </xdr:cNvSpPr>
      </xdr:nvSpPr>
      <xdr:spPr bwMode="auto">
        <a:xfrm>
          <a:off x="9725025" y="3429000"/>
          <a:ext cx="1162050" cy="419100"/>
        </a:xfrm>
        <a:prstGeom prst="rect">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95250</xdr:colOff>
      <xdr:row>4</xdr:row>
      <xdr:rowOff>28575</xdr:rowOff>
    </xdr:from>
    <xdr:to>
      <xdr:col>15</xdr:col>
      <xdr:colOff>561975</xdr:colOff>
      <xdr:row>6</xdr:row>
      <xdr:rowOff>28575</xdr:rowOff>
    </xdr:to>
    <xdr:sp macro="" textlink="">
      <xdr:nvSpPr>
        <xdr:cNvPr id="2174" name="Rectangle 12">
          <a:hlinkClick xmlns:r="http://schemas.openxmlformats.org/officeDocument/2006/relationships" r:id="rId9"/>
          <a:extLst>
            <a:ext uri="{FF2B5EF4-FFF2-40B4-BE49-F238E27FC236}">
              <a16:creationId xmlns="" xmlns:a16="http://schemas.microsoft.com/office/drawing/2014/main" id="{763B9C0E-BC65-4444-81FE-4FEC4048DF49}"/>
            </a:ext>
          </a:extLst>
        </xdr:cNvPr>
        <xdr:cNvSpPr>
          <a:spLocks noChangeArrowheads="1"/>
        </xdr:cNvSpPr>
      </xdr:nvSpPr>
      <xdr:spPr bwMode="auto">
        <a:xfrm>
          <a:off x="8629650" y="676275"/>
          <a:ext cx="1076325" cy="323850"/>
        </a:xfrm>
        <a:prstGeom prst="rect">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12</xdr:col>
      <xdr:colOff>57150</xdr:colOff>
      <xdr:row>6</xdr:row>
      <xdr:rowOff>85725</xdr:rowOff>
    </xdr:from>
    <xdr:to>
      <xdr:col>13</xdr:col>
      <xdr:colOff>333375</xdr:colOff>
      <xdr:row>8</xdr:row>
      <xdr:rowOff>85725</xdr:rowOff>
    </xdr:to>
    <xdr:sp macro="" textlink="">
      <xdr:nvSpPr>
        <xdr:cNvPr id="2175" name="Rectangle 13">
          <a:hlinkClick xmlns:r="http://schemas.openxmlformats.org/officeDocument/2006/relationships" r:id="rId10"/>
          <a:extLst>
            <a:ext uri="{FF2B5EF4-FFF2-40B4-BE49-F238E27FC236}">
              <a16:creationId xmlns="" xmlns:a16="http://schemas.microsoft.com/office/drawing/2014/main" id="{8936D654-CB0C-4C14-80EF-4E1771508508}"/>
            </a:ext>
          </a:extLst>
        </xdr:cNvPr>
        <xdr:cNvSpPr>
          <a:spLocks noChangeArrowheads="1"/>
        </xdr:cNvSpPr>
      </xdr:nvSpPr>
      <xdr:spPr bwMode="auto">
        <a:xfrm>
          <a:off x="7372350" y="1057275"/>
          <a:ext cx="885825" cy="323850"/>
        </a:xfrm>
        <a:prstGeom prst="rect">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257175</xdr:colOff>
      <xdr:row>12</xdr:row>
      <xdr:rowOff>9525</xdr:rowOff>
    </xdr:from>
    <xdr:to>
      <xdr:col>12</xdr:col>
      <xdr:colOff>571500</xdr:colOff>
      <xdr:row>14</xdr:row>
      <xdr:rowOff>57150</xdr:rowOff>
    </xdr:to>
    <xdr:sp macro="" textlink="">
      <xdr:nvSpPr>
        <xdr:cNvPr id="2176" name="Rectangle 14">
          <a:hlinkClick xmlns:r="http://schemas.openxmlformats.org/officeDocument/2006/relationships" r:id="rId11"/>
          <a:extLst>
            <a:ext uri="{FF2B5EF4-FFF2-40B4-BE49-F238E27FC236}">
              <a16:creationId xmlns="" xmlns:a16="http://schemas.microsoft.com/office/drawing/2014/main" id="{89740BAC-4C15-4D69-8B34-3816A4E9E08A}"/>
            </a:ext>
          </a:extLst>
        </xdr:cNvPr>
        <xdr:cNvSpPr>
          <a:spLocks noChangeArrowheads="1"/>
        </xdr:cNvSpPr>
      </xdr:nvSpPr>
      <xdr:spPr bwMode="auto">
        <a:xfrm>
          <a:off x="6962775" y="1952625"/>
          <a:ext cx="923925" cy="371475"/>
        </a:xfrm>
        <a:prstGeom prst="rect">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466725</xdr:colOff>
      <xdr:row>16</xdr:row>
      <xdr:rowOff>142875</xdr:rowOff>
    </xdr:from>
    <xdr:to>
      <xdr:col>13</xdr:col>
      <xdr:colOff>76200</xdr:colOff>
      <xdr:row>19</xdr:row>
      <xdr:rowOff>28575</xdr:rowOff>
    </xdr:to>
    <xdr:sp macro="" textlink="">
      <xdr:nvSpPr>
        <xdr:cNvPr id="2177" name="Rectangle 15">
          <a:hlinkClick xmlns:r="http://schemas.openxmlformats.org/officeDocument/2006/relationships" r:id="rId12"/>
          <a:extLst>
            <a:ext uri="{FF2B5EF4-FFF2-40B4-BE49-F238E27FC236}">
              <a16:creationId xmlns="" xmlns:a16="http://schemas.microsoft.com/office/drawing/2014/main" id="{D846F4B6-2394-4D99-9D00-09666DF86BFD}"/>
            </a:ext>
          </a:extLst>
        </xdr:cNvPr>
        <xdr:cNvSpPr>
          <a:spLocks noChangeArrowheads="1"/>
        </xdr:cNvSpPr>
      </xdr:nvSpPr>
      <xdr:spPr bwMode="auto">
        <a:xfrm>
          <a:off x="7172325" y="2733675"/>
          <a:ext cx="828675" cy="371475"/>
        </a:xfrm>
        <a:prstGeom prst="rect">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85725</xdr:colOff>
      <xdr:row>21</xdr:row>
      <xdr:rowOff>76200</xdr:rowOff>
    </xdr:from>
    <xdr:to>
      <xdr:col>14</xdr:col>
      <xdr:colOff>247650</xdr:colOff>
      <xdr:row>23</xdr:row>
      <xdr:rowOff>76200</xdr:rowOff>
    </xdr:to>
    <xdr:sp macro="" textlink="">
      <xdr:nvSpPr>
        <xdr:cNvPr id="2178" name="Rectangle 16">
          <a:hlinkClick xmlns:r="http://schemas.openxmlformats.org/officeDocument/2006/relationships" r:id="rId13"/>
          <a:extLst>
            <a:ext uri="{FF2B5EF4-FFF2-40B4-BE49-F238E27FC236}">
              <a16:creationId xmlns="" xmlns:a16="http://schemas.microsoft.com/office/drawing/2014/main" id="{6FAB2CD8-D3ED-40A3-93F4-BAC91BC669B5}"/>
            </a:ext>
          </a:extLst>
        </xdr:cNvPr>
        <xdr:cNvSpPr>
          <a:spLocks noChangeArrowheads="1"/>
        </xdr:cNvSpPr>
      </xdr:nvSpPr>
      <xdr:spPr bwMode="auto">
        <a:xfrm>
          <a:off x="8010525" y="3476625"/>
          <a:ext cx="771525" cy="323850"/>
        </a:xfrm>
        <a:prstGeom prst="rect">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1765299</xdr:colOff>
      <xdr:row>0</xdr:row>
      <xdr:rowOff>95250</xdr:rowOff>
    </xdr:from>
    <xdr:to>
      <xdr:col>1</xdr:col>
      <xdr:colOff>4232274</xdr:colOff>
      <xdr:row>0</xdr:row>
      <xdr:rowOff>885825</xdr:rowOff>
    </xdr:to>
    <xdr:sp macro="[0]!RoundedRectangle1_Click" textlink="">
      <xdr:nvSpPr>
        <xdr:cNvPr id="2" name="Rounded Rectangle 1">
          <a:hlinkClick xmlns:r="http://schemas.openxmlformats.org/officeDocument/2006/relationships" r:id="rId1"/>
          <a:extLst>
            <a:ext uri="{FF2B5EF4-FFF2-40B4-BE49-F238E27FC236}">
              <a16:creationId xmlns="" xmlns:a16="http://schemas.microsoft.com/office/drawing/2014/main" id="{1E8701E2-D72F-4216-9A8C-3E29F5899E07}"/>
            </a:ext>
          </a:extLst>
        </xdr:cNvPr>
        <xdr:cNvSpPr/>
      </xdr:nvSpPr>
      <xdr:spPr bwMode="auto">
        <a:xfrm>
          <a:off x="2136774" y="95250"/>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600" b="1">
              <a:solidFill>
                <a:schemeClr val="tx1"/>
              </a:solidFill>
              <a:latin typeface="Bookman Old Style" pitchFamily="18" charset="0"/>
            </a:rPr>
            <a:t>Kembali Ke</a:t>
          </a:r>
          <a:r>
            <a:rPr lang="en-US" sz="1600" b="1" baseline="0">
              <a:solidFill>
                <a:schemeClr val="tx1"/>
              </a:solidFill>
              <a:latin typeface="Bookman Old Style" pitchFamily="18" charset="0"/>
            </a:rPr>
            <a:t> </a:t>
          </a:r>
          <a:r>
            <a:rPr lang="en-US" sz="1600" b="1">
              <a:solidFill>
                <a:schemeClr val="tx1"/>
              </a:solidFill>
              <a:latin typeface="Bookman Old Style" pitchFamily="18" charset="0"/>
            </a:rPr>
            <a:t>Lembar Tes Enneagram</a:t>
          </a:r>
        </a:p>
      </xdr:txBody>
    </xdr:sp>
    <xdr:clientData/>
  </xdr:twoCellAnchor>
  <xdr:twoCellAnchor>
    <xdr:from>
      <xdr:col>1</xdr:col>
      <xdr:colOff>4774108</xdr:colOff>
      <xdr:row>0</xdr:row>
      <xdr:rowOff>86783</xdr:rowOff>
    </xdr:from>
    <xdr:to>
      <xdr:col>1</xdr:col>
      <xdr:colOff>7241083</xdr:colOff>
      <xdr:row>0</xdr:row>
      <xdr:rowOff>877358</xdr:rowOff>
    </xdr:to>
    <xdr:sp macro="[0]!RoundedRectangle1_Click" textlink="">
      <xdr:nvSpPr>
        <xdr:cNvPr id="3" name="Rounded Rectangle 2">
          <a:hlinkClick xmlns:r="http://schemas.openxmlformats.org/officeDocument/2006/relationships" r:id="rId2"/>
          <a:extLst>
            <a:ext uri="{FF2B5EF4-FFF2-40B4-BE49-F238E27FC236}">
              <a16:creationId xmlns="" xmlns:a16="http://schemas.microsoft.com/office/drawing/2014/main" id="{2D329263-2886-4795-8243-7949E831828E}"/>
            </a:ext>
          </a:extLst>
        </xdr:cNvPr>
        <xdr:cNvSpPr/>
      </xdr:nvSpPr>
      <xdr:spPr bwMode="auto">
        <a:xfrm>
          <a:off x="5144525" y="86783"/>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400" b="1">
              <a:solidFill>
                <a:schemeClr val="tx1"/>
              </a:solidFill>
              <a:latin typeface="Bookman Old Style" pitchFamily="18" charset="0"/>
            </a:rPr>
            <a:t>Kembali Ke Grafik Hasil      </a:t>
          </a:r>
          <a:r>
            <a:rPr lang="en-US" sz="1600" b="1">
              <a:solidFill>
                <a:schemeClr val="tx1"/>
              </a:solidFill>
              <a:latin typeface="Bookman Old Style" pitchFamily="18" charset="0"/>
            </a:rPr>
            <a:t>Tes Enneagram</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1765299</xdr:colOff>
      <xdr:row>0</xdr:row>
      <xdr:rowOff>95250</xdr:rowOff>
    </xdr:from>
    <xdr:to>
      <xdr:col>1</xdr:col>
      <xdr:colOff>4232274</xdr:colOff>
      <xdr:row>0</xdr:row>
      <xdr:rowOff>885825</xdr:rowOff>
    </xdr:to>
    <xdr:sp macro="[0]!RoundedRectangle1_Click" textlink="">
      <xdr:nvSpPr>
        <xdr:cNvPr id="2" name="Rounded Rectangle 1">
          <a:hlinkClick xmlns:r="http://schemas.openxmlformats.org/officeDocument/2006/relationships" r:id="rId1"/>
          <a:extLst>
            <a:ext uri="{FF2B5EF4-FFF2-40B4-BE49-F238E27FC236}">
              <a16:creationId xmlns="" xmlns:a16="http://schemas.microsoft.com/office/drawing/2014/main" id="{15E2B8C6-CC9C-4476-95F9-5610BC8359FB}"/>
            </a:ext>
          </a:extLst>
        </xdr:cNvPr>
        <xdr:cNvSpPr/>
      </xdr:nvSpPr>
      <xdr:spPr bwMode="auto">
        <a:xfrm>
          <a:off x="2136774" y="95250"/>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600" b="1">
              <a:solidFill>
                <a:schemeClr val="tx1"/>
              </a:solidFill>
              <a:latin typeface="Bookman Old Style" pitchFamily="18" charset="0"/>
            </a:rPr>
            <a:t>Kembali Ke</a:t>
          </a:r>
          <a:r>
            <a:rPr lang="en-US" sz="1600" b="1" baseline="0">
              <a:solidFill>
                <a:schemeClr val="tx1"/>
              </a:solidFill>
              <a:latin typeface="Bookman Old Style" pitchFamily="18" charset="0"/>
            </a:rPr>
            <a:t> </a:t>
          </a:r>
          <a:r>
            <a:rPr lang="en-US" sz="1600" b="1">
              <a:solidFill>
                <a:schemeClr val="tx1"/>
              </a:solidFill>
              <a:latin typeface="Bookman Old Style" pitchFamily="18" charset="0"/>
            </a:rPr>
            <a:t>Lembar Tes Enneagram</a:t>
          </a:r>
        </a:p>
      </xdr:txBody>
    </xdr:sp>
    <xdr:clientData/>
  </xdr:twoCellAnchor>
  <xdr:twoCellAnchor>
    <xdr:from>
      <xdr:col>1</xdr:col>
      <xdr:colOff>4774108</xdr:colOff>
      <xdr:row>0</xdr:row>
      <xdr:rowOff>86783</xdr:rowOff>
    </xdr:from>
    <xdr:to>
      <xdr:col>1</xdr:col>
      <xdr:colOff>7241083</xdr:colOff>
      <xdr:row>0</xdr:row>
      <xdr:rowOff>877358</xdr:rowOff>
    </xdr:to>
    <xdr:sp macro="[0]!RoundedRectangle1_Click" textlink="">
      <xdr:nvSpPr>
        <xdr:cNvPr id="3" name="Rounded Rectangle 2">
          <a:hlinkClick xmlns:r="http://schemas.openxmlformats.org/officeDocument/2006/relationships" r:id="rId2"/>
          <a:extLst>
            <a:ext uri="{FF2B5EF4-FFF2-40B4-BE49-F238E27FC236}">
              <a16:creationId xmlns="" xmlns:a16="http://schemas.microsoft.com/office/drawing/2014/main" id="{95F45031-CB0C-44E0-89D6-9677130487DC}"/>
            </a:ext>
          </a:extLst>
        </xdr:cNvPr>
        <xdr:cNvSpPr/>
      </xdr:nvSpPr>
      <xdr:spPr bwMode="auto">
        <a:xfrm>
          <a:off x="5145583" y="86783"/>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400" b="1">
              <a:solidFill>
                <a:schemeClr val="tx1"/>
              </a:solidFill>
              <a:latin typeface="Bookman Old Style" pitchFamily="18" charset="0"/>
            </a:rPr>
            <a:t>Kembali Ke Grafik Hasil      </a:t>
          </a:r>
          <a:r>
            <a:rPr lang="en-US" sz="1600" b="1">
              <a:solidFill>
                <a:schemeClr val="tx1"/>
              </a:solidFill>
              <a:latin typeface="Bookman Old Style" pitchFamily="18" charset="0"/>
            </a:rPr>
            <a:t>Tes Enneagram</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1765299</xdr:colOff>
      <xdr:row>0</xdr:row>
      <xdr:rowOff>95250</xdr:rowOff>
    </xdr:from>
    <xdr:to>
      <xdr:col>1</xdr:col>
      <xdr:colOff>4232274</xdr:colOff>
      <xdr:row>0</xdr:row>
      <xdr:rowOff>885825</xdr:rowOff>
    </xdr:to>
    <xdr:sp macro="[0]!RoundedRectangle1_Click" textlink="">
      <xdr:nvSpPr>
        <xdr:cNvPr id="2" name="Rounded Rectangle 1">
          <a:hlinkClick xmlns:r="http://schemas.openxmlformats.org/officeDocument/2006/relationships" r:id="rId1"/>
          <a:extLst>
            <a:ext uri="{FF2B5EF4-FFF2-40B4-BE49-F238E27FC236}">
              <a16:creationId xmlns="" xmlns:a16="http://schemas.microsoft.com/office/drawing/2014/main" id="{C909E3FA-DBA2-4269-9926-A5D563B369B1}"/>
            </a:ext>
          </a:extLst>
        </xdr:cNvPr>
        <xdr:cNvSpPr/>
      </xdr:nvSpPr>
      <xdr:spPr bwMode="auto">
        <a:xfrm>
          <a:off x="2136774" y="95250"/>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600" b="1">
              <a:solidFill>
                <a:schemeClr val="tx1"/>
              </a:solidFill>
              <a:latin typeface="Bookman Old Style" pitchFamily="18" charset="0"/>
            </a:rPr>
            <a:t>Kembali Ke</a:t>
          </a:r>
          <a:r>
            <a:rPr lang="en-US" sz="1600" b="1" baseline="0">
              <a:solidFill>
                <a:schemeClr val="tx1"/>
              </a:solidFill>
              <a:latin typeface="Bookman Old Style" pitchFamily="18" charset="0"/>
            </a:rPr>
            <a:t> </a:t>
          </a:r>
          <a:r>
            <a:rPr lang="en-US" sz="1600" b="1">
              <a:solidFill>
                <a:schemeClr val="tx1"/>
              </a:solidFill>
              <a:latin typeface="Bookman Old Style" pitchFamily="18" charset="0"/>
            </a:rPr>
            <a:t>Lembar Tes Enneagram</a:t>
          </a:r>
        </a:p>
      </xdr:txBody>
    </xdr:sp>
    <xdr:clientData/>
  </xdr:twoCellAnchor>
  <xdr:twoCellAnchor>
    <xdr:from>
      <xdr:col>1</xdr:col>
      <xdr:colOff>4774108</xdr:colOff>
      <xdr:row>0</xdr:row>
      <xdr:rowOff>86783</xdr:rowOff>
    </xdr:from>
    <xdr:to>
      <xdr:col>1</xdr:col>
      <xdr:colOff>7241083</xdr:colOff>
      <xdr:row>0</xdr:row>
      <xdr:rowOff>877358</xdr:rowOff>
    </xdr:to>
    <xdr:sp macro="[0]!RoundedRectangle1_Click" textlink="">
      <xdr:nvSpPr>
        <xdr:cNvPr id="3" name="Rounded Rectangle 2">
          <a:hlinkClick xmlns:r="http://schemas.openxmlformats.org/officeDocument/2006/relationships" r:id="rId2"/>
          <a:extLst>
            <a:ext uri="{FF2B5EF4-FFF2-40B4-BE49-F238E27FC236}">
              <a16:creationId xmlns="" xmlns:a16="http://schemas.microsoft.com/office/drawing/2014/main" id="{729D98CC-74EE-4D49-A965-7C7CAB613442}"/>
            </a:ext>
          </a:extLst>
        </xdr:cNvPr>
        <xdr:cNvSpPr/>
      </xdr:nvSpPr>
      <xdr:spPr bwMode="auto">
        <a:xfrm>
          <a:off x="5145583" y="86783"/>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400" b="1">
              <a:solidFill>
                <a:schemeClr val="tx1"/>
              </a:solidFill>
              <a:latin typeface="Bookman Old Style" pitchFamily="18" charset="0"/>
            </a:rPr>
            <a:t>Kembali Ke Grafik Hasil      </a:t>
          </a:r>
          <a:r>
            <a:rPr lang="en-US" sz="1600" b="1">
              <a:solidFill>
                <a:schemeClr val="tx1"/>
              </a:solidFill>
              <a:latin typeface="Bookman Old Style" pitchFamily="18" charset="0"/>
            </a:rPr>
            <a:t>Tes Enneagram</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1765299</xdr:colOff>
      <xdr:row>0</xdr:row>
      <xdr:rowOff>95250</xdr:rowOff>
    </xdr:from>
    <xdr:to>
      <xdr:col>1</xdr:col>
      <xdr:colOff>4232274</xdr:colOff>
      <xdr:row>0</xdr:row>
      <xdr:rowOff>885825</xdr:rowOff>
    </xdr:to>
    <xdr:sp macro="[0]!RoundedRectangle1_Click" textlink="">
      <xdr:nvSpPr>
        <xdr:cNvPr id="2" name="Rounded Rectangle 1">
          <a:hlinkClick xmlns:r="http://schemas.openxmlformats.org/officeDocument/2006/relationships" r:id="rId1"/>
          <a:extLst>
            <a:ext uri="{FF2B5EF4-FFF2-40B4-BE49-F238E27FC236}">
              <a16:creationId xmlns="" xmlns:a16="http://schemas.microsoft.com/office/drawing/2014/main" id="{72FBB139-BAF0-462C-BD47-428B55FB6BDD}"/>
            </a:ext>
          </a:extLst>
        </xdr:cNvPr>
        <xdr:cNvSpPr/>
      </xdr:nvSpPr>
      <xdr:spPr bwMode="auto">
        <a:xfrm>
          <a:off x="2136774" y="95250"/>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600" b="1">
              <a:solidFill>
                <a:schemeClr val="tx1"/>
              </a:solidFill>
              <a:latin typeface="Bookman Old Style" pitchFamily="18" charset="0"/>
            </a:rPr>
            <a:t>Kembali Ke</a:t>
          </a:r>
          <a:r>
            <a:rPr lang="en-US" sz="1600" b="1" baseline="0">
              <a:solidFill>
                <a:schemeClr val="tx1"/>
              </a:solidFill>
              <a:latin typeface="Bookman Old Style" pitchFamily="18" charset="0"/>
            </a:rPr>
            <a:t> </a:t>
          </a:r>
          <a:r>
            <a:rPr lang="en-US" sz="1600" b="1">
              <a:solidFill>
                <a:schemeClr val="tx1"/>
              </a:solidFill>
              <a:latin typeface="Bookman Old Style" pitchFamily="18" charset="0"/>
            </a:rPr>
            <a:t>Lembar Tes Enneagram</a:t>
          </a:r>
        </a:p>
      </xdr:txBody>
    </xdr:sp>
    <xdr:clientData/>
  </xdr:twoCellAnchor>
  <xdr:twoCellAnchor>
    <xdr:from>
      <xdr:col>1</xdr:col>
      <xdr:colOff>4774108</xdr:colOff>
      <xdr:row>0</xdr:row>
      <xdr:rowOff>86783</xdr:rowOff>
    </xdr:from>
    <xdr:to>
      <xdr:col>1</xdr:col>
      <xdr:colOff>7241083</xdr:colOff>
      <xdr:row>0</xdr:row>
      <xdr:rowOff>877358</xdr:rowOff>
    </xdr:to>
    <xdr:sp macro="[0]!RoundedRectangle1_Click" textlink="">
      <xdr:nvSpPr>
        <xdr:cNvPr id="3" name="Rounded Rectangle 2">
          <a:hlinkClick xmlns:r="http://schemas.openxmlformats.org/officeDocument/2006/relationships" r:id="rId2"/>
          <a:extLst>
            <a:ext uri="{FF2B5EF4-FFF2-40B4-BE49-F238E27FC236}">
              <a16:creationId xmlns="" xmlns:a16="http://schemas.microsoft.com/office/drawing/2014/main" id="{E7A914EB-DE96-486B-9794-BD72C9E7FDB1}"/>
            </a:ext>
          </a:extLst>
        </xdr:cNvPr>
        <xdr:cNvSpPr/>
      </xdr:nvSpPr>
      <xdr:spPr bwMode="auto">
        <a:xfrm>
          <a:off x="5145583" y="86783"/>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400" b="1">
              <a:solidFill>
                <a:schemeClr val="tx1"/>
              </a:solidFill>
              <a:latin typeface="Bookman Old Style" pitchFamily="18" charset="0"/>
            </a:rPr>
            <a:t>Kembali Ke Grafik Hasil      </a:t>
          </a:r>
          <a:r>
            <a:rPr lang="en-US" sz="1600" b="1">
              <a:solidFill>
                <a:schemeClr val="tx1"/>
              </a:solidFill>
              <a:latin typeface="Bookman Old Style" pitchFamily="18" charset="0"/>
            </a:rPr>
            <a:t>Tes Enneagram</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1765299</xdr:colOff>
      <xdr:row>0</xdr:row>
      <xdr:rowOff>95250</xdr:rowOff>
    </xdr:from>
    <xdr:to>
      <xdr:col>1</xdr:col>
      <xdr:colOff>4232274</xdr:colOff>
      <xdr:row>0</xdr:row>
      <xdr:rowOff>885825</xdr:rowOff>
    </xdr:to>
    <xdr:sp macro="[0]!RoundedRectangle1_Click" textlink="">
      <xdr:nvSpPr>
        <xdr:cNvPr id="2" name="Rounded Rectangle 1">
          <a:hlinkClick xmlns:r="http://schemas.openxmlformats.org/officeDocument/2006/relationships" r:id="rId1"/>
          <a:extLst>
            <a:ext uri="{FF2B5EF4-FFF2-40B4-BE49-F238E27FC236}">
              <a16:creationId xmlns="" xmlns:a16="http://schemas.microsoft.com/office/drawing/2014/main" id="{79377E01-58DC-4EEF-BF8F-3FF21B5D1C92}"/>
            </a:ext>
          </a:extLst>
        </xdr:cNvPr>
        <xdr:cNvSpPr/>
      </xdr:nvSpPr>
      <xdr:spPr bwMode="auto">
        <a:xfrm>
          <a:off x="2136774" y="95250"/>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600" b="1">
              <a:solidFill>
                <a:schemeClr val="tx1"/>
              </a:solidFill>
              <a:latin typeface="Bookman Old Style" pitchFamily="18" charset="0"/>
            </a:rPr>
            <a:t>Kembali Ke</a:t>
          </a:r>
          <a:r>
            <a:rPr lang="en-US" sz="1600" b="1" baseline="0">
              <a:solidFill>
                <a:schemeClr val="tx1"/>
              </a:solidFill>
              <a:latin typeface="Bookman Old Style" pitchFamily="18" charset="0"/>
            </a:rPr>
            <a:t> </a:t>
          </a:r>
          <a:r>
            <a:rPr lang="en-US" sz="1600" b="1">
              <a:solidFill>
                <a:schemeClr val="tx1"/>
              </a:solidFill>
              <a:latin typeface="Bookman Old Style" pitchFamily="18" charset="0"/>
            </a:rPr>
            <a:t>Lembar Tes Enneagram</a:t>
          </a:r>
        </a:p>
      </xdr:txBody>
    </xdr:sp>
    <xdr:clientData/>
  </xdr:twoCellAnchor>
  <xdr:twoCellAnchor>
    <xdr:from>
      <xdr:col>1</xdr:col>
      <xdr:colOff>4774108</xdr:colOff>
      <xdr:row>0</xdr:row>
      <xdr:rowOff>86783</xdr:rowOff>
    </xdr:from>
    <xdr:to>
      <xdr:col>1</xdr:col>
      <xdr:colOff>7241083</xdr:colOff>
      <xdr:row>0</xdr:row>
      <xdr:rowOff>877358</xdr:rowOff>
    </xdr:to>
    <xdr:sp macro="[0]!RoundedRectangle1_Click" textlink="">
      <xdr:nvSpPr>
        <xdr:cNvPr id="3" name="Rounded Rectangle 2">
          <a:hlinkClick xmlns:r="http://schemas.openxmlformats.org/officeDocument/2006/relationships" r:id="rId2"/>
          <a:extLst>
            <a:ext uri="{FF2B5EF4-FFF2-40B4-BE49-F238E27FC236}">
              <a16:creationId xmlns="" xmlns:a16="http://schemas.microsoft.com/office/drawing/2014/main" id="{28DA1C0C-C033-4C9A-BCCE-5D8ED9D3AD6D}"/>
            </a:ext>
          </a:extLst>
        </xdr:cNvPr>
        <xdr:cNvSpPr/>
      </xdr:nvSpPr>
      <xdr:spPr bwMode="auto">
        <a:xfrm>
          <a:off x="5145583" y="86783"/>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400" b="1">
              <a:solidFill>
                <a:schemeClr val="tx1"/>
              </a:solidFill>
              <a:latin typeface="Bookman Old Style" pitchFamily="18" charset="0"/>
            </a:rPr>
            <a:t>Kembali Ke Grafik Hasil      </a:t>
          </a:r>
          <a:r>
            <a:rPr lang="en-US" sz="1600" b="1">
              <a:solidFill>
                <a:schemeClr val="tx1"/>
              </a:solidFill>
              <a:latin typeface="Bookman Old Style" pitchFamily="18" charset="0"/>
            </a:rPr>
            <a:t>Tes Enneagram</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1765299</xdr:colOff>
      <xdr:row>0</xdr:row>
      <xdr:rowOff>95250</xdr:rowOff>
    </xdr:from>
    <xdr:to>
      <xdr:col>1</xdr:col>
      <xdr:colOff>4232274</xdr:colOff>
      <xdr:row>0</xdr:row>
      <xdr:rowOff>885825</xdr:rowOff>
    </xdr:to>
    <xdr:sp macro="[0]!RoundedRectangle1_Click" textlink="">
      <xdr:nvSpPr>
        <xdr:cNvPr id="2" name="Rounded Rectangle 1">
          <a:hlinkClick xmlns:r="http://schemas.openxmlformats.org/officeDocument/2006/relationships" r:id="rId1"/>
          <a:extLst>
            <a:ext uri="{FF2B5EF4-FFF2-40B4-BE49-F238E27FC236}">
              <a16:creationId xmlns="" xmlns:a16="http://schemas.microsoft.com/office/drawing/2014/main" id="{23D4E88C-B2D5-485C-AB04-9DA253602AF3}"/>
            </a:ext>
          </a:extLst>
        </xdr:cNvPr>
        <xdr:cNvSpPr/>
      </xdr:nvSpPr>
      <xdr:spPr bwMode="auto">
        <a:xfrm>
          <a:off x="2136774" y="95250"/>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600" b="1">
              <a:solidFill>
                <a:schemeClr val="tx1"/>
              </a:solidFill>
              <a:latin typeface="Bookman Old Style" pitchFamily="18" charset="0"/>
            </a:rPr>
            <a:t>Kembali Ke</a:t>
          </a:r>
          <a:r>
            <a:rPr lang="en-US" sz="1600" b="1" baseline="0">
              <a:solidFill>
                <a:schemeClr val="tx1"/>
              </a:solidFill>
              <a:latin typeface="Bookman Old Style" pitchFamily="18" charset="0"/>
            </a:rPr>
            <a:t> </a:t>
          </a:r>
          <a:r>
            <a:rPr lang="en-US" sz="1600" b="1">
              <a:solidFill>
                <a:schemeClr val="tx1"/>
              </a:solidFill>
              <a:latin typeface="Bookman Old Style" pitchFamily="18" charset="0"/>
            </a:rPr>
            <a:t>Lembar Tes Enneagram</a:t>
          </a:r>
        </a:p>
      </xdr:txBody>
    </xdr:sp>
    <xdr:clientData/>
  </xdr:twoCellAnchor>
  <xdr:twoCellAnchor>
    <xdr:from>
      <xdr:col>1</xdr:col>
      <xdr:colOff>4774108</xdr:colOff>
      <xdr:row>0</xdr:row>
      <xdr:rowOff>86783</xdr:rowOff>
    </xdr:from>
    <xdr:to>
      <xdr:col>1</xdr:col>
      <xdr:colOff>7241083</xdr:colOff>
      <xdr:row>0</xdr:row>
      <xdr:rowOff>877358</xdr:rowOff>
    </xdr:to>
    <xdr:sp macro="[0]!RoundedRectangle1_Click" textlink="">
      <xdr:nvSpPr>
        <xdr:cNvPr id="3" name="Rounded Rectangle 2">
          <a:hlinkClick xmlns:r="http://schemas.openxmlformats.org/officeDocument/2006/relationships" r:id="rId2"/>
          <a:extLst>
            <a:ext uri="{FF2B5EF4-FFF2-40B4-BE49-F238E27FC236}">
              <a16:creationId xmlns="" xmlns:a16="http://schemas.microsoft.com/office/drawing/2014/main" id="{516392F9-C0EC-4727-A711-46D9BE0E65D3}"/>
            </a:ext>
          </a:extLst>
        </xdr:cNvPr>
        <xdr:cNvSpPr/>
      </xdr:nvSpPr>
      <xdr:spPr bwMode="auto">
        <a:xfrm>
          <a:off x="5145583" y="86783"/>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400" b="1">
              <a:solidFill>
                <a:schemeClr val="tx1"/>
              </a:solidFill>
              <a:latin typeface="Bookman Old Style" pitchFamily="18" charset="0"/>
            </a:rPr>
            <a:t>Kembali Ke Grafik Hasil      </a:t>
          </a:r>
          <a:r>
            <a:rPr lang="en-US" sz="1600" b="1">
              <a:solidFill>
                <a:schemeClr val="tx1"/>
              </a:solidFill>
              <a:latin typeface="Bookman Old Style" pitchFamily="18" charset="0"/>
            </a:rPr>
            <a:t>Tes Enneagram</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1765299</xdr:colOff>
      <xdr:row>0</xdr:row>
      <xdr:rowOff>95250</xdr:rowOff>
    </xdr:from>
    <xdr:to>
      <xdr:col>1</xdr:col>
      <xdr:colOff>4232274</xdr:colOff>
      <xdr:row>0</xdr:row>
      <xdr:rowOff>885825</xdr:rowOff>
    </xdr:to>
    <xdr:sp macro="[0]!RoundedRectangle1_Click" textlink="">
      <xdr:nvSpPr>
        <xdr:cNvPr id="2" name="Rounded Rectangle 1">
          <a:hlinkClick xmlns:r="http://schemas.openxmlformats.org/officeDocument/2006/relationships" r:id="rId1"/>
          <a:extLst>
            <a:ext uri="{FF2B5EF4-FFF2-40B4-BE49-F238E27FC236}">
              <a16:creationId xmlns="" xmlns:a16="http://schemas.microsoft.com/office/drawing/2014/main" id="{16CCDF2E-B7B3-4003-8D18-7648195E3F17}"/>
            </a:ext>
          </a:extLst>
        </xdr:cNvPr>
        <xdr:cNvSpPr/>
      </xdr:nvSpPr>
      <xdr:spPr bwMode="auto">
        <a:xfrm>
          <a:off x="2136774" y="95250"/>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600" b="1">
              <a:solidFill>
                <a:schemeClr val="tx1"/>
              </a:solidFill>
              <a:latin typeface="Bookman Old Style" pitchFamily="18" charset="0"/>
            </a:rPr>
            <a:t>Kembali Ke</a:t>
          </a:r>
          <a:r>
            <a:rPr lang="en-US" sz="1600" b="1" baseline="0">
              <a:solidFill>
                <a:schemeClr val="tx1"/>
              </a:solidFill>
              <a:latin typeface="Bookman Old Style" pitchFamily="18" charset="0"/>
            </a:rPr>
            <a:t> </a:t>
          </a:r>
          <a:r>
            <a:rPr lang="en-US" sz="1600" b="1">
              <a:solidFill>
                <a:schemeClr val="tx1"/>
              </a:solidFill>
              <a:latin typeface="Bookman Old Style" pitchFamily="18" charset="0"/>
            </a:rPr>
            <a:t>Lembar Tes Enneagram</a:t>
          </a:r>
        </a:p>
      </xdr:txBody>
    </xdr:sp>
    <xdr:clientData/>
  </xdr:twoCellAnchor>
  <xdr:twoCellAnchor>
    <xdr:from>
      <xdr:col>1</xdr:col>
      <xdr:colOff>4774108</xdr:colOff>
      <xdr:row>0</xdr:row>
      <xdr:rowOff>86783</xdr:rowOff>
    </xdr:from>
    <xdr:to>
      <xdr:col>1</xdr:col>
      <xdr:colOff>7241083</xdr:colOff>
      <xdr:row>0</xdr:row>
      <xdr:rowOff>877358</xdr:rowOff>
    </xdr:to>
    <xdr:sp macro="[0]!RoundedRectangle1_Click" textlink="">
      <xdr:nvSpPr>
        <xdr:cNvPr id="3" name="Rounded Rectangle 2">
          <a:hlinkClick xmlns:r="http://schemas.openxmlformats.org/officeDocument/2006/relationships" r:id="rId2"/>
          <a:extLst>
            <a:ext uri="{FF2B5EF4-FFF2-40B4-BE49-F238E27FC236}">
              <a16:creationId xmlns="" xmlns:a16="http://schemas.microsoft.com/office/drawing/2014/main" id="{AF557F38-D88E-49BE-A194-7E4E411CB85A}"/>
            </a:ext>
          </a:extLst>
        </xdr:cNvPr>
        <xdr:cNvSpPr/>
      </xdr:nvSpPr>
      <xdr:spPr bwMode="auto">
        <a:xfrm>
          <a:off x="5145583" y="86783"/>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400" b="1">
              <a:solidFill>
                <a:schemeClr val="tx1"/>
              </a:solidFill>
              <a:latin typeface="Bookman Old Style" pitchFamily="18" charset="0"/>
            </a:rPr>
            <a:t>Kembali Ke Grafik Hasil      </a:t>
          </a:r>
          <a:r>
            <a:rPr lang="en-US" sz="1600" b="1">
              <a:solidFill>
                <a:schemeClr val="tx1"/>
              </a:solidFill>
              <a:latin typeface="Bookman Old Style" pitchFamily="18" charset="0"/>
            </a:rPr>
            <a:t>Tes Enneagram</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1765299</xdr:colOff>
      <xdr:row>0</xdr:row>
      <xdr:rowOff>95250</xdr:rowOff>
    </xdr:from>
    <xdr:to>
      <xdr:col>1</xdr:col>
      <xdr:colOff>4232274</xdr:colOff>
      <xdr:row>0</xdr:row>
      <xdr:rowOff>885825</xdr:rowOff>
    </xdr:to>
    <xdr:sp macro="[0]!RoundedRectangle1_Click" textlink="">
      <xdr:nvSpPr>
        <xdr:cNvPr id="2" name="Rounded Rectangle 1">
          <a:hlinkClick xmlns:r="http://schemas.openxmlformats.org/officeDocument/2006/relationships" r:id="rId1"/>
          <a:extLst>
            <a:ext uri="{FF2B5EF4-FFF2-40B4-BE49-F238E27FC236}">
              <a16:creationId xmlns="" xmlns:a16="http://schemas.microsoft.com/office/drawing/2014/main" id="{6F890D34-3118-4E87-A4FC-16018E511042}"/>
            </a:ext>
          </a:extLst>
        </xdr:cNvPr>
        <xdr:cNvSpPr/>
      </xdr:nvSpPr>
      <xdr:spPr bwMode="auto">
        <a:xfrm>
          <a:off x="2136774" y="95250"/>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600" b="1">
              <a:solidFill>
                <a:schemeClr val="tx1"/>
              </a:solidFill>
              <a:latin typeface="Bookman Old Style" pitchFamily="18" charset="0"/>
            </a:rPr>
            <a:t>Kembali Ke</a:t>
          </a:r>
          <a:r>
            <a:rPr lang="en-US" sz="1600" b="1" baseline="0">
              <a:solidFill>
                <a:schemeClr val="tx1"/>
              </a:solidFill>
              <a:latin typeface="Bookman Old Style" pitchFamily="18" charset="0"/>
            </a:rPr>
            <a:t> </a:t>
          </a:r>
          <a:r>
            <a:rPr lang="en-US" sz="1600" b="1">
              <a:solidFill>
                <a:schemeClr val="tx1"/>
              </a:solidFill>
              <a:latin typeface="Bookman Old Style" pitchFamily="18" charset="0"/>
            </a:rPr>
            <a:t>Lembar Tes Enneagram</a:t>
          </a:r>
        </a:p>
      </xdr:txBody>
    </xdr:sp>
    <xdr:clientData/>
  </xdr:twoCellAnchor>
  <xdr:twoCellAnchor>
    <xdr:from>
      <xdr:col>1</xdr:col>
      <xdr:colOff>4774108</xdr:colOff>
      <xdr:row>0</xdr:row>
      <xdr:rowOff>86783</xdr:rowOff>
    </xdr:from>
    <xdr:to>
      <xdr:col>1</xdr:col>
      <xdr:colOff>7241083</xdr:colOff>
      <xdr:row>0</xdr:row>
      <xdr:rowOff>877358</xdr:rowOff>
    </xdr:to>
    <xdr:sp macro="[0]!RoundedRectangle1_Click" textlink="">
      <xdr:nvSpPr>
        <xdr:cNvPr id="3" name="Rounded Rectangle 2">
          <a:hlinkClick xmlns:r="http://schemas.openxmlformats.org/officeDocument/2006/relationships" r:id="rId2"/>
          <a:extLst>
            <a:ext uri="{FF2B5EF4-FFF2-40B4-BE49-F238E27FC236}">
              <a16:creationId xmlns="" xmlns:a16="http://schemas.microsoft.com/office/drawing/2014/main" id="{FDE3889E-BD73-4AB2-8A08-F36702F17016}"/>
            </a:ext>
          </a:extLst>
        </xdr:cNvPr>
        <xdr:cNvSpPr/>
      </xdr:nvSpPr>
      <xdr:spPr bwMode="auto">
        <a:xfrm>
          <a:off x="5145583" y="86783"/>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400" b="1">
              <a:solidFill>
                <a:schemeClr val="tx1"/>
              </a:solidFill>
              <a:latin typeface="Bookman Old Style" pitchFamily="18" charset="0"/>
            </a:rPr>
            <a:t>Kembali Ke Grafik Hasil      </a:t>
          </a:r>
          <a:r>
            <a:rPr lang="en-US" sz="1600" b="1">
              <a:solidFill>
                <a:schemeClr val="tx1"/>
              </a:solidFill>
              <a:latin typeface="Bookman Old Style" pitchFamily="18" charset="0"/>
            </a:rPr>
            <a:t>Tes Enneagram</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1765299</xdr:colOff>
      <xdr:row>0</xdr:row>
      <xdr:rowOff>95250</xdr:rowOff>
    </xdr:from>
    <xdr:to>
      <xdr:col>1</xdr:col>
      <xdr:colOff>4232274</xdr:colOff>
      <xdr:row>0</xdr:row>
      <xdr:rowOff>885825</xdr:rowOff>
    </xdr:to>
    <xdr:sp macro="[0]!RoundedRectangle1_Click" textlink="">
      <xdr:nvSpPr>
        <xdr:cNvPr id="2" name="Rounded Rectangle 1">
          <a:hlinkClick xmlns:r="http://schemas.openxmlformats.org/officeDocument/2006/relationships" r:id="rId1"/>
          <a:extLst>
            <a:ext uri="{FF2B5EF4-FFF2-40B4-BE49-F238E27FC236}">
              <a16:creationId xmlns="" xmlns:a16="http://schemas.microsoft.com/office/drawing/2014/main" id="{4D564E68-87DF-4AD9-AA6F-986A011BBC12}"/>
            </a:ext>
          </a:extLst>
        </xdr:cNvPr>
        <xdr:cNvSpPr/>
      </xdr:nvSpPr>
      <xdr:spPr bwMode="auto">
        <a:xfrm>
          <a:off x="2136774" y="95250"/>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600" b="1">
              <a:solidFill>
                <a:schemeClr val="tx1"/>
              </a:solidFill>
              <a:latin typeface="Bookman Old Style" pitchFamily="18" charset="0"/>
            </a:rPr>
            <a:t>Kembali Ke</a:t>
          </a:r>
          <a:r>
            <a:rPr lang="en-US" sz="1600" b="1" baseline="0">
              <a:solidFill>
                <a:schemeClr val="tx1"/>
              </a:solidFill>
              <a:latin typeface="Bookman Old Style" pitchFamily="18" charset="0"/>
            </a:rPr>
            <a:t> </a:t>
          </a:r>
          <a:r>
            <a:rPr lang="en-US" sz="1600" b="1">
              <a:solidFill>
                <a:schemeClr val="tx1"/>
              </a:solidFill>
              <a:latin typeface="Bookman Old Style" pitchFamily="18" charset="0"/>
            </a:rPr>
            <a:t>Lembar Tes Enneagram</a:t>
          </a:r>
        </a:p>
      </xdr:txBody>
    </xdr:sp>
    <xdr:clientData/>
  </xdr:twoCellAnchor>
  <xdr:twoCellAnchor>
    <xdr:from>
      <xdr:col>1</xdr:col>
      <xdr:colOff>4774108</xdr:colOff>
      <xdr:row>0</xdr:row>
      <xdr:rowOff>86783</xdr:rowOff>
    </xdr:from>
    <xdr:to>
      <xdr:col>1</xdr:col>
      <xdr:colOff>7241083</xdr:colOff>
      <xdr:row>0</xdr:row>
      <xdr:rowOff>877358</xdr:rowOff>
    </xdr:to>
    <xdr:sp macro="[0]!RoundedRectangle1_Click" textlink="">
      <xdr:nvSpPr>
        <xdr:cNvPr id="3" name="Rounded Rectangle 2">
          <a:hlinkClick xmlns:r="http://schemas.openxmlformats.org/officeDocument/2006/relationships" r:id="rId2"/>
          <a:extLst>
            <a:ext uri="{FF2B5EF4-FFF2-40B4-BE49-F238E27FC236}">
              <a16:creationId xmlns="" xmlns:a16="http://schemas.microsoft.com/office/drawing/2014/main" id="{06A8BBCA-3A18-4AB7-B007-3571F02271EF}"/>
            </a:ext>
          </a:extLst>
        </xdr:cNvPr>
        <xdr:cNvSpPr/>
      </xdr:nvSpPr>
      <xdr:spPr bwMode="auto">
        <a:xfrm>
          <a:off x="5145583" y="86783"/>
          <a:ext cx="2466975" cy="790575"/>
        </a:xfrm>
        <a:prstGeom prst="roundRect">
          <a:avLst/>
        </a:prstGeom>
        <a:solidFill>
          <a:schemeClr val="accent5">
            <a:lumMod val="40000"/>
            <a:lumOff val="60000"/>
          </a:schemeClr>
        </a:solidFill>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ctr" upright="1"/>
        <a:lstStyle/>
        <a:p>
          <a:pPr algn="ctr"/>
          <a:r>
            <a:rPr lang="en-US" sz="1400" b="1">
              <a:solidFill>
                <a:schemeClr val="tx1"/>
              </a:solidFill>
              <a:latin typeface="Bookman Old Style" pitchFamily="18" charset="0"/>
            </a:rPr>
            <a:t>Kembali Ke Grafik Hasil      </a:t>
          </a:r>
          <a:r>
            <a:rPr lang="en-US" sz="1600" b="1">
              <a:solidFill>
                <a:schemeClr val="tx1"/>
              </a:solidFill>
              <a:latin typeface="Bookman Old Style" pitchFamily="18" charset="0"/>
            </a:rPr>
            <a:t>Tes Enneagram</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vra.consultant@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2:T21"/>
  <sheetViews>
    <sheetView tabSelected="1" workbookViewId="0"/>
  </sheetViews>
  <sheetFormatPr defaultColWidth="9.1796875" defaultRowHeight="12.5" x14ac:dyDescent="0.25"/>
  <cols>
    <col min="1" max="16384" width="9.1796875" style="55"/>
  </cols>
  <sheetData>
    <row r="2" spans="14:20" x14ac:dyDescent="0.25">
      <c r="R2" s="56" t="s">
        <v>222</v>
      </c>
    </row>
    <row r="8" spans="14:20" ht="12.75" customHeight="1" x14ac:dyDescent="0.25">
      <c r="N8" s="69" t="s">
        <v>223</v>
      </c>
      <c r="O8" s="69"/>
      <c r="P8" s="69"/>
      <c r="Q8" s="69"/>
      <c r="R8" s="69"/>
      <c r="S8" s="69"/>
      <c r="T8" s="69"/>
    </row>
    <row r="9" spans="14:20" x14ac:dyDescent="0.25">
      <c r="N9" s="69"/>
      <c r="O9" s="69"/>
      <c r="P9" s="69"/>
      <c r="Q9" s="69"/>
      <c r="R9" s="69"/>
      <c r="S9" s="69"/>
      <c r="T9" s="69"/>
    </row>
    <row r="10" spans="14:20" x14ac:dyDescent="0.25">
      <c r="N10" s="69"/>
      <c r="O10" s="69"/>
      <c r="P10" s="69"/>
      <c r="Q10" s="69"/>
      <c r="R10" s="69"/>
      <c r="S10" s="69"/>
      <c r="T10" s="69"/>
    </row>
    <row r="11" spans="14:20" ht="12.75" customHeight="1" x14ac:dyDescent="0.25">
      <c r="N11" s="69"/>
      <c r="O11" s="69"/>
      <c r="P11" s="69"/>
      <c r="Q11" s="69"/>
      <c r="R11" s="69"/>
      <c r="S11" s="69"/>
      <c r="T11" s="69"/>
    </row>
    <row r="12" spans="14:20" ht="12.75" customHeight="1" x14ac:dyDescent="0.25">
      <c r="N12" s="69"/>
      <c r="O12" s="69"/>
      <c r="P12" s="69"/>
      <c r="Q12" s="69"/>
      <c r="R12" s="69"/>
      <c r="S12" s="69"/>
      <c r="T12" s="69"/>
    </row>
    <row r="13" spans="14:20" ht="12.75" customHeight="1" x14ac:dyDescent="0.25">
      <c r="N13" s="69"/>
      <c r="O13" s="69"/>
      <c r="P13" s="69"/>
      <c r="Q13" s="69"/>
      <c r="R13" s="69"/>
      <c r="S13" s="69"/>
      <c r="T13" s="69"/>
    </row>
    <row r="14" spans="14:20" ht="12.75" customHeight="1" x14ac:dyDescent="0.25">
      <c r="N14" s="69"/>
      <c r="O14" s="69"/>
      <c r="P14" s="69"/>
      <c r="Q14" s="69"/>
      <c r="R14" s="69"/>
      <c r="S14" s="69"/>
      <c r="T14" s="69"/>
    </row>
    <row r="15" spans="14:20" ht="12.75" customHeight="1" x14ac:dyDescent="0.25">
      <c r="N15" s="69"/>
      <c r="O15" s="69"/>
      <c r="P15" s="69"/>
      <c r="Q15" s="69"/>
      <c r="R15" s="69"/>
      <c r="S15" s="69"/>
      <c r="T15" s="69"/>
    </row>
    <row r="16" spans="14:20" ht="12.75" customHeight="1" x14ac:dyDescent="0.25">
      <c r="N16" s="69"/>
      <c r="O16" s="69"/>
      <c r="P16" s="69"/>
      <c r="Q16" s="69"/>
      <c r="R16" s="69"/>
      <c r="S16" s="69"/>
      <c r="T16" s="69"/>
    </row>
    <row r="17" spans="14:20" ht="12.75" customHeight="1" x14ac:dyDescent="0.25">
      <c r="N17" s="69"/>
      <c r="O17" s="69"/>
      <c r="P17" s="69"/>
      <c r="Q17" s="69"/>
      <c r="R17" s="69"/>
      <c r="S17" s="69"/>
      <c r="T17" s="69"/>
    </row>
    <row r="18" spans="14:20" ht="12.75" customHeight="1" x14ac:dyDescent="0.25">
      <c r="N18" s="69"/>
      <c r="O18" s="69"/>
      <c r="P18" s="69"/>
      <c r="Q18" s="69"/>
      <c r="R18" s="69"/>
      <c r="S18" s="69"/>
      <c r="T18" s="69"/>
    </row>
    <row r="19" spans="14:20" ht="12.75" customHeight="1" x14ac:dyDescent="0.25">
      <c r="N19" s="69"/>
      <c r="O19" s="69"/>
      <c r="P19" s="69"/>
      <c r="Q19" s="69"/>
      <c r="R19" s="69"/>
      <c r="S19" s="69"/>
      <c r="T19" s="69"/>
    </row>
    <row r="20" spans="14:20" ht="12.75" customHeight="1" x14ac:dyDescent="0.25">
      <c r="N20" s="69"/>
      <c r="O20" s="69"/>
      <c r="P20" s="69"/>
      <c r="Q20" s="69"/>
      <c r="R20" s="69"/>
      <c r="S20" s="69"/>
      <c r="T20" s="69"/>
    </row>
    <row r="21" spans="14:20" ht="12.75" customHeight="1" x14ac:dyDescent="0.25">
      <c r="N21" s="69"/>
      <c r="O21" s="69"/>
      <c r="P21" s="69"/>
      <c r="Q21" s="69"/>
      <c r="R21" s="69"/>
      <c r="S21" s="69"/>
      <c r="T21" s="69"/>
    </row>
  </sheetData>
  <sheetProtection password="C47F" sheet="1" objects="1"/>
  <mergeCells count="1">
    <mergeCell ref="N8:T21"/>
  </mergeCells>
  <hyperlinks>
    <hyperlink ref="R2" r:id="rId1"/>
  </hyperlinks>
  <pageMargins left="0.7" right="0.7" top="0.75" bottom="0.75" header="0.3" footer="0.3"/>
  <pageSetup paperSize="9" orientation="portrait" horizontalDpi="0"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K602"/>
  <sheetViews>
    <sheetView zoomScaleNormal="100" workbookViewId="0">
      <pane ySplit="4" topLeftCell="A5" activePane="bottomLeft" state="frozen"/>
      <selection activeCell="B1" sqref="B1"/>
      <selection pane="bottomLeft" activeCell="F3" sqref="F3:F4"/>
    </sheetView>
  </sheetViews>
  <sheetFormatPr defaultRowHeight="40" customHeight="1" x14ac:dyDescent="0.25"/>
  <cols>
    <col min="1" max="1" width="7.26953125" style="1" hidden="1" customWidth="1"/>
    <col min="2" max="2" width="3.26953125" style="5" customWidth="1"/>
    <col min="3" max="3" width="7.7265625" style="3" customWidth="1"/>
    <col min="4" max="4" width="117.26953125" style="2" customWidth="1"/>
    <col min="5" max="5" width="5.81640625" style="41" customWidth="1"/>
    <col min="6" max="6" width="55" style="42" customWidth="1"/>
    <col min="7" max="15" width="2.81640625" style="43" customWidth="1"/>
    <col min="16" max="16" width="1" style="44" customWidth="1"/>
    <col min="17" max="17" width="9.1796875" style="45"/>
    <col min="18" max="37" width="9.1796875" style="10"/>
  </cols>
  <sheetData>
    <row r="1" spans="1:37" s="4" customFormat="1" ht="21" customHeight="1" x14ac:dyDescent="0.25">
      <c r="A1" s="5"/>
      <c r="B1" s="5"/>
      <c r="C1" s="65"/>
      <c r="D1" s="7"/>
      <c r="E1" s="41"/>
      <c r="F1" s="42"/>
      <c r="G1" s="43"/>
      <c r="H1" s="43"/>
      <c r="I1" s="43"/>
      <c r="J1" s="43"/>
      <c r="K1" s="43"/>
      <c r="L1" s="43"/>
      <c r="M1" s="43"/>
      <c r="N1" s="43"/>
      <c r="O1" s="43"/>
      <c r="P1" s="44"/>
      <c r="Q1" s="45"/>
      <c r="R1" s="10"/>
      <c r="S1" s="10"/>
      <c r="T1" s="10"/>
      <c r="U1" s="10"/>
      <c r="V1" s="10"/>
      <c r="W1" s="10"/>
      <c r="X1" s="10"/>
      <c r="Y1" s="10"/>
      <c r="Z1" s="10"/>
      <c r="AA1" s="10"/>
      <c r="AB1" s="10"/>
      <c r="AC1" s="10"/>
      <c r="AD1" s="10"/>
      <c r="AE1" s="10"/>
      <c r="AF1" s="10"/>
      <c r="AG1" s="10"/>
      <c r="AH1" s="10"/>
      <c r="AI1" s="10"/>
      <c r="AJ1" s="10"/>
      <c r="AK1" s="10"/>
    </row>
    <row r="2" spans="1:37" ht="60" customHeight="1" x14ac:dyDescent="0.25">
      <c r="C2" s="60"/>
      <c r="D2" s="61" t="s">
        <v>4</v>
      </c>
      <c r="E2" s="46"/>
      <c r="F2" s="47" t="s">
        <v>5</v>
      </c>
    </row>
    <row r="3" spans="1:37" ht="14.5" x14ac:dyDescent="0.25">
      <c r="A3" s="70" t="s">
        <v>0</v>
      </c>
      <c r="B3" s="9"/>
      <c r="C3" s="78" t="s">
        <v>3</v>
      </c>
      <c r="D3" s="76"/>
      <c r="E3" s="48"/>
      <c r="F3" s="80" t="s">
        <v>225</v>
      </c>
      <c r="G3" s="74" t="s">
        <v>1</v>
      </c>
      <c r="H3" s="75"/>
      <c r="I3" s="75"/>
      <c r="J3" s="75"/>
      <c r="K3" s="75"/>
      <c r="L3" s="75"/>
      <c r="M3" s="75"/>
      <c r="N3" s="75"/>
      <c r="O3" s="75"/>
      <c r="P3" s="72" t="s">
        <v>2</v>
      </c>
    </row>
    <row r="4" spans="1:37" ht="14.5" x14ac:dyDescent="0.25">
      <c r="A4" s="71"/>
      <c r="C4" s="79"/>
      <c r="D4" s="77"/>
      <c r="E4" s="49"/>
      <c r="F4" s="80"/>
      <c r="G4" s="50">
        <v>1</v>
      </c>
      <c r="H4" s="50">
        <v>2</v>
      </c>
      <c r="I4" s="50">
        <v>3</v>
      </c>
      <c r="J4" s="50">
        <v>4</v>
      </c>
      <c r="K4" s="50">
        <v>5</v>
      </c>
      <c r="L4" s="50">
        <v>6</v>
      </c>
      <c r="M4" s="50">
        <v>7</v>
      </c>
      <c r="N4" s="50">
        <v>8</v>
      </c>
      <c r="O4" s="50">
        <v>9</v>
      </c>
      <c r="P4" s="73"/>
    </row>
    <row r="5" spans="1:37" ht="40" customHeight="1" x14ac:dyDescent="0.25">
      <c r="A5" s="1">
        <v>3</v>
      </c>
      <c r="C5" s="66"/>
      <c r="D5" s="64" t="s">
        <v>6</v>
      </c>
      <c r="E5" s="49"/>
      <c r="G5" s="51">
        <f t="shared" ref="G5:G36" si="0">IF($A5=1,$C5,0)</f>
        <v>0</v>
      </c>
      <c r="H5" s="51">
        <f t="shared" ref="H5:H36" si="1">IF($A5=2,$C5,0)</f>
        <v>0</v>
      </c>
      <c r="I5" s="51">
        <f t="shared" ref="I5:I36" si="2">IF($A5=3,$C5,0)</f>
        <v>0</v>
      </c>
      <c r="J5" s="51">
        <f t="shared" ref="J5:J36" si="3">IF($A5=4,$C5,0)</f>
        <v>0</v>
      </c>
      <c r="K5" s="51">
        <f t="shared" ref="K5:K36" si="4">IF($A5=5,$C5,0)</f>
        <v>0</v>
      </c>
      <c r="L5" s="51">
        <f t="shared" ref="L5:L36" si="5">IF($A5=6,$C5,0)</f>
        <v>0</v>
      </c>
      <c r="M5" s="51">
        <f t="shared" ref="M5:M36" si="6">IF($A5=7,$C5,0)</f>
        <v>0</v>
      </c>
      <c r="N5" s="51">
        <f t="shared" ref="N5:N36" si="7">IF($A5=8,$C5,0)</f>
        <v>0</v>
      </c>
      <c r="O5" s="51">
        <f t="shared" ref="O5:O36" si="8">IF($A5=9,$C5,0)</f>
        <v>0</v>
      </c>
      <c r="P5" s="44">
        <f t="shared" ref="P5:P68" ca="1" si="9">RAND()</f>
        <v>0.45428110320485182</v>
      </c>
    </row>
    <row r="6" spans="1:37" ht="40" customHeight="1" x14ac:dyDescent="0.25">
      <c r="A6" s="1">
        <v>9</v>
      </c>
      <c r="C6" s="66"/>
      <c r="D6" s="64" t="s">
        <v>7</v>
      </c>
      <c r="E6" s="49"/>
      <c r="G6" s="51">
        <f t="shared" si="0"/>
        <v>0</v>
      </c>
      <c r="H6" s="51">
        <f t="shared" si="1"/>
        <v>0</v>
      </c>
      <c r="I6" s="51">
        <f t="shared" si="2"/>
        <v>0</v>
      </c>
      <c r="J6" s="51">
        <f t="shared" si="3"/>
        <v>0</v>
      </c>
      <c r="K6" s="51">
        <f t="shared" si="4"/>
        <v>0</v>
      </c>
      <c r="L6" s="51">
        <f t="shared" si="5"/>
        <v>0</v>
      </c>
      <c r="M6" s="51">
        <f t="shared" si="6"/>
        <v>0</v>
      </c>
      <c r="N6" s="51">
        <f t="shared" si="7"/>
        <v>0</v>
      </c>
      <c r="O6" s="51">
        <f t="shared" si="8"/>
        <v>0</v>
      </c>
      <c r="P6" s="44">
        <f t="shared" ca="1" si="9"/>
        <v>0.9541324420243541</v>
      </c>
    </row>
    <row r="7" spans="1:37" ht="40" customHeight="1" x14ac:dyDescent="0.25">
      <c r="A7" s="1">
        <v>4</v>
      </c>
      <c r="C7" s="66"/>
      <c r="D7" s="64" t="s">
        <v>8</v>
      </c>
      <c r="E7" s="49"/>
      <c r="G7" s="51">
        <f t="shared" si="0"/>
        <v>0</v>
      </c>
      <c r="H7" s="51">
        <f t="shared" si="1"/>
        <v>0</v>
      </c>
      <c r="I7" s="51">
        <f t="shared" si="2"/>
        <v>0</v>
      </c>
      <c r="J7" s="51">
        <f t="shared" si="3"/>
        <v>0</v>
      </c>
      <c r="K7" s="51">
        <f t="shared" si="4"/>
        <v>0</v>
      </c>
      <c r="L7" s="51">
        <f t="shared" si="5"/>
        <v>0</v>
      </c>
      <c r="M7" s="51">
        <f t="shared" si="6"/>
        <v>0</v>
      </c>
      <c r="N7" s="51">
        <f t="shared" si="7"/>
        <v>0</v>
      </c>
      <c r="O7" s="51">
        <f t="shared" si="8"/>
        <v>0</v>
      </c>
      <c r="P7" s="44">
        <f t="shared" ca="1" si="9"/>
        <v>0.2792408611329189</v>
      </c>
    </row>
    <row r="8" spans="1:37" ht="40" customHeight="1" x14ac:dyDescent="0.25">
      <c r="A8" s="1">
        <v>7</v>
      </c>
      <c r="C8" s="66"/>
      <c r="D8" s="64" t="s">
        <v>9</v>
      </c>
      <c r="E8" s="49"/>
      <c r="G8" s="51">
        <f>IF($A8=1,$C8,0)</f>
        <v>0</v>
      </c>
      <c r="H8" s="51">
        <f>IF($A8=2,$C8,0)</f>
        <v>0</v>
      </c>
      <c r="I8" s="51">
        <f>IF($A8=3,$C8,0)</f>
        <v>0</v>
      </c>
      <c r="J8" s="51">
        <f>IF($A8=4,$C8,0)</f>
        <v>0</v>
      </c>
      <c r="K8" s="51">
        <f>IF($A8=5,$C8,0)</f>
        <v>0</v>
      </c>
      <c r="L8" s="51">
        <f>IF($A8=6,$C8,0)</f>
        <v>0</v>
      </c>
      <c r="M8" s="51">
        <f>IF($A8=7,$C8,0)</f>
        <v>0</v>
      </c>
      <c r="N8" s="51">
        <f>IF($A8=8,$C8,0)</f>
        <v>0</v>
      </c>
      <c r="O8" s="51">
        <f>IF($A8=9,$C8,0)</f>
        <v>0</v>
      </c>
      <c r="P8" s="44">
        <f ca="1">RAND()</f>
        <v>0.81963722962401697</v>
      </c>
    </row>
    <row r="9" spans="1:37" ht="40" customHeight="1" x14ac:dyDescent="0.25">
      <c r="A9" s="1">
        <v>5</v>
      </c>
      <c r="C9" s="66"/>
      <c r="D9" s="64" t="s">
        <v>10</v>
      </c>
      <c r="E9" s="49"/>
      <c r="G9" s="51">
        <f t="shared" si="0"/>
        <v>0</v>
      </c>
      <c r="H9" s="51">
        <f t="shared" si="1"/>
        <v>0</v>
      </c>
      <c r="I9" s="51">
        <f t="shared" si="2"/>
        <v>0</v>
      </c>
      <c r="J9" s="51">
        <f t="shared" si="3"/>
        <v>0</v>
      </c>
      <c r="K9" s="51">
        <f t="shared" si="4"/>
        <v>0</v>
      </c>
      <c r="L9" s="51">
        <f t="shared" si="5"/>
        <v>0</v>
      </c>
      <c r="M9" s="51">
        <f t="shared" si="6"/>
        <v>0</v>
      </c>
      <c r="N9" s="51">
        <f t="shared" si="7"/>
        <v>0</v>
      </c>
      <c r="O9" s="51">
        <f t="shared" si="8"/>
        <v>0</v>
      </c>
      <c r="P9" s="44">
        <f t="shared" ca="1" si="9"/>
        <v>0.73777044704051764</v>
      </c>
    </row>
    <row r="10" spans="1:37" ht="40" customHeight="1" x14ac:dyDescent="0.25">
      <c r="A10" s="1">
        <v>3</v>
      </c>
      <c r="C10" s="66"/>
      <c r="D10" s="64" t="s">
        <v>11</v>
      </c>
      <c r="E10" s="49"/>
      <c r="G10" s="51">
        <f t="shared" si="0"/>
        <v>0</v>
      </c>
      <c r="H10" s="51">
        <f t="shared" si="1"/>
        <v>0</v>
      </c>
      <c r="I10" s="51">
        <f t="shared" si="2"/>
        <v>0</v>
      </c>
      <c r="J10" s="51">
        <f t="shared" si="3"/>
        <v>0</v>
      </c>
      <c r="K10" s="51">
        <f t="shared" si="4"/>
        <v>0</v>
      </c>
      <c r="L10" s="51">
        <f t="shared" si="5"/>
        <v>0</v>
      </c>
      <c r="M10" s="51">
        <f t="shared" si="6"/>
        <v>0</v>
      </c>
      <c r="N10" s="51">
        <f t="shared" si="7"/>
        <v>0</v>
      </c>
      <c r="O10" s="51">
        <f t="shared" si="8"/>
        <v>0</v>
      </c>
      <c r="P10" s="44">
        <f t="shared" ca="1" si="9"/>
        <v>3.7060974442384542E-2</v>
      </c>
    </row>
    <row r="11" spans="1:37" ht="40" customHeight="1" x14ac:dyDescent="0.25">
      <c r="A11" s="1">
        <v>6</v>
      </c>
      <c r="C11" s="66"/>
      <c r="D11" s="64" t="s">
        <v>12</v>
      </c>
      <c r="E11" s="49"/>
      <c r="G11" s="51">
        <f t="shared" si="0"/>
        <v>0</v>
      </c>
      <c r="H11" s="51">
        <f t="shared" si="1"/>
        <v>0</v>
      </c>
      <c r="I11" s="51">
        <f t="shared" si="2"/>
        <v>0</v>
      </c>
      <c r="J11" s="51">
        <f t="shared" si="3"/>
        <v>0</v>
      </c>
      <c r="K11" s="51">
        <f t="shared" si="4"/>
        <v>0</v>
      </c>
      <c r="L11" s="51">
        <f t="shared" si="5"/>
        <v>0</v>
      </c>
      <c r="M11" s="51">
        <f t="shared" si="6"/>
        <v>0</v>
      </c>
      <c r="N11" s="51">
        <f t="shared" si="7"/>
        <v>0</v>
      </c>
      <c r="O11" s="51">
        <f t="shared" si="8"/>
        <v>0</v>
      </c>
      <c r="P11" s="44">
        <f t="shared" ca="1" si="9"/>
        <v>0.84458906147395041</v>
      </c>
    </row>
    <row r="12" spans="1:37" ht="40" customHeight="1" x14ac:dyDescent="0.25">
      <c r="A12" s="1">
        <v>4</v>
      </c>
      <c r="C12" s="66"/>
      <c r="D12" s="64" t="s">
        <v>13</v>
      </c>
      <c r="E12" s="49"/>
      <c r="G12" s="51">
        <f t="shared" si="0"/>
        <v>0</v>
      </c>
      <c r="H12" s="51">
        <f t="shared" si="1"/>
        <v>0</v>
      </c>
      <c r="I12" s="51">
        <f t="shared" si="2"/>
        <v>0</v>
      </c>
      <c r="J12" s="51">
        <f t="shared" si="3"/>
        <v>0</v>
      </c>
      <c r="K12" s="51">
        <f t="shared" si="4"/>
        <v>0</v>
      </c>
      <c r="L12" s="51">
        <f t="shared" si="5"/>
        <v>0</v>
      </c>
      <c r="M12" s="51">
        <f t="shared" si="6"/>
        <v>0</v>
      </c>
      <c r="N12" s="51">
        <f t="shared" si="7"/>
        <v>0</v>
      </c>
      <c r="O12" s="51">
        <f t="shared" si="8"/>
        <v>0</v>
      </c>
      <c r="P12" s="44">
        <f t="shared" ca="1" si="9"/>
        <v>0.49572826149366223</v>
      </c>
    </row>
    <row r="13" spans="1:37" ht="40" customHeight="1" x14ac:dyDescent="0.25">
      <c r="A13" s="1">
        <v>8</v>
      </c>
      <c r="C13" s="66"/>
      <c r="D13" s="64" t="s">
        <v>14</v>
      </c>
      <c r="E13" s="49"/>
      <c r="G13" s="51">
        <f t="shared" si="0"/>
        <v>0</v>
      </c>
      <c r="H13" s="51">
        <f t="shared" si="1"/>
        <v>0</v>
      </c>
      <c r="I13" s="51">
        <f t="shared" si="2"/>
        <v>0</v>
      </c>
      <c r="J13" s="51">
        <f t="shared" si="3"/>
        <v>0</v>
      </c>
      <c r="K13" s="51">
        <f t="shared" si="4"/>
        <v>0</v>
      </c>
      <c r="L13" s="51">
        <f t="shared" si="5"/>
        <v>0</v>
      </c>
      <c r="M13" s="51">
        <f t="shared" si="6"/>
        <v>0</v>
      </c>
      <c r="N13" s="51">
        <f t="shared" si="7"/>
        <v>0</v>
      </c>
      <c r="O13" s="51">
        <f t="shared" si="8"/>
        <v>0</v>
      </c>
      <c r="P13" s="44">
        <f t="shared" ca="1" si="9"/>
        <v>0.39237387175159943</v>
      </c>
    </row>
    <row r="14" spans="1:37" ht="40" customHeight="1" x14ac:dyDescent="0.25">
      <c r="A14" s="1">
        <v>8</v>
      </c>
      <c r="C14" s="66"/>
      <c r="D14" s="64" t="s">
        <v>15</v>
      </c>
      <c r="E14" s="49"/>
      <c r="G14" s="51">
        <f t="shared" si="0"/>
        <v>0</v>
      </c>
      <c r="H14" s="51">
        <f t="shared" si="1"/>
        <v>0</v>
      </c>
      <c r="I14" s="51">
        <f t="shared" si="2"/>
        <v>0</v>
      </c>
      <c r="J14" s="51">
        <f t="shared" si="3"/>
        <v>0</v>
      </c>
      <c r="K14" s="51">
        <f t="shared" si="4"/>
        <v>0</v>
      </c>
      <c r="L14" s="51">
        <f t="shared" si="5"/>
        <v>0</v>
      </c>
      <c r="M14" s="51">
        <f t="shared" si="6"/>
        <v>0</v>
      </c>
      <c r="N14" s="51">
        <f t="shared" si="7"/>
        <v>0</v>
      </c>
      <c r="O14" s="51">
        <f t="shared" si="8"/>
        <v>0</v>
      </c>
      <c r="P14" s="44">
        <f t="shared" ca="1" si="9"/>
        <v>0.22001202076943815</v>
      </c>
    </row>
    <row r="15" spans="1:37" ht="40" customHeight="1" x14ac:dyDescent="0.25">
      <c r="A15" s="1">
        <v>2</v>
      </c>
      <c r="C15" s="66"/>
      <c r="D15" s="64" t="s">
        <v>16</v>
      </c>
      <c r="E15" s="49"/>
      <c r="G15" s="51">
        <f t="shared" si="0"/>
        <v>0</v>
      </c>
      <c r="H15" s="51">
        <f t="shared" si="1"/>
        <v>0</v>
      </c>
      <c r="I15" s="51">
        <f t="shared" si="2"/>
        <v>0</v>
      </c>
      <c r="J15" s="51">
        <f t="shared" si="3"/>
        <v>0</v>
      </c>
      <c r="K15" s="51">
        <f t="shared" si="4"/>
        <v>0</v>
      </c>
      <c r="L15" s="51">
        <f t="shared" si="5"/>
        <v>0</v>
      </c>
      <c r="M15" s="51">
        <f t="shared" si="6"/>
        <v>0</v>
      </c>
      <c r="N15" s="51">
        <f t="shared" si="7"/>
        <v>0</v>
      </c>
      <c r="O15" s="51">
        <f t="shared" si="8"/>
        <v>0</v>
      </c>
      <c r="P15" s="44">
        <f t="shared" ca="1" si="9"/>
        <v>0.82449921201323595</v>
      </c>
    </row>
    <row r="16" spans="1:37" ht="40" customHeight="1" x14ac:dyDescent="0.25">
      <c r="A16" s="1">
        <v>2</v>
      </c>
      <c r="C16" s="66"/>
      <c r="D16" s="64" t="s">
        <v>17</v>
      </c>
      <c r="E16" s="49"/>
      <c r="G16" s="51">
        <f t="shared" si="0"/>
        <v>0</v>
      </c>
      <c r="H16" s="51">
        <f t="shared" si="1"/>
        <v>0</v>
      </c>
      <c r="I16" s="51">
        <f t="shared" si="2"/>
        <v>0</v>
      </c>
      <c r="J16" s="51">
        <f t="shared" si="3"/>
        <v>0</v>
      </c>
      <c r="K16" s="51">
        <f t="shared" si="4"/>
        <v>0</v>
      </c>
      <c r="L16" s="51">
        <f t="shared" si="5"/>
        <v>0</v>
      </c>
      <c r="M16" s="51">
        <f t="shared" si="6"/>
        <v>0</v>
      </c>
      <c r="N16" s="51">
        <f t="shared" si="7"/>
        <v>0</v>
      </c>
      <c r="O16" s="51">
        <f t="shared" si="8"/>
        <v>0</v>
      </c>
      <c r="P16" s="44">
        <f t="shared" ca="1" si="9"/>
        <v>0.9607367176847158</v>
      </c>
    </row>
    <row r="17" spans="1:16" ht="40" customHeight="1" x14ac:dyDescent="0.25">
      <c r="A17" s="1">
        <v>3</v>
      </c>
      <c r="C17" s="66"/>
      <c r="D17" s="64" t="s">
        <v>18</v>
      </c>
      <c r="E17" s="49"/>
      <c r="G17" s="51">
        <f t="shared" si="0"/>
        <v>0</v>
      </c>
      <c r="H17" s="51">
        <f t="shared" si="1"/>
        <v>0</v>
      </c>
      <c r="I17" s="51">
        <f t="shared" si="2"/>
        <v>0</v>
      </c>
      <c r="J17" s="51">
        <f t="shared" si="3"/>
        <v>0</v>
      </c>
      <c r="K17" s="51">
        <f t="shared" si="4"/>
        <v>0</v>
      </c>
      <c r="L17" s="51">
        <f t="shared" si="5"/>
        <v>0</v>
      </c>
      <c r="M17" s="51">
        <f t="shared" si="6"/>
        <v>0</v>
      </c>
      <c r="N17" s="51">
        <f t="shared" si="7"/>
        <v>0</v>
      </c>
      <c r="O17" s="51">
        <f t="shared" si="8"/>
        <v>0</v>
      </c>
      <c r="P17" s="44">
        <f t="shared" ca="1" si="9"/>
        <v>0.27389124469720438</v>
      </c>
    </row>
    <row r="18" spans="1:16" ht="40" customHeight="1" x14ac:dyDescent="0.25">
      <c r="A18" s="1">
        <v>9</v>
      </c>
      <c r="C18" s="66"/>
      <c r="D18" s="64" t="s">
        <v>19</v>
      </c>
      <c r="E18" s="49"/>
      <c r="G18" s="51">
        <f t="shared" si="0"/>
        <v>0</v>
      </c>
      <c r="H18" s="51">
        <f t="shared" si="1"/>
        <v>0</v>
      </c>
      <c r="I18" s="51">
        <f t="shared" si="2"/>
        <v>0</v>
      </c>
      <c r="J18" s="51">
        <f t="shared" si="3"/>
        <v>0</v>
      </c>
      <c r="K18" s="51">
        <f t="shared" si="4"/>
        <v>0</v>
      </c>
      <c r="L18" s="51">
        <f t="shared" si="5"/>
        <v>0</v>
      </c>
      <c r="M18" s="51">
        <f t="shared" si="6"/>
        <v>0</v>
      </c>
      <c r="N18" s="51">
        <f t="shared" si="7"/>
        <v>0</v>
      </c>
      <c r="O18" s="51">
        <f t="shared" si="8"/>
        <v>0</v>
      </c>
      <c r="P18" s="44">
        <f t="shared" ca="1" si="9"/>
        <v>0.41681075810597068</v>
      </c>
    </row>
    <row r="19" spans="1:16" ht="40" customHeight="1" x14ac:dyDescent="0.25">
      <c r="A19" s="1">
        <v>9</v>
      </c>
      <c r="C19" s="66"/>
      <c r="D19" s="64" t="s">
        <v>20</v>
      </c>
      <c r="E19" s="49"/>
      <c r="G19" s="51">
        <f t="shared" si="0"/>
        <v>0</v>
      </c>
      <c r="H19" s="51">
        <f t="shared" si="1"/>
        <v>0</v>
      </c>
      <c r="I19" s="51">
        <f t="shared" si="2"/>
        <v>0</v>
      </c>
      <c r="J19" s="51">
        <f t="shared" si="3"/>
        <v>0</v>
      </c>
      <c r="K19" s="51">
        <f t="shared" si="4"/>
        <v>0</v>
      </c>
      <c r="L19" s="51">
        <f t="shared" si="5"/>
        <v>0</v>
      </c>
      <c r="M19" s="51">
        <f t="shared" si="6"/>
        <v>0</v>
      </c>
      <c r="N19" s="51">
        <f t="shared" si="7"/>
        <v>0</v>
      </c>
      <c r="O19" s="51">
        <f t="shared" si="8"/>
        <v>0</v>
      </c>
      <c r="P19" s="44">
        <f t="shared" ca="1" si="9"/>
        <v>0.37505324897970382</v>
      </c>
    </row>
    <row r="20" spans="1:16" ht="40" customHeight="1" x14ac:dyDescent="0.25">
      <c r="A20" s="1">
        <v>6</v>
      </c>
      <c r="C20" s="66"/>
      <c r="D20" s="64" t="s">
        <v>21</v>
      </c>
      <c r="E20" s="49"/>
      <c r="G20" s="51">
        <f t="shared" si="0"/>
        <v>0</v>
      </c>
      <c r="H20" s="51">
        <f t="shared" si="1"/>
        <v>0</v>
      </c>
      <c r="I20" s="51">
        <f t="shared" si="2"/>
        <v>0</v>
      </c>
      <c r="J20" s="51">
        <f t="shared" si="3"/>
        <v>0</v>
      </c>
      <c r="K20" s="51">
        <f t="shared" si="4"/>
        <v>0</v>
      </c>
      <c r="L20" s="51">
        <f t="shared" si="5"/>
        <v>0</v>
      </c>
      <c r="M20" s="51">
        <f t="shared" si="6"/>
        <v>0</v>
      </c>
      <c r="N20" s="51">
        <f t="shared" si="7"/>
        <v>0</v>
      </c>
      <c r="O20" s="51">
        <f t="shared" si="8"/>
        <v>0</v>
      </c>
      <c r="P20" s="44">
        <f t="shared" ca="1" si="9"/>
        <v>0.46707364393807849</v>
      </c>
    </row>
    <row r="21" spans="1:16" ht="40" customHeight="1" x14ac:dyDescent="0.25">
      <c r="A21" s="1">
        <v>4</v>
      </c>
      <c r="C21" s="66"/>
      <c r="D21" s="64" t="s">
        <v>22</v>
      </c>
      <c r="E21" s="49"/>
      <c r="G21" s="51">
        <f t="shared" si="0"/>
        <v>0</v>
      </c>
      <c r="H21" s="51">
        <f t="shared" si="1"/>
        <v>0</v>
      </c>
      <c r="I21" s="51">
        <f t="shared" si="2"/>
        <v>0</v>
      </c>
      <c r="J21" s="51">
        <f t="shared" si="3"/>
        <v>0</v>
      </c>
      <c r="K21" s="51">
        <f t="shared" si="4"/>
        <v>0</v>
      </c>
      <c r="L21" s="51">
        <f t="shared" si="5"/>
        <v>0</v>
      </c>
      <c r="M21" s="51">
        <f t="shared" si="6"/>
        <v>0</v>
      </c>
      <c r="N21" s="51">
        <f t="shared" si="7"/>
        <v>0</v>
      </c>
      <c r="O21" s="51">
        <f t="shared" si="8"/>
        <v>0</v>
      </c>
      <c r="P21" s="44">
        <f t="shared" ca="1" si="9"/>
        <v>0.99222090922353512</v>
      </c>
    </row>
    <row r="22" spans="1:16" ht="40" customHeight="1" x14ac:dyDescent="0.25">
      <c r="A22" s="1">
        <v>7</v>
      </c>
      <c r="C22" s="66"/>
      <c r="D22" s="64" t="s">
        <v>23</v>
      </c>
      <c r="E22" s="49"/>
      <c r="G22" s="51">
        <f t="shared" si="0"/>
        <v>0</v>
      </c>
      <c r="H22" s="51">
        <f t="shared" si="1"/>
        <v>0</v>
      </c>
      <c r="I22" s="51">
        <f t="shared" si="2"/>
        <v>0</v>
      </c>
      <c r="J22" s="51">
        <f t="shared" si="3"/>
        <v>0</v>
      </c>
      <c r="K22" s="51">
        <f t="shared" si="4"/>
        <v>0</v>
      </c>
      <c r="L22" s="51">
        <f t="shared" si="5"/>
        <v>0</v>
      </c>
      <c r="M22" s="51">
        <f t="shared" si="6"/>
        <v>0</v>
      </c>
      <c r="N22" s="51">
        <f t="shared" si="7"/>
        <v>0</v>
      </c>
      <c r="O22" s="51">
        <f t="shared" si="8"/>
        <v>0</v>
      </c>
      <c r="P22" s="44">
        <f t="shared" ca="1" si="9"/>
        <v>0.96742618874896058</v>
      </c>
    </row>
    <row r="23" spans="1:16" ht="40" customHeight="1" x14ac:dyDescent="0.25">
      <c r="A23" s="1">
        <v>2</v>
      </c>
      <c r="C23" s="66"/>
      <c r="D23" s="64" t="s">
        <v>24</v>
      </c>
      <c r="E23" s="49"/>
      <c r="G23" s="51">
        <f t="shared" si="0"/>
        <v>0</v>
      </c>
      <c r="H23" s="51">
        <f t="shared" si="1"/>
        <v>0</v>
      </c>
      <c r="I23" s="51">
        <f t="shared" si="2"/>
        <v>0</v>
      </c>
      <c r="J23" s="51">
        <f t="shared" si="3"/>
        <v>0</v>
      </c>
      <c r="K23" s="51">
        <f t="shared" si="4"/>
        <v>0</v>
      </c>
      <c r="L23" s="51">
        <f t="shared" si="5"/>
        <v>0</v>
      </c>
      <c r="M23" s="51">
        <f t="shared" si="6"/>
        <v>0</v>
      </c>
      <c r="N23" s="51">
        <f t="shared" si="7"/>
        <v>0</v>
      </c>
      <c r="O23" s="51">
        <f t="shared" si="8"/>
        <v>0</v>
      </c>
      <c r="P23" s="44">
        <f t="shared" ca="1" si="9"/>
        <v>0.62014231161358979</v>
      </c>
    </row>
    <row r="24" spans="1:16" ht="40" customHeight="1" x14ac:dyDescent="0.25">
      <c r="A24" s="1">
        <v>7</v>
      </c>
      <c r="C24" s="66"/>
      <c r="D24" s="64" t="s">
        <v>25</v>
      </c>
      <c r="E24" s="49"/>
      <c r="G24" s="51">
        <f t="shared" si="0"/>
        <v>0</v>
      </c>
      <c r="H24" s="51">
        <f t="shared" si="1"/>
        <v>0</v>
      </c>
      <c r="I24" s="51">
        <f t="shared" si="2"/>
        <v>0</v>
      </c>
      <c r="J24" s="51">
        <f t="shared" si="3"/>
        <v>0</v>
      </c>
      <c r="K24" s="51">
        <f t="shared" si="4"/>
        <v>0</v>
      </c>
      <c r="L24" s="51">
        <f t="shared" si="5"/>
        <v>0</v>
      </c>
      <c r="M24" s="51">
        <f t="shared" si="6"/>
        <v>0</v>
      </c>
      <c r="N24" s="51">
        <f t="shared" si="7"/>
        <v>0</v>
      </c>
      <c r="O24" s="51">
        <f t="shared" si="8"/>
        <v>0</v>
      </c>
      <c r="P24" s="44">
        <f t="shared" ca="1" si="9"/>
        <v>0.46971539506802984</v>
      </c>
    </row>
    <row r="25" spans="1:16" ht="40" customHeight="1" x14ac:dyDescent="0.25">
      <c r="A25" s="1">
        <v>3</v>
      </c>
      <c r="C25" s="66"/>
      <c r="D25" s="64" t="s">
        <v>26</v>
      </c>
      <c r="E25" s="49"/>
      <c r="G25" s="51">
        <f t="shared" si="0"/>
        <v>0</v>
      </c>
      <c r="H25" s="51">
        <f t="shared" si="1"/>
        <v>0</v>
      </c>
      <c r="I25" s="51">
        <f t="shared" si="2"/>
        <v>0</v>
      </c>
      <c r="J25" s="51">
        <f t="shared" si="3"/>
        <v>0</v>
      </c>
      <c r="K25" s="51">
        <f t="shared" si="4"/>
        <v>0</v>
      </c>
      <c r="L25" s="51">
        <f t="shared" si="5"/>
        <v>0</v>
      </c>
      <c r="M25" s="51">
        <f t="shared" si="6"/>
        <v>0</v>
      </c>
      <c r="N25" s="51">
        <f t="shared" si="7"/>
        <v>0</v>
      </c>
      <c r="O25" s="51">
        <f t="shared" si="8"/>
        <v>0</v>
      </c>
      <c r="P25" s="44">
        <f t="shared" ca="1" si="9"/>
        <v>7.413619601878696E-3</v>
      </c>
    </row>
    <row r="26" spans="1:16" ht="40" customHeight="1" x14ac:dyDescent="0.25">
      <c r="A26" s="1">
        <v>4</v>
      </c>
      <c r="C26" s="66"/>
      <c r="D26" s="64" t="s">
        <v>27</v>
      </c>
      <c r="E26" s="49"/>
      <c r="G26" s="51">
        <f t="shared" si="0"/>
        <v>0</v>
      </c>
      <c r="H26" s="51">
        <f t="shared" si="1"/>
        <v>0</v>
      </c>
      <c r="I26" s="51">
        <f t="shared" si="2"/>
        <v>0</v>
      </c>
      <c r="J26" s="51">
        <f t="shared" si="3"/>
        <v>0</v>
      </c>
      <c r="K26" s="51">
        <f t="shared" si="4"/>
        <v>0</v>
      </c>
      <c r="L26" s="51">
        <f t="shared" si="5"/>
        <v>0</v>
      </c>
      <c r="M26" s="51">
        <f t="shared" si="6"/>
        <v>0</v>
      </c>
      <c r="N26" s="51">
        <f t="shared" si="7"/>
        <v>0</v>
      </c>
      <c r="O26" s="51">
        <f t="shared" si="8"/>
        <v>0</v>
      </c>
      <c r="P26" s="44">
        <f t="shared" ca="1" si="9"/>
        <v>0.41505553949423846</v>
      </c>
    </row>
    <row r="27" spans="1:16" ht="40" customHeight="1" x14ac:dyDescent="0.25">
      <c r="A27" s="1">
        <v>9</v>
      </c>
      <c r="C27" s="66"/>
      <c r="D27" s="64" t="s">
        <v>28</v>
      </c>
      <c r="E27" s="49"/>
      <c r="G27" s="51">
        <f t="shared" si="0"/>
        <v>0</v>
      </c>
      <c r="H27" s="51">
        <f t="shared" si="1"/>
        <v>0</v>
      </c>
      <c r="I27" s="51">
        <f t="shared" si="2"/>
        <v>0</v>
      </c>
      <c r="J27" s="51">
        <f t="shared" si="3"/>
        <v>0</v>
      </c>
      <c r="K27" s="51">
        <f t="shared" si="4"/>
        <v>0</v>
      </c>
      <c r="L27" s="51">
        <f t="shared" si="5"/>
        <v>0</v>
      </c>
      <c r="M27" s="51">
        <f t="shared" si="6"/>
        <v>0</v>
      </c>
      <c r="N27" s="51">
        <f t="shared" si="7"/>
        <v>0</v>
      </c>
      <c r="O27" s="51">
        <f t="shared" si="8"/>
        <v>0</v>
      </c>
      <c r="P27" s="44">
        <f t="shared" ca="1" si="9"/>
        <v>0.27340379334904696</v>
      </c>
    </row>
    <row r="28" spans="1:16" ht="40" customHeight="1" x14ac:dyDescent="0.25">
      <c r="A28" s="1">
        <v>8</v>
      </c>
      <c r="C28" s="67"/>
      <c r="D28" s="63" t="s">
        <v>29</v>
      </c>
      <c r="E28" s="49"/>
      <c r="G28" s="51">
        <f t="shared" si="0"/>
        <v>0</v>
      </c>
      <c r="H28" s="51">
        <f t="shared" si="1"/>
        <v>0</v>
      </c>
      <c r="I28" s="51">
        <f t="shared" si="2"/>
        <v>0</v>
      </c>
      <c r="J28" s="51">
        <f t="shared" si="3"/>
        <v>0</v>
      </c>
      <c r="K28" s="51">
        <f t="shared" si="4"/>
        <v>0</v>
      </c>
      <c r="L28" s="51">
        <f t="shared" si="5"/>
        <v>0</v>
      </c>
      <c r="M28" s="51">
        <f t="shared" si="6"/>
        <v>0</v>
      </c>
      <c r="N28" s="51">
        <f t="shared" si="7"/>
        <v>0</v>
      </c>
      <c r="O28" s="51">
        <f t="shared" si="8"/>
        <v>0</v>
      </c>
      <c r="P28" s="44">
        <f t="shared" ca="1" si="9"/>
        <v>0.45601468542516976</v>
      </c>
    </row>
    <row r="29" spans="1:16" ht="40" customHeight="1" x14ac:dyDescent="0.25">
      <c r="A29" s="1">
        <v>8</v>
      </c>
      <c r="C29" s="68"/>
      <c r="D29" s="62" t="s">
        <v>30</v>
      </c>
      <c r="E29" s="49"/>
      <c r="G29" s="51">
        <f t="shared" si="0"/>
        <v>0</v>
      </c>
      <c r="H29" s="51">
        <f t="shared" si="1"/>
        <v>0</v>
      </c>
      <c r="I29" s="51">
        <f t="shared" si="2"/>
        <v>0</v>
      </c>
      <c r="J29" s="51">
        <f t="shared" si="3"/>
        <v>0</v>
      </c>
      <c r="K29" s="51">
        <f t="shared" si="4"/>
        <v>0</v>
      </c>
      <c r="L29" s="51">
        <f t="shared" si="5"/>
        <v>0</v>
      </c>
      <c r="M29" s="51">
        <f t="shared" si="6"/>
        <v>0</v>
      </c>
      <c r="N29" s="51">
        <f t="shared" si="7"/>
        <v>0</v>
      </c>
      <c r="O29" s="51">
        <f t="shared" si="8"/>
        <v>0</v>
      </c>
      <c r="P29" s="44">
        <f t="shared" ca="1" si="9"/>
        <v>0.87473811858830641</v>
      </c>
    </row>
    <row r="30" spans="1:16" ht="40" customHeight="1" x14ac:dyDescent="0.25">
      <c r="A30" s="1">
        <v>2</v>
      </c>
      <c r="C30" s="66"/>
      <c r="D30" s="64" t="s">
        <v>31</v>
      </c>
      <c r="E30" s="49"/>
      <c r="G30" s="51">
        <f t="shared" si="0"/>
        <v>0</v>
      </c>
      <c r="H30" s="51">
        <f t="shared" si="1"/>
        <v>0</v>
      </c>
      <c r="I30" s="51">
        <f t="shared" si="2"/>
        <v>0</v>
      </c>
      <c r="J30" s="51">
        <f t="shared" si="3"/>
        <v>0</v>
      </c>
      <c r="K30" s="51">
        <f t="shared" si="4"/>
        <v>0</v>
      </c>
      <c r="L30" s="51">
        <f t="shared" si="5"/>
        <v>0</v>
      </c>
      <c r="M30" s="51">
        <f t="shared" si="6"/>
        <v>0</v>
      </c>
      <c r="N30" s="51">
        <f t="shared" si="7"/>
        <v>0</v>
      </c>
      <c r="O30" s="51">
        <f t="shared" si="8"/>
        <v>0</v>
      </c>
      <c r="P30" s="44">
        <f t="shared" ca="1" si="9"/>
        <v>0.59467674030191342</v>
      </c>
    </row>
    <row r="31" spans="1:16" ht="40" customHeight="1" x14ac:dyDescent="0.25">
      <c r="A31" s="1">
        <v>1</v>
      </c>
      <c r="C31" s="66"/>
      <c r="D31" s="64" t="s">
        <v>32</v>
      </c>
      <c r="E31" s="49"/>
      <c r="G31" s="51">
        <f t="shared" si="0"/>
        <v>0</v>
      </c>
      <c r="H31" s="51">
        <f t="shared" si="1"/>
        <v>0</v>
      </c>
      <c r="I31" s="51">
        <f t="shared" si="2"/>
        <v>0</v>
      </c>
      <c r="J31" s="51">
        <f t="shared" si="3"/>
        <v>0</v>
      </c>
      <c r="K31" s="51">
        <f t="shared" si="4"/>
        <v>0</v>
      </c>
      <c r="L31" s="51">
        <f t="shared" si="5"/>
        <v>0</v>
      </c>
      <c r="M31" s="51">
        <f t="shared" si="6"/>
        <v>0</v>
      </c>
      <c r="N31" s="51">
        <f t="shared" si="7"/>
        <v>0</v>
      </c>
      <c r="O31" s="51">
        <f t="shared" si="8"/>
        <v>0</v>
      </c>
      <c r="P31" s="44">
        <f t="shared" ca="1" si="9"/>
        <v>0.86939551957675154</v>
      </c>
    </row>
    <row r="32" spans="1:16" ht="40" customHeight="1" x14ac:dyDescent="0.25">
      <c r="A32" s="1">
        <v>9</v>
      </c>
      <c r="C32" s="66"/>
      <c r="D32" s="64" t="s">
        <v>33</v>
      </c>
      <c r="E32" s="49"/>
      <c r="G32" s="51">
        <f t="shared" si="0"/>
        <v>0</v>
      </c>
      <c r="H32" s="51">
        <f t="shared" si="1"/>
        <v>0</v>
      </c>
      <c r="I32" s="51">
        <f t="shared" si="2"/>
        <v>0</v>
      </c>
      <c r="J32" s="51">
        <f t="shared" si="3"/>
        <v>0</v>
      </c>
      <c r="K32" s="51">
        <f t="shared" si="4"/>
        <v>0</v>
      </c>
      <c r="L32" s="51">
        <f t="shared" si="5"/>
        <v>0</v>
      </c>
      <c r="M32" s="51">
        <f t="shared" si="6"/>
        <v>0</v>
      </c>
      <c r="N32" s="51">
        <f t="shared" si="7"/>
        <v>0</v>
      </c>
      <c r="O32" s="51">
        <f t="shared" si="8"/>
        <v>0</v>
      </c>
      <c r="P32" s="44">
        <f t="shared" ca="1" si="9"/>
        <v>0.18915521428124182</v>
      </c>
    </row>
    <row r="33" spans="1:16" ht="40" customHeight="1" x14ac:dyDescent="0.25">
      <c r="A33" s="1">
        <v>8</v>
      </c>
      <c r="C33" s="66"/>
      <c r="D33" s="64" t="s">
        <v>34</v>
      </c>
      <c r="E33" s="49"/>
      <c r="G33" s="51">
        <f t="shared" si="0"/>
        <v>0</v>
      </c>
      <c r="H33" s="51">
        <f t="shared" si="1"/>
        <v>0</v>
      </c>
      <c r="I33" s="51">
        <f t="shared" si="2"/>
        <v>0</v>
      </c>
      <c r="J33" s="51">
        <f t="shared" si="3"/>
        <v>0</v>
      </c>
      <c r="K33" s="51">
        <f t="shared" si="4"/>
        <v>0</v>
      </c>
      <c r="L33" s="51">
        <f t="shared" si="5"/>
        <v>0</v>
      </c>
      <c r="M33" s="51">
        <f t="shared" si="6"/>
        <v>0</v>
      </c>
      <c r="N33" s="51">
        <f t="shared" si="7"/>
        <v>0</v>
      </c>
      <c r="O33" s="51">
        <f t="shared" si="8"/>
        <v>0</v>
      </c>
      <c r="P33" s="44">
        <f t="shared" ca="1" si="9"/>
        <v>0.52222254498290943</v>
      </c>
    </row>
    <row r="34" spans="1:16" ht="40" customHeight="1" x14ac:dyDescent="0.25">
      <c r="A34" s="1">
        <v>4</v>
      </c>
      <c r="C34" s="66"/>
      <c r="D34" s="64" t="s">
        <v>35</v>
      </c>
      <c r="E34" s="49"/>
      <c r="G34" s="51">
        <f t="shared" si="0"/>
        <v>0</v>
      </c>
      <c r="H34" s="51">
        <f t="shared" si="1"/>
        <v>0</v>
      </c>
      <c r="I34" s="51">
        <f t="shared" si="2"/>
        <v>0</v>
      </c>
      <c r="J34" s="51">
        <f t="shared" si="3"/>
        <v>0</v>
      </c>
      <c r="K34" s="51">
        <f t="shared" si="4"/>
        <v>0</v>
      </c>
      <c r="L34" s="51">
        <f t="shared" si="5"/>
        <v>0</v>
      </c>
      <c r="M34" s="51">
        <f t="shared" si="6"/>
        <v>0</v>
      </c>
      <c r="N34" s="51">
        <f t="shared" si="7"/>
        <v>0</v>
      </c>
      <c r="O34" s="51">
        <f t="shared" si="8"/>
        <v>0</v>
      </c>
      <c r="P34" s="44">
        <f t="shared" ca="1" si="9"/>
        <v>0.71213154721880512</v>
      </c>
    </row>
    <row r="35" spans="1:16" ht="40" customHeight="1" x14ac:dyDescent="0.25">
      <c r="A35" s="1">
        <v>5</v>
      </c>
      <c r="C35" s="66"/>
      <c r="D35" s="64" t="s">
        <v>36</v>
      </c>
      <c r="E35" s="49"/>
      <c r="G35" s="51">
        <f t="shared" si="0"/>
        <v>0</v>
      </c>
      <c r="H35" s="51">
        <f t="shared" si="1"/>
        <v>0</v>
      </c>
      <c r="I35" s="51">
        <f t="shared" si="2"/>
        <v>0</v>
      </c>
      <c r="J35" s="51">
        <f t="shared" si="3"/>
        <v>0</v>
      </c>
      <c r="K35" s="51">
        <f t="shared" si="4"/>
        <v>0</v>
      </c>
      <c r="L35" s="51">
        <f t="shared" si="5"/>
        <v>0</v>
      </c>
      <c r="M35" s="51">
        <f t="shared" si="6"/>
        <v>0</v>
      </c>
      <c r="N35" s="51">
        <f t="shared" si="7"/>
        <v>0</v>
      </c>
      <c r="O35" s="51">
        <f t="shared" si="8"/>
        <v>0</v>
      </c>
      <c r="P35" s="44">
        <f t="shared" ca="1" si="9"/>
        <v>0.75837703888262697</v>
      </c>
    </row>
    <row r="36" spans="1:16" ht="40" customHeight="1" x14ac:dyDescent="0.25">
      <c r="A36" s="1">
        <v>6</v>
      </c>
      <c r="C36" s="66"/>
      <c r="D36" s="64" t="s">
        <v>37</v>
      </c>
      <c r="E36" s="49"/>
      <c r="G36" s="51">
        <f t="shared" si="0"/>
        <v>0</v>
      </c>
      <c r="H36" s="51">
        <f t="shared" si="1"/>
        <v>0</v>
      </c>
      <c r="I36" s="51">
        <f t="shared" si="2"/>
        <v>0</v>
      </c>
      <c r="J36" s="51">
        <f t="shared" si="3"/>
        <v>0</v>
      </c>
      <c r="K36" s="51">
        <f t="shared" si="4"/>
        <v>0</v>
      </c>
      <c r="L36" s="51">
        <f t="shared" si="5"/>
        <v>0</v>
      </c>
      <c r="M36" s="51">
        <f t="shared" si="6"/>
        <v>0</v>
      </c>
      <c r="N36" s="51">
        <f t="shared" si="7"/>
        <v>0</v>
      </c>
      <c r="O36" s="51">
        <f t="shared" si="8"/>
        <v>0</v>
      </c>
      <c r="P36" s="44">
        <f t="shared" ca="1" si="9"/>
        <v>0.48061423866871722</v>
      </c>
    </row>
    <row r="37" spans="1:16" ht="40" customHeight="1" x14ac:dyDescent="0.25">
      <c r="A37" s="1">
        <v>9</v>
      </c>
      <c r="C37" s="66"/>
      <c r="D37" s="64" t="s">
        <v>38</v>
      </c>
      <c r="E37" s="49"/>
      <c r="G37" s="51">
        <f t="shared" ref="G37:G68" si="10">IF($A37=1,$C37,0)</f>
        <v>0</v>
      </c>
      <c r="H37" s="51">
        <f t="shared" ref="H37:H68" si="11">IF($A37=2,$C37,0)</f>
        <v>0</v>
      </c>
      <c r="I37" s="51">
        <f t="shared" ref="I37:I68" si="12">IF($A37=3,$C37,0)</f>
        <v>0</v>
      </c>
      <c r="J37" s="51">
        <f t="shared" ref="J37:J68" si="13">IF($A37=4,$C37,0)</f>
        <v>0</v>
      </c>
      <c r="K37" s="51">
        <f t="shared" ref="K37:K68" si="14">IF($A37=5,$C37,0)</f>
        <v>0</v>
      </c>
      <c r="L37" s="51">
        <f t="shared" ref="L37:L68" si="15">IF($A37=6,$C37,0)</f>
        <v>0</v>
      </c>
      <c r="M37" s="51">
        <f t="shared" ref="M37:M68" si="16">IF($A37=7,$C37,0)</f>
        <v>0</v>
      </c>
      <c r="N37" s="51">
        <f t="shared" ref="N37:N68" si="17">IF($A37=8,$C37,0)</f>
        <v>0</v>
      </c>
      <c r="O37" s="51">
        <f t="shared" ref="O37:O68" si="18">IF($A37=9,$C37,0)</f>
        <v>0</v>
      </c>
      <c r="P37" s="44">
        <f t="shared" ca="1" si="9"/>
        <v>0.42427902805006523</v>
      </c>
    </row>
    <row r="38" spans="1:16" ht="40" customHeight="1" x14ac:dyDescent="0.25">
      <c r="A38" s="1">
        <v>2</v>
      </c>
      <c r="C38" s="66"/>
      <c r="D38" s="64" t="s">
        <v>39</v>
      </c>
      <c r="E38" s="49"/>
      <c r="G38" s="51">
        <f t="shared" si="10"/>
        <v>0</v>
      </c>
      <c r="H38" s="51">
        <f t="shared" si="11"/>
        <v>0</v>
      </c>
      <c r="I38" s="51">
        <f t="shared" si="12"/>
        <v>0</v>
      </c>
      <c r="J38" s="51">
        <f t="shared" si="13"/>
        <v>0</v>
      </c>
      <c r="K38" s="51">
        <f t="shared" si="14"/>
        <v>0</v>
      </c>
      <c r="L38" s="51">
        <f t="shared" si="15"/>
        <v>0</v>
      </c>
      <c r="M38" s="51">
        <f t="shared" si="16"/>
        <v>0</v>
      </c>
      <c r="N38" s="51">
        <f t="shared" si="17"/>
        <v>0</v>
      </c>
      <c r="O38" s="51">
        <f t="shared" si="18"/>
        <v>0</v>
      </c>
      <c r="P38" s="44">
        <f t="shared" ca="1" si="9"/>
        <v>0.570985781996598</v>
      </c>
    </row>
    <row r="39" spans="1:16" ht="40" customHeight="1" x14ac:dyDescent="0.25">
      <c r="A39" s="1">
        <v>9</v>
      </c>
      <c r="C39" s="66"/>
      <c r="D39" s="64" t="s">
        <v>40</v>
      </c>
      <c r="E39" s="49"/>
      <c r="G39" s="51">
        <f t="shared" si="10"/>
        <v>0</v>
      </c>
      <c r="H39" s="51">
        <f t="shared" si="11"/>
        <v>0</v>
      </c>
      <c r="I39" s="51">
        <f t="shared" si="12"/>
        <v>0</v>
      </c>
      <c r="J39" s="51">
        <f t="shared" si="13"/>
        <v>0</v>
      </c>
      <c r="K39" s="51">
        <f t="shared" si="14"/>
        <v>0</v>
      </c>
      <c r="L39" s="51">
        <f t="shared" si="15"/>
        <v>0</v>
      </c>
      <c r="M39" s="51">
        <f t="shared" si="16"/>
        <v>0</v>
      </c>
      <c r="N39" s="51">
        <f t="shared" si="17"/>
        <v>0</v>
      </c>
      <c r="O39" s="51">
        <f t="shared" si="18"/>
        <v>0</v>
      </c>
      <c r="P39" s="44">
        <f t="shared" ca="1" si="9"/>
        <v>0.19738946168402671</v>
      </c>
    </row>
    <row r="40" spans="1:16" ht="40" customHeight="1" x14ac:dyDescent="0.25">
      <c r="A40" s="1">
        <v>6</v>
      </c>
      <c r="C40" s="66"/>
      <c r="D40" s="64" t="s">
        <v>41</v>
      </c>
      <c r="E40" s="49"/>
      <c r="G40" s="51">
        <f t="shared" si="10"/>
        <v>0</v>
      </c>
      <c r="H40" s="51">
        <f t="shared" si="11"/>
        <v>0</v>
      </c>
      <c r="I40" s="51">
        <f t="shared" si="12"/>
        <v>0</v>
      </c>
      <c r="J40" s="51">
        <f t="shared" si="13"/>
        <v>0</v>
      </c>
      <c r="K40" s="51">
        <f t="shared" si="14"/>
        <v>0</v>
      </c>
      <c r="L40" s="51">
        <f t="shared" si="15"/>
        <v>0</v>
      </c>
      <c r="M40" s="51">
        <f t="shared" si="16"/>
        <v>0</v>
      </c>
      <c r="N40" s="51">
        <f t="shared" si="17"/>
        <v>0</v>
      </c>
      <c r="O40" s="51">
        <f t="shared" si="18"/>
        <v>0</v>
      </c>
      <c r="P40" s="44">
        <f t="shared" ca="1" si="9"/>
        <v>4.2813484607313934E-2</v>
      </c>
    </row>
    <row r="41" spans="1:16" ht="40" customHeight="1" x14ac:dyDescent="0.25">
      <c r="A41" s="1">
        <v>6</v>
      </c>
      <c r="C41" s="66"/>
      <c r="D41" s="64" t="s">
        <v>42</v>
      </c>
      <c r="E41" s="49"/>
      <c r="G41" s="51">
        <f t="shared" si="10"/>
        <v>0</v>
      </c>
      <c r="H41" s="51">
        <f t="shared" si="11"/>
        <v>0</v>
      </c>
      <c r="I41" s="51">
        <f t="shared" si="12"/>
        <v>0</v>
      </c>
      <c r="J41" s="51">
        <f t="shared" si="13"/>
        <v>0</v>
      </c>
      <c r="K41" s="51">
        <f t="shared" si="14"/>
        <v>0</v>
      </c>
      <c r="L41" s="51">
        <f t="shared" si="15"/>
        <v>0</v>
      </c>
      <c r="M41" s="51">
        <f t="shared" si="16"/>
        <v>0</v>
      </c>
      <c r="N41" s="51">
        <f t="shared" si="17"/>
        <v>0</v>
      </c>
      <c r="O41" s="51">
        <f t="shared" si="18"/>
        <v>0</v>
      </c>
      <c r="P41" s="44">
        <f t="shared" ca="1" si="9"/>
        <v>0.46796471571123976</v>
      </c>
    </row>
    <row r="42" spans="1:16" ht="40" customHeight="1" x14ac:dyDescent="0.25">
      <c r="A42" s="1">
        <v>2</v>
      </c>
      <c r="C42" s="66"/>
      <c r="D42" s="64" t="s">
        <v>43</v>
      </c>
      <c r="E42" s="49"/>
      <c r="G42" s="51">
        <f t="shared" si="10"/>
        <v>0</v>
      </c>
      <c r="H42" s="51">
        <f t="shared" si="11"/>
        <v>0</v>
      </c>
      <c r="I42" s="51">
        <f t="shared" si="12"/>
        <v>0</v>
      </c>
      <c r="J42" s="51">
        <f t="shared" si="13"/>
        <v>0</v>
      </c>
      <c r="K42" s="51">
        <f t="shared" si="14"/>
        <v>0</v>
      </c>
      <c r="L42" s="51">
        <f t="shared" si="15"/>
        <v>0</v>
      </c>
      <c r="M42" s="51">
        <f t="shared" si="16"/>
        <v>0</v>
      </c>
      <c r="N42" s="51">
        <f t="shared" si="17"/>
        <v>0</v>
      </c>
      <c r="O42" s="51">
        <f t="shared" si="18"/>
        <v>0</v>
      </c>
      <c r="P42" s="44">
        <f t="shared" ca="1" si="9"/>
        <v>0.22303634427693986</v>
      </c>
    </row>
    <row r="43" spans="1:16" ht="40" customHeight="1" x14ac:dyDescent="0.25">
      <c r="A43" s="1">
        <v>1</v>
      </c>
      <c r="C43" s="66"/>
      <c r="D43" s="64" t="s">
        <v>44</v>
      </c>
      <c r="E43" s="49"/>
      <c r="G43" s="51">
        <f t="shared" si="10"/>
        <v>0</v>
      </c>
      <c r="H43" s="51">
        <f t="shared" si="11"/>
        <v>0</v>
      </c>
      <c r="I43" s="51">
        <f t="shared" si="12"/>
        <v>0</v>
      </c>
      <c r="J43" s="51">
        <f t="shared" si="13"/>
        <v>0</v>
      </c>
      <c r="K43" s="51">
        <f t="shared" si="14"/>
        <v>0</v>
      </c>
      <c r="L43" s="51">
        <f t="shared" si="15"/>
        <v>0</v>
      </c>
      <c r="M43" s="51">
        <f t="shared" si="16"/>
        <v>0</v>
      </c>
      <c r="N43" s="51">
        <f t="shared" si="17"/>
        <v>0</v>
      </c>
      <c r="O43" s="51">
        <f t="shared" si="18"/>
        <v>0</v>
      </c>
      <c r="P43" s="44">
        <f t="shared" ca="1" si="9"/>
        <v>0.2265491089793793</v>
      </c>
    </row>
    <row r="44" spans="1:16" ht="40" customHeight="1" x14ac:dyDescent="0.25">
      <c r="A44" s="1">
        <v>5</v>
      </c>
      <c r="C44" s="66"/>
      <c r="D44" s="64" t="s">
        <v>45</v>
      </c>
      <c r="E44" s="49"/>
      <c r="G44" s="51">
        <f t="shared" si="10"/>
        <v>0</v>
      </c>
      <c r="H44" s="51">
        <f t="shared" si="11"/>
        <v>0</v>
      </c>
      <c r="I44" s="51">
        <f t="shared" si="12"/>
        <v>0</v>
      </c>
      <c r="J44" s="51">
        <f t="shared" si="13"/>
        <v>0</v>
      </c>
      <c r="K44" s="51">
        <f t="shared" si="14"/>
        <v>0</v>
      </c>
      <c r="L44" s="51">
        <f t="shared" si="15"/>
        <v>0</v>
      </c>
      <c r="M44" s="51">
        <f t="shared" si="16"/>
        <v>0</v>
      </c>
      <c r="N44" s="51">
        <f t="shared" si="17"/>
        <v>0</v>
      </c>
      <c r="O44" s="51">
        <f t="shared" si="18"/>
        <v>0</v>
      </c>
      <c r="P44" s="44">
        <f t="shared" ca="1" si="9"/>
        <v>0.60311013652980183</v>
      </c>
    </row>
    <row r="45" spans="1:16" ht="40" customHeight="1" x14ac:dyDescent="0.25">
      <c r="A45" s="1">
        <v>4</v>
      </c>
      <c r="C45" s="66"/>
      <c r="D45" s="64" t="s">
        <v>46</v>
      </c>
      <c r="E45" s="49"/>
      <c r="G45" s="51">
        <f t="shared" si="10"/>
        <v>0</v>
      </c>
      <c r="H45" s="51">
        <f t="shared" si="11"/>
        <v>0</v>
      </c>
      <c r="I45" s="51">
        <f t="shared" si="12"/>
        <v>0</v>
      </c>
      <c r="J45" s="51">
        <f t="shared" si="13"/>
        <v>0</v>
      </c>
      <c r="K45" s="51">
        <f t="shared" si="14"/>
        <v>0</v>
      </c>
      <c r="L45" s="51">
        <f t="shared" si="15"/>
        <v>0</v>
      </c>
      <c r="M45" s="51">
        <f t="shared" si="16"/>
        <v>0</v>
      </c>
      <c r="N45" s="51">
        <f t="shared" si="17"/>
        <v>0</v>
      </c>
      <c r="O45" s="51">
        <f t="shared" si="18"/>
        <v>0</v>
      </c>
      <c r="P45" s="44">
        <f t="shared" ca="1" si="9"/>
        <v>0.13066935929800405</v>
      </c>
    </row>
    <row r="46" spans="1:16" ht="40" customHeight="1" x14ac:dyDescent="0.25">
      <c r="A46" s="1">
        <v>4</v>
      </c>
      <c r="C46" s="66"/>
      <c r="D46" s="64" t="s">
        <v>47</v>
      </c>
      <c r="E46" s="49"/>
      <c r="G46" s="51">
        <f t="shared" si="10"/>
        <v>0</v>
      </c>
      <c r="H46" s="51">
        <f t="shared" si="11"/>
        <v>0</v>
      </c>
      <c r="I46" s="51">
        <f t="shared" si="12"/>
        <v>0</v>
      </c>
      <c r="J46" s="51">
        <f t="shared" si="13"/>
        <v>0</v>
      </c>
      <c r="K46" s="51">
        <f t="shared" si="14"/>
        <v>0</v>
      </c>
      <c r="L46" s="51">
        <f t="shared" si="15"/>
        <v>0</v>
      </c>
      <c r="M46" s="51">
        <f t="shared" si="16"/>
        <v>0</v>
      </c>
      <c r="N46" s="51">
        <f t="shared" si="17"/>
        <v>0</v>
      </c>
      <c r="O46" s="51">
        <f t="shared" si="18"/>
        <v>0</v>
      </c>
      <c r="P46" s="44">
        <f t="shared" ca="1" si="9"/>
        <v>0.88005759962628405</v>
      </c>
    </row>
    <row r="47" spans="1:16" ht="40" customHeight="1" x14ac:dyDescent="0.25">
      <c r="A47" s="1">
        <v>4</v>
      </c>
      <c r="C47" s="66"/>
      <c r="D47" s="64" t="s">
        <v>48</v>
      </c>
      <c r="E47" s="49"/>
      <c r="G47" s="51">
        <f t="shared" si="10"/>
        <v>0</v>
      </c>
      <c r="H47" s="51">
        <f t="shared" si="11"/>
        <v>0</v>
      </c>
      <c r="I47" s="51">
        <f t="shared" si="12"/>
        <v>0</v>
      </c>
      <c r="J47" s="51">
        <f t="shared" si="13"/>
        <v>0</v>
      </c>
      <c r="K47" s="51">
        <f t="shared" si="14"/>
        <v>0</v>
      </c>
      <c r="L47" s="51">
        <f t="shared" si="15"/>
        <v>0</v>
      </c>
      <c r="M47" s="51">
        <f t="shared" si="16"/>
        <v>0</v>
      </c>
      <c r="N47" s="51">
        <f t="shared" si="17"/>
        <v>0</v>
      </c>
      <c r="O47" s="51">
        <f t="shared" si="18"/>
        <v>0</v>
      </c>
      <c r="P47" s="44">
        <f t="shared" ca="1" si="9"/>
        <v>0.45199767913135902</v>
      </c>
    </row>
    <row r="48" spans="1:16" ht="40" customHeight="1" x14ac:dyDescent="0.25">
      <c r="A48" s="1">
        <v>2</v>
      </c>
      <c r="C48" s="66"/>
      <c r="D48" s="64" t="s">
        <v>49</v>
      </c>
      <c r="E48" s="49"/>
      <c r="G48" s="51">
        <f t="shared" si="10"/>
        <v>0</v>
      </c>
      <c r="H48" s="51">
        <f t="shared" si="11"/>
        <v>0</v>
      </c>
      <c r="I48" s="51">
        <f t="shared" si="12"/>
        <v>0</v>
      </c>
      <c r="J48" s="51">
        <f t="shared" si="13"/>
        <v>0</v>
      </c>
      <c r="K48" s="51">
        <f t="shared" si="14"/>
        <v>0</v>
      </c>
      <c r="L48" s="51">
        <f t="shared" si="15"/>
        <v>0</v>
      </c>
      <c r="M48" s="51">
        <f t="shared" si="16"/>
        <v>0</v>
      </c>
      <c r="N48" s="51">
        <f t="shared" si="17"/>
        <v>0</v>
      </c>
      <c r="O48" s="51">
        <f t="shared" si="18"/>
        <v>0</v>
      </c>
      <c r="P48" s="44">
        <f t="shared" ca="1" si="9"/>
        <v>0.75695350022592844</v>
      </c>
    </row>
    <row r="49" spans="1:16" ht="40" customHeight="1" x14ac:dyDescent="0.25">
      <c r="A49" s="1">
        <v>1</v>
      </c>
      <c r="C49" s="66"/>
      <c r="D49" s="64" t="s">
        <v>50</v>
      </c>
      <c r="E49" s="49"/>
      <c r="G49" s="51">
        <f t="shared" si="10"/>
        <v>0</v>
      </c>
      <c r="H49" s="51">
        <f t="shared" si="11"/>
        <v>0</v>
      </c>
      <c r="I49" s="51">
        <f t="shared" si="12"/>
        <v>0</v>
      </c>
      <c r="J49" s="51">
        <f t="shared" si="13"/>
        <v>0</v>
      </c>
      <c r="K49" s="51">
        <f t="shared" si="14"/>
        <v>0</v>
      </c>
      <c r="L49" s="51">
        <f t="shared" si="15"/>
        <v>0</v>
      </c>
      <c r="M49" s="51">
        <f t="shared" si="16"/>
        <v>0</v>
      </c>
      <c r="N49" s="51">
        <f t="shared" si="17"/>
        <v>0</v>
      </c>
      <c r="O49" s="51">
        <f t="shared" si="18"/>
        <v>0</v>
      </c>
      <c r="P49" s="44">
        <f t="shared" ca="1" si="9"/>
        <v>0.57327662321474948</v>
      </c>
    </row>
    <row r="50" spans="1:16" ht="40" customHeight="1" x14ac:dyDescent="0.25">
      <c r="A50" s="1">
        <v>9</v>
      </c>
      <c r="C50" s="66"/>
      <c r="D50" s="64" t="s">
        <v>51</v>
      </c>
      <c r="E50" s="49"/>
      <c r="G50" s="51">
        <f t="shared" si="10"/>
        <v>0</v>
      </c>
      <c r="H50" s="51">
        <f t="shared" si="11"/>
        <v>0</v>
      </c>
      <c r="I50" s="51">
        <f t="shared" si="12"/>
        <v>0</v>
      </c>
      <c r="J50" s="51">
        <f t="shared" si="13"/>
        <v>0</v>
      </c>
      <c r="K50" s="51">
        <f t="shared" si="14"/>
        <v>0</v>
      </c>
      <c r="L50" s="51">
        <f t="shared" si="15"/>
        <v>0</v>
      </c>
      <c r="M50" s="51">
        <f t="shared" si="16"/>
        <v>0</v>
      </c>
      <c r="N50" s="51">
        <f t="shared" si="17"/>
        <v>0</v>
      </c>
      <c r="O50" s="51">
        <f t="shared" si="18"/>
        <v>0</v>
      </c>
      <c r="P50" s="44">
        <f t="shared" ca="1" si="9"/>
        <v>0.71147629727830752</v>
      </c>
    </row>
    <row r="51" spans="1:16" ht="40" customHeight="1" x14ac:dyDescent="0.25">
      <c r="A51" s="1">
        <v>1</v>
      </c>
      <c r="C51" s="66"/>
      <c r="D51" s="64" t="s">
        <v>52</v>
      </c>
      <c r="E51" s="49"/>
      <c r="G51" s="51">
        <f t="shared" si="10"/>
        <v>0</v>
      </c>
      <c r="H51" s="51">
        <f t="shared" si="11"/>
        <v>0</v>
      </c>
      <c r="I51" s="51">
        <f t="shared" si="12"/>
        <v>0</v>
      </c>
      <c r="J51" s="51">
        <f t="shared" si="13"/>
        <v>0</v>
      </c>
      <c r="K51" s="51">
        <f t="shared" si="14"/>
        <v>0</v>
      </c>
      <c r="L51" s="51">
        <f t="shared" si="15"/>
        <v>0</v>
      </c>
      <c r="M51" s="51">
        <f t="shared" si="16"/>
        <v>0</v>
      </c>
      <c r="N51" s="51">
        <f t="shared" si="17"/>
        <v>0</v>
      </c>
      <c r="O51" s="51">
        <f t="shared" si="18"/>
        <v>0</v>
      </c>
      <c r="P51" s="44">
        <f t="shared" ca="1" si="9"/>
        <v>0.65384348516420254</v>
      </c>
    </row>
    <row r="52" spans="1:16" ht="40" customHeight="1" x14ac:dyDescent="0.25">
      <c r="A52" s="1">
        <v>9</v>
      </c>
      <c r="C52" s="67"/>
      <c r="D52" s="63" t="s">
        <v>53</v>
      </c>
      <c r="E52" s="49"/>
      <c r="G52" s="51">
        <f t="shared" si="10"/>
        <v>0</v>
      </c>
      <c r="H52" s="51">
        <f t="shared" si="11"/>
        <v>0</v>
      </c>
      <c r="I52" s="51">
        <f t="shared" si="12"/>
        <v>0</v>
      </c>
      <c r="J52" s="51">
        <f t="shared" si="13"/>
        <v>0</v>
      </c>
      <c r="K52" s="51">
        <f t="shared" si="14"/>
        <v>0</v>
      </c>
      <c r="L52" s="51">
        <f t="shared" si="15"/>
        <v>0</v>
      </c>
      <c r="M52" s="51">
        <f t="shared" si="16"/>
        <v>0</v>
      </c>
      <c r="N52" s="51">
        <f t="shared" si="17"/>
        <v>0</v>
      </c>
      <c r="O52" s="51">
        <f t="shared" si="18"/>
        <v>0</v>
      </c>
      <c r="P52" s="44">
        <f t="shared" ca="1" si="9"/>
        <v>0.78466472893167549</v>
      </c>
    </row>
    <row r="53" spans="1:16" ht="40" customHeight="1" x14ac:dyDescent="0.25">
      <c r="A53" s="1">
        <v>6</v>
      </c>
      <c r="C53" s="68"/>
      <c r="D53" s="62" t="s">
        <v>54</v>
      </c>
      <c r="E53" s="49"/>
      <c r="G53" s="51">
        <f t="shared" si="10"/>
        <v>0</v>
      </c>
      <c r="H53" s="51">
        <f t="shared" si="11"/>
        <v>0</v>
      </c>
      <c r="I53" s="51">
        <f t="shared" si="12"/>
        <v>0</v>
      </c>
      <c r="J53" s="51">
        <f t="shared" si="13"/>
        <v>0</v>
      </c>
      <c r="K53" s="51">
        <f t="shared" si="14"/>
        <v>0</v>
      </c>
      <c r="L53" s="51">
        <f t="shared" si="15"/>
        <v>0</v>
      </c>
      <c r="M53" s="51">
        <f t="shared" si="16"/>
        <v>0</v>
      </c>
      <c r="N53" s="51">
        <f t="shared" si="17"/>
        <v>0</v>
      </c>
      <c r="O53" s="51">
        <f t="shared" si="18"/>
        <v>0</v>
      </c>
      <c r="P53" s="44">
        <f t="shared" ca="1" si="9"/>
        <v>0.97823524278957441</v>
      </c>
    </row>
    <row r="54" spans="1:16" ht="40" customHeight="1" x14ac:dyDescent="0.25">
      <c r="A54" s="1">
        <v>6</v>
      </c>
      <c r="C54" s="66"/>
      <c r="D54" s="64" t="s">
        <v>55</v>
      </c>
      <c r="E54" s="49"/>
      <c r="G54" s="51">
        <f t="shared" si="10"/>
        <v>0</v>
      </c>
      <c r="H54" s="51">
        <f t="shared" si="11"/>
        <v>0</v>
      </c>
      <c r="I54" s="51">
        <f t="shared" si="12"/>
        <v>0</v>
      </c>
      <c r="J54" s="51">
        <f t="shared" si="13"/>
        <v>0</v>
      </c>
      <c r="K54" s="51">
        <f t="shared" si="14"/>
        <v>0</v>
      </c>
      <c r="L54" s="51">
        <f t="shared" si="15"/>
        <v>0</v>
      </c>
      <c r="M54" s="51">
        <f t="shared" si="16"/>
        <v>0</v>
      </c>
      <c r="N54" s="51">
        <f t="shared" si="17"/>
        <v>0</v>
      </c>
      <c r="O54" s="51">
        <f t="shared" si="18"/>
        <v>0</v>
      </c>
      <c r="P54" s="44">
        <f t="shared" ca="1" si="9"/>
        <v>0.3254582592946248</v>
      </c>
    </row>
    <row r="55" spans="1:16" ht="40" customHeight="1" x14ac:dyDescent="0.25">
      <c r="A55" s="1">
        <v>3</v>
      </c>
      <c r="C55" s="66"/>
      <c r="D55" s="64" t="s">
        <v>56</v>
      </c>
      <c r="E55" s="49"/>
      <c r="F55" s="52"/>
      <c r="G55" s="51">
        <f t="shared" si="10"/>
        <v>0</v>
      </c>
      <c r="H55" s="51">
        <f t="shared" si="11"/>
        <v>0</v>
      </c>
      <c r="I55" s="51">
        <f t="shared" si="12"/>
        <v>0</v>
      </c>
      <c r="J55" s="51">
        <f t="shared" si="13"/>
        <v>0</v>
      </c>
      <c r="K55" s="51">
        <f t="shared" si="14"/>
        <v>0</v>
      </c>
      <c r="L55" s="51">
        <f t="shared" si="15"/>
        <v>0</v>
      </c>
      <c r="M55" s="51">
        <f t="shared" si="16"/>
        <v>0</v>
      </c>
      <c r="N55" s="51">
        <f t="shared" si="17"/>
        <v>0</v>
      </c>
      <c r="O55" s="51">
        <f t="shared" si="18"/>
        <v>0</v>
      </c>
      <c r="P55" s="44">
        <f t="shared" ca="1" si="9"/>
        <v>8.4283918606122277E-2</v>
      </c>
    </row>
    <row r="56" spans="1:16" ht="40" customHeight="1" x14ac:dyDescent="0.25">
      <c r="A56" s="1">
        <v>5</v>
      </c>
      <c r="C56" s="66"/>
      <c r="D56" s="64" t="s">
        <v>57</v>
      </c>
      <c r="E56" s="49"/>
      <c r="G56" s="51">
        <f t="shared" si="10"/>
        <v>0</v>
      </c>
      <c r="H56" s="51">
        <f t="shared" si="11"/>
        <v>0</v>
      </c>
      <c r="I56" s="51">
        <f t="shared" si="12"/>
        <v>0</v>
      </c>
      <c r="J56" s="51">
        <f t="shared" si="13"/>
        <v>0</v>
      </c>
      <c r="K56" s="51">
        <f t="shared" si="14"/>
        <v>0</v>
      </c>
      <c r="L56" s="51">
        <f t="shared" si="15"/>
        <v>0</v>
      </c>
      <c r="M56" s="51">
        <f t="shared" si="16"/>
        <v>0</v>
      </c>
      <c r="N56" s="51">
        <f t="shared" si="17"/>
        <v>0</v>
      </c>
      <c r="O56" s="51">
        <f t="shared" si="18"/>
        <v>0</v>
      </c>
      <c r="P56" s="44">
        <f t="shared" ca="1" si="9"/>
        <v>0.86475284316868328</v>
      </c>
    </row>
    <row r="57" spans="1:16" ht="40" customHeight="1" x14ac:dyDescent="0.25">
      <c r="A57" s="1">
        <v>7</v>
      </c>
      <c r="C57" s="66"/>
      <c r="D57" s="64" t="s">
        <v>58</v>
      </c>
      <c r="E57" s="49"/>
      <c r="G57" s="51">
        <f t="shared" si="10"/>
        <v>0</v>
      </c>
      <c r="H57" s="51">
        <f t="shared" si="11"/>
        <v>0</v>
      </c>
      <c r="I57" s="51">
        <f t="shared" si="12"/>
        <v>0</v>
      </c>
      <c r="J57" s="51">
        <f t="shared" si="13"/>
        <v>0</v>
      </c>
      <c r="K57" s="51">
        <f t="shared" si="14"/>
        <v>0</v>
      </c>
      <c r="L57" s="51">
        <f t="shared" si="15"/>
        <v>0</v>
      </c>
      <c r="M57" s="51">
        <f t="shared" si="16"/>
        <v>0</v>
      </c>
      <c r="N57" s="51">
        <f t="shared" si="17"/>
        <v>0</v>
      </c>
      <c r="O57" s="51">
        <f t="shared" si="18"/>
        <v>0</v>
      </c>
      <c r="P57" s="44">
        <f t="shared" ca="1" si="9"/>
        <v>0.56753831748934003</v>
      </c>
    </row>
    <row r="58" spans="1:16" ht="40" customHeight="1" x14ac:dyDescent="0.25">
      <c r="A58" s="1">
        <v>6</v>
      </c>
      <c r="C58" s="66"/>
      <c r="D58" s="64" t="s">
        <v>59</v>
      </c>
      <c r="E58" s="49"/>
      <c r="G58" s="51">
        <f t="shared" si="10"/>
        <v>0</v>
      </c>
      <c r="H58" s="51">
        <f t="shared" si="11"/>
        <v>0</v>
      </c>
      <c r="I58" s="51">
        <f t="shared" si="12"/>
        <v>0</v>
      </c>
      <c r="J58" s="51">
        <f t="shared" si="13"/>
        <v>0</v>
      </c>
      <c r="K58" s="51">
        <f t="shared" si="14"/>
        <v>0</v>
      </c>
      <c r="L58" s="51">
        <f t="shared" si="15"/>
        <v>0</v>
      </c>
      <c r="M58" s="51">
        <f t="shared" si="16"/>
        <v>0</v>
      </c>
      <c r="N58" s="51">
        <f t="shared" si="17"/>
        <v>0</v>
      </c>
      <c r="O58" s="51">
        <f t="shared" si="18"/>
        <v>0</v>
      </c>
      <c r="P58" s="44">
        <f t="shared" ca="1" si="9"/>
        <v>7.7280316570753183E-2</v>
      </c>
    </row>
    <row r="59" spans="1:16" ht="40" customHeight="1" x14ac:dyDescent="0.25">
      <c r="A59" s="1">
        <v>1</v>
      </c>
      <c r="C59" s="66"/>
      <c r="D59" s="64" t="s">
        <v>60</v>
      </c>
      <c r="E59" s="49"/>
      <c r="G59" s="51">
        <f t="shared" si="10"/>
        <v>0</v>
      </c>
      <c r="H59" s="51">
        <f t="shared" si="11"/>
        <v>0</v>
      </c>
      <c r="I59" s="51">
        <f t="shared" si="12"/>
        <v>0</v>
      </c>
      <c r="J59" s="51">
        <f t="shared" si="13"/>
        <v>0</v>
      </c>
      <c r="K59" s="51">
        <f t="shared" si="14"/>
        <v>0</v>
      </c>
      <c r="L59" s="51">
        <f t="shared" si="15"/>
        <v>0</v>
      </c>
      <c r="M59" s="51">
        <f t="shared" si="16"/>
        <v>0</v>
      </c>
      <c r="N59" s="51">
        <f t="shared" si="17"/>
        <v>0</v>
      </c>
      <c r="O59" s="51">
        <f t="shared" si="18"/>
        <v>0</v>
      </c>
      <c r="P59" s="44">
        <f t="shared" ca="1" si="9"/>
        <v>0.79820066249530675</v>
      </c>
    </row>
    <row r="60" spans="1:16" ht="40" customHeight="1" x14ac:dyDescent="0.25">
      <c r="A60" s="1">
        <v>3</v>
      </c>
      <c r="C60" s="66"/>
      <c r="D60" s="64" t="s">
        <v>61</v>
      </c>
      <c r="E60" s="49"/>
      <c r="G60" s="51">
        <f t="shared" si="10"/>
        <v>0</v>
      </c>
      <c r="H60" s="51">
        <f t="shared" si="11"/>
        <v>0</v>
      </c>
      <c r="I60" s="51">
        <f t="shared" si="12"/>
        <v>0</v>
      </c>
      <c r="J60" s="51">
        <f t="shared" si="13"/>
        <v>0</v>
      </c>
      <c r="K60" s="51">
        <f t="shared" si="14"/>
        <v>0</v>
      </c>
      <c r="L60" s="51">
        <f t="shared" si="15"/>
        <v>0</v>
      </c>
      <c r="M60" s="51">
        <f t="shared" si="16"/>
        <v>0</v>
      </c>
      <c r="N60" s="51">
        <f t="shared" si="17"/>
        <v>0</v>
      </c>
      <c r="O60" s="51">
        <f t="shared" si="18"/>
        <v>0</v>
      </c>
      <c r="P60" s="44">
        <f t="shared" ca="1" si="9"/>
        <v>0.89875091687654984</v>
      </c>
    </row>
    <row r="61" spans="1:16" ht="40" customHeight="1" x14ac:dyDescent="0.25">
      <c r="A61" s="1">
        <v>6</v>
      </c>
      <c r="C61" s="66"/>
      <c r="D61" s="64" t="s">
        <v>62</v>
      </c>
      <c r="E61" s="49"/>
      <c r="G61" s="51">
        <f t="shared" si="10"/>
        <v>0</v>
      </c>
      <c r="H61" s="51">
        <f t="shared" si="11"/>
        <v>0</v>
      </c>
      <c r="I61" s="51">
        <f t="shared" si="12"/>
        <v>0</v>
      </c>
      <c r="J61" s="51">
        <f t="shared" si="13"/>
        <v>0</v>
      </c>
      <c r="K61" s="51">
        <f t="shared" si="14"/>
        <v>0</v>
      </c>
      <c r="L61" s="51">
        <f t="shared" si="15"/>
        <v>0</v>
      </c>
      <c r="M61" s="51">
        <f t="shared" si="16"/>
        <v>0</v>
      </c>
      <c r="N61" s="51">
        <f t="shared" si="17"/>
        <v>0</v>
      </c>
      <c r="O61" s="51">
        <f t="shared" si="18"/>
        <v>0</v>
      </c>
      <c r="P61" s="44">
        <f t="shared" ca="1" si="9"/>
        <v>0.43824151403769696</v>
      </c>
    </row>
    <row r="62" spans="1:16" ht="40" customHeight="1" x14ac:dyDescent="0.25">
      <c r="A62" s="1">
        <v>7</v>
      </c>
      <c r="C62" s="66"/>
      <c r="D62" s="64" t="s">
        <v>63</v>
      </c>
      <c r="E62" s="49"/>
      <c r="G62" s="51">
        <f t="shared" si="10"/>
        <v>0</v>
      </c>
      <c r="H62" s="51">
        <f t="shared" si="11"/>
        <v>0</v>
      </c>
      <c r="I62" s="51">
        <f t="shared" si="12"/>
        <v>0</v>
      </c>
      <c r="J62" s="51">
        <f t="shared" si="13"/>
        <v>0</v>
      </c>
      <c r="K62" s="51">
        <f t="shared" si="14"/>
        <v>0</v>
      </c>
      <c r="L62" s="51">
        <f t="shared" si="15"/>
        <v>0</v>
      </c>
      <c r="M62" s="51">
        <f t="shared" si="16"/>
        <v>0</v>
      </c>
      <c r="N62" s="51">
        <f t="shared" si="17"/>
        <v>0</v>
      </c>
      <c r="O62" s="51">
        <f t="shared" si="18"/>
        <v>0</v>
      </c>
      <c r="P62" s="44">
        <f t="shared" ca="1" si="9"/>
        <v>0.90488885305220768</v>
      </c>
    </row>
    <row r="63" spans="1:16" ht="40" customHeight="1" x14ac:dyDescent="0.25">
      <c r="A63" s="1">
        <v>6</v>
      </c>
      <c r="C63" s="66"/>
      <c r="D63" s="64" t="s">
        <v>64</v>
      </c>
      <c r="E63" s="49"/>
      <c r="G63" s="51">
        <f t="shared" si="10"/>
        <v>0</v>
      </c>
      <c r="H63" s="51">
        <f t="shared" si="11"/>
        <v>0</v>
      </c>
      <c r="I63" s="51">
        <f t="shared" si="12"/>
        <v>0</v>
      </c>
      <c r="J63" s="51">
        <f t="shared" si="13"/>
        <v>0</v>
      </c>
      <c r="K63" s="51">
        <f t="shared" si="14"/>
        <v>0</v>
      </c>
      <c r="L63" s="51">
        <f t="shared" si="15"/>
        <v>0</v>
      </c>
      <c r="M63" s="51">
        <f t="shared" si="16"/>
        <v>0</v>
      </c>
      <c r="N63" s="51">
        <f t="shared" si="17"/>
        <v>0</v>
      </c>
      <c r="O63" s="51">
        <f t="shared" si="18"/>
        <v>0</v>
      </c>
      <c r="P63" s="44">
        <f t="shared" ca="1" si="9"/>
        <v>0.34082559647478339</v>
      </c>
    </row>
    <row r="64" spans="1:16" ht="40" customHeight="1" x14ac:dyDescent="0.25">
      <c r="A64" s="1">
        <v>2</v>
      </c>
      <c r="C64" s="66"/>
      <c r="D64" s="64" t="s">
        <v>65</v>
      </c>
      <c r="E64" s="49"/>
      <c r="G64" s="51">
        <f t="shared" si="10"/>
        <v>0</v>
      </c>
      <c r="H64" s="51">
        <f t="shared" si="11"/>
        <v>0</v>
      </c>
      <c r="I64" s="51">
        <f t="shared" si="12"/>
        <v>0</v>
      </c>
      <c r="J64" s="51">
        <f t="shared" si="13"/>
        <v>0</v>
      </c>
      <c r="K64" s="51">
        <f t="shared" si="14"/>
        <v>0</v>
      </c>
      <c r="L64" s="51">
        <f t="shared" si="15"/>
        <v>0</v>
      </c>
      <c r="M64" s="51">
        <f t="shared" si="16"/>
        <v>0</v>
      </c>
      <c r="N64" s="51">
        <f t="shared" si="17"/>
        <v>0</v>
      </c>
      <c r="O64" s="51">
        <f t="shared" si="18"/>
        <v>0</v>
      </c>
      <c r="P64" s="44">
        <f t="shared" ca="1" si="9"/>
        <v>0.83663990826077761</v>
      </c>
    </row>
    <row r="65" spans="1:16" ht="40" customHeight="1" x14ac:dyDescent="0.25">
      <c r="A65" s="1">
        <v>2</v>
      </c>
      <c r="C65" s="66"/>
      <c r="D65" s="64" t="s">
        <v>66</v>
      </c>
      <c r="E65" s="49"/>
      <c r="G65" s="51">
        <f t="shared" si="10"/>
        <v>0</v>
      </c>
      <c r="H65" s="51">
        <f t="shared" si="11"/>
        <v>0</v>
      </c>
      <c r="I65" s="51">
        <f t="shared" si="12"/>
        <v>0</v>
      </c>
      <c r="J65" s="51">
        <f t="shared" si="13"/>
        <v>0</v>
      </c>
      <c r="K65" s="51">
        <f t="shared" si="14"/>
        <v>0</v>
      </c>
      <c r="L65" s="51">
        <f t="shared" si="15"/>
        <v>0</v>
      </c>
      <c r="M65" s="51">
        <f t="shared" si="16"/>
        <v>0</v>
      </c>
      <c r="N65" s="51">
        <f t="shared" si="17"/>
        <v>0</v>
      </c>
      <c r="O65" s="51">
        <f t="shared" si="18"/>
        <v>0</v>
      </c>
      <c r="P65" s="44">
        <f t="shared" ca="1" si="9"/>
        <v>0.49268638226802652</v>
      </c>
    </row>
    <row r="66" spans="1:16" ht="40" customHeight="1" x14ac:dyDescent="0.25">
      <c r="A66" s="1">
        <v>8</v>
      </c>
      <c r="C66" s="66"/>
      <c r="D66" s="64" t="s">
        <v>67</v>
      </c>
      <c r="E66" s="49"/>
      <c r="G66" s="51">
        <f t="shared" si="10"/>
        <v>0</v>
      </c>
      <c r="H66" s="51">
        <f t="shared" si="11"/>
        <v>0</v>
      </c>
      <c r="I66" s="51">
        <f t="shared" si="12"/>
        <v>0</v>
      </c>
      <c r="J66" s="51">
        <f t="shared" si="13"/>
        <v>0</v>
      </c>
      <c r="K66" s="51">
        <f t="shared" si="14"/>
        <v>0</v>
      </c>
      <c r="L66" s="51">
        <f t="shared" si="15"/>
        <v>0</v>
      </c>
      <c r="M66" s="51">
        <f t="shared" si="16"/>
        <v>0</v>
      </c>
      <c r="N66" s="51">
        <f t="shared" si="17"/>
        <v>0</v>
      </c>
      <c r="O66" s="51">
        <f t="shared" si="18"/>
        <v>0</v>
      </c>
      <c r="P66" s="44">
        <f t="shared" ca="1" si="9"/>
        <v>0.85363791693354785</v>
      </c>
    </row>
    <row r="67" spans="1:16" ht="40" customHeight="1" x14ac:dyDescent="0.25">
      <c r="A67" s="1">
        <v>9</v>
      </c>
      <c r="C67" s="66"/>
      <c r="D67" s="64" t="s">
        <v>68</v>
      </c>
      <c r="E67" s="49"/>
      <c r="G67" s="51">
        <f t="shared" si="10"/>
        <v>0</v>
      </c>
      <c r="H67" s="51">
        <f t="shared" si="11"/>
        <v>0</v>
      </c>
      <c r="I67" s="51">
        <f t="shared" si="12"/>
        <v>0</v>
      </c>
      <c r="J67" s="51">
        <f t="shared" si="13"/>
        <v>0</v>
      </c>
      <c r="K67" s="51">
        <f t="shared" si="14"/>
        <v>0</v>
      </c>
      <c r="L67" s="51">
        <f t="shared" si="15"/>
        <v>0</v>
      </c>
      <c r="M67" s="51">
        <f t="shared" si="16"/>
        <v>0</v>
      </c>
      <c r="N67" s="51">
        <f t="shared" si="17"/>
        <v>0</v>
      </c>
      <c r="O67" s="51">
        <f t="shared" si="18"/>
        <v>0</v>
      </c>
      <c r="P67" s="44">
        <f t="shared" ca="1" si="9"/>
        <v>0.50630856016786063</v>
      </c>
    </row>
    <row r="68" spans="1:16" ht="40" customHeight="1" x14ac:dyDescent="0.25">
      <c r="A68" s="1">
        <v>9</v>
      </c>
      <c r="C68" s="66"/>
      <c r="D68" s="64" t="s">
        <v>69</v>
      </c>
      <c r="E68" s="49"/>
      <c r="G68" s="51">
        <f t="shared" si="10"/>
        <v>0</v>
      </c>
      <c r="H68" s="51">
        <f t="shared" si="11"/>
        <v>0</v>
      </c>
      <c r="I68" s="51">
        <f t="shared" si="12"/>
        <v>0</v>
      </c>
      <c r="J68" s="51">
        <f t="shared" si="13"/>
        <v>0</v>
      </c>
      <c r="K68" s="51">
        <f t="shared" si="14"/>
        <v>0</v>
      </c>
      <c r="L68" s="51">
        <f t="shared" si="15"/>
        <v>0</v>
      </c>
      <c r="M68" s="51">
        <f t="shared" si="16"/>
        <v>0</v>
      </c>
      <c r="N68" s="51">
        <f t="shared" si="17"/>
        <v>0</v>
      </c>
      <c r="O68" s="51">
        <f t="shared" si="18"/>
        <v>0</v>
      </c>
      <c r="P68" s="44">
        <f t="shared" ca="1" si="9"/>
        <v>0.74106137736504951</v>
      </c>
    </row>
    <row r="69" spans="1:16" ht="40" customHeight="1" x14ac:dyDescent="0.25">
      <c r="A69" s="1">
        <v>8</v>
      </c>
      <c r="C69" s="66"/>
      <c r="D69" s="64" t="s">
        <v>70</v>
      </c>
      <c r="E69" s="49"/>
      <c r="G69" s="51">
        <f t="shared" ref="G69:G100" si="19">IF($A69=1,$C69,0)</f>
        <v>0</v>
      </c>
      <c r="H69" s="51">
        <f t="shared" ref="H69:H100" si="20">IF($A69=2,$C69,0)</f>
        <v>0</v>
      </c>
      <c r="I69" s="51">
        <f t="shared" ref="I69:I100" si="21">IF($A69=3,$C69,0)</f>
        <v>0</v>
      </c>
      <c r="J69" s="51">
        <f t="shared" ref="J69:J100" si="22">IF($A69=4,$C69,0)</f>
        <v>0</v>
      </c>
      <c r="K69" s="51">
        <f t="shared" ref="K69:K100" si="23">IF($A69=5,$C69,0)</f>
        <v>0</v>
      </c>
      <c r="L69" s="51">
        <f t="shared" ref="L69:L100" si="24">IF($A69=6,$C69,0)</f>
        <v>0</v>
      </c>
      <c r="M69" s="51">
        <f t="shared" ref="M69:M100" si="25">IF($A69=7,$C69,0)</f>
        <v>0</v>
      </c>
      <c r="N69" s="51">
        <f t="shared" ref="N69:N100" si="26">IF($A69=8,$C69,0)</f>
        <v>0</v>
      </c>
      <c r="O69" s="51">
        <f t="shared" ref="O69:O100" si="27">IF($A69=9,$C69,0)</f>
        <v>0</v>
      </c>
      <c r="P69" s="44">
        <f t="shared" ref="P69:P131" ca="1" si="28">RAND()</f>
        <v>0.75590771286811176</v>
      </c>
    </row>
    <row r="70" spans="1:16" ht="40" customHeight="1" x14ac:dyDescent="0.25">
      <c r="A70" s="1">
        <v>1</v>
      </c>
      <c r="C70" s="66"/>
      <c r="D70" s="64" t="s">
        <v>71</v>
      </c>
      <c r="E70" s="49"/>
      <c r="G70" s="51">
        <f t="shared" si="19"/>
        <v>0</v>
      </c>
      <c r="H70" s="51">
        <f t="shared" si="20"/>
        <v>0</v>
      </c>
      <c r="I70" s="51">
        <f t="shared" si="21"/>
        <v>0</v>
      </c>
      <c r="J70" s="51">
        <f t="shared" si="22"/>
        <v>0</v>
      </c>
      <c r="K70" s="51">
        <f t="shared" si="23"/>
        <v>0</v>
      </c>
      <c r="L70" s="51">
        <f t="shared" si="24"/>
        <v>0</v>
      </c>
      <c r="M70" s="51">
        <f t="shared" si="25"/>
        <v>0</v>
      </c>
      <c r="N70" s="51">
        <f t="shared" si="26"/>
        <v>0</v>
      </c>
      <c r="O70" s="51">
        <f t="shared" si="27"/>
        <v>0</v>
      </c>
      <c r="P70" s="44">
        <f t="shared" ca="1" si="28"/>
        <v>0.37283441501917691</v>
      </c>
    </row>
    <row r="71" spans="1:16" ht="40" customHeight="1" x14ac:dyDescent="0.25">
      <c r="A71" s="1">
        <v>3</v>
      </c>
      <c r="C71" s="66"/>
      <c r="D71" s="64" t="s">
        <v>72</v>
      </c>
      <c r="E71" s="49"/>
      <c r="G71" s="51">
        <f t="shared" si="19"/>
        <v>0</v>
      </c>
      <c r="H71" s="51">
        <f t="shared" si="20"/>
        <v>0</v>
      </c>
      <c r="I71" s="51">
        <f t="shared" si="21"/>
        <v>0</v>
      </c>
      <c r="J71" s="51">
        <f t="shared" si="22"/>
        <v>0</v>
      </c>
      <c r="K71" s="51">
        <f t="shared" si="23"/>
        <v>0</v>
      </c>
      <c r="L71" s="51">
        <f t="shared" si="24"/>
        <v>0</v>
      </c>
      <c r="M71" s="51">
        <f t="shared" si="25"/>
        <v>0</v>
      </c>
      <c r="N71" s="51">
        <f t="shared" si="26"/>
        <v>0</v>
      </c>
      <c r="O71" s="51">
        <f t="shared" si="27"/>
        <v>0</v>
      </c>
      <c r="P71" s="44">
        <f t="shared" ca="1" si="28"/>
        <v>0.93391688458888622</v>
      </c>
    </row>
    <row r="72" spans="1:16" ht="40" customHeight="1" x14ac:dyDescent="0.25">
      <c r="A72" s="1">
        <v>6</v>
      </c>
      <c r="C72" s="66"/>
      <c r="D72" s="64" t="s">
        <v>73</v>
      </c>
      <c r="E72" s="49"/>
      <c r="G72" s="51">
        <f t="shared" si="19"/>
        <v>0</v>
      </c>
      <c r="H72" s="51">
        <f t="shared" si="20"/>
        <v>0</v>
      </c>
      <c r="I72" s="51">
        <f t="shared" si="21"/>
        <v>0</v>
      </c>
      <c r="J72" s="51">
        <f t="shared" si="22"/>
        <v>0</v>
      </c>
      <c r="K72" s="51">
        <f t="shared" si="23"/>
        <v>0</v>
      </c>
      <c r="L72" s="51">
        <f t="shared" si="24"/>
        <v>0</v>
      </c>
      <c r="M72" s="51">
        <f t="shared" si="25"/>
        <v>0</v>
      </c>
      <c r="N72" s="51">
        <f t="shared" si="26"/>
        <v>0</v>
      </c>
      <c r="O72" s="51">
        <f t="shared" si="27"/>
        <v>0</v>
      </c>
      <c r="P72" s="44">
        <f t="shared" ca="1" si="28"/>
        <v>0.89349830904575822</v>
      </c>
    </row>
    <row r="73" spans="1:16" ht="40" customHeight="1" x14ac:dyDescent="0.25">
      <c r="A73" s="1">
        <v>4</v>
      </c>
      <c r="C73" s="66"/>
      <c r="D73" s="64" t="s">
        <v>74</v>
      </c>
      <c r="E73" s="49"/>
      <c r="G73" s="51">
        <f t="shared" si="19"/>
        <v>0</v>
      </c>
      <c r="H73" s="51">
        <f t="shared" si="20"/>
        <v>0</v>
      </c>
      <c r="I73" s="51">
        <f t="shared" si="21"/>
        <v>0</v>
      </c>
      <c r="J73" s="51">
        <f t="shared" si="22"/>
        <v>0</v>
      </c>
      <c r="K73" s="51">
        <f t="shared" si="23"/>
        <v>0</v>
      </c>
      <c r="L73" s="51">
        <f t="shared" si="24"/>
        <v>0</v>
      </c>
      <c r="M73" s="51">
        <f t="shared" si="25"/>
        <v>0</v>
      </c>
      <c r="N73" s="51">
        <f t="shared" si="26"/>
        <v>0</v>
      </c>
      <c r="O73" s="51">
        <f t="shared" si="27"/>
        <v>0</v>
      </c>
      <c r="P73" s="44">
        <f t="shared" ca="1" si="28"/>
        <v>0.6997800464711903</v>
      </c>
    </row>
    <row r="74" spans="1:16" ht="40" customHeight="1" x14ac:dyDescent="0.25">
      <c r="A74" s="1">
        <v>7</v>
      </c>
      <c r="C74" s="66"/>
      <c r="D74" s="64" t="s">
        <v>75</v>
      </c>
      <c r="E74" s="49"/>
      <c r="G74" s="51">
        <f t="shared" si="19"/>
        <v>0</v>
      </c>
      <c r="H74" s="51">
        <f t="shared" si="20"/>
        <v>0</v>
      </c>
      <c r="I74" s="51">
        <f t="shared" si="21"/>
        <v>0</v>
      </c>
      <c r="J74" s="51">
        <f t="shared" si="22"/>
        <v>0</v>
      </c>
      <c r="K74" s="51">
        <f t="shared" si="23"/>
        <v>0</v>
      </c>
      <c r="L74" s="51">
        <f t="shared" si="24"/>
        <v>0</v>
      </c>
      <c r="M74" s="51">
        <f t="shared" si="25"/>
        <v>0</v>
      </c>
      <c r="N74" s="51">
        <f t="shared" si="26"/>
        <v>0</v>
      </c>
      <c r="O74" s="51">
        <f t="shared" si="27"/>
        <v>0</v>
      </c>
      <c r="P74" s="44">
        <f t="shared" ca="1" si="28"/>
        <v>0.25698806682709729</v>
      </c>
    </row>
    <row r="75" spans="1:16" ht="40" customHeight="1" x14ac:dyDescent="0.25">
      <c r="A75" s="1">
        <v>6</v>
      </c>
      <c r="C75" s="66"/>
      <c r="D75" s="64" t="s">
        <v>76</v>
      </c>
      <c r="E75" s="49"/>
      <c r="G75" s="51">
        <f t="shared" si="19"/>
        <v>0</v>
      </c>
      <c r="H75" s="51">
        <f t="shared" si="20"/>
        <v>0</v>
      </c>
      <c r="I75" s="51">
        <f t="shared" si="21"/>
        <v>0</v>
      </c>
      <c r="J75" s="51">
        <f t="shared" si="22"/>
        <v>0</v>
      </c>
      <c r="K75" s="51">
        <f t="shared" si="23"/>
        <v>0</v>
      </c>
      <c r="L75" s="51">
        <f t="shared" si="24"/>
        <v>0</v>
      </c>
      <c r="M75" s="51">
        <f t="shared" si="25"/>
        <v>0</v>
      </c>
      <c r="N75" s="51">
        <f t="shared" si="26"/>
        <v>0</v>
      </c>
      <c r="O75" s="51">
        <f t="shared" si="27"/>
        <v>0</v>
      </c>
      <c r="P75" s="44">
        <f t="shared" ca="1" si="28"/>
        <v>0.27906189771875711</v>
      </c>
    </row>
    <row r="76" spans="1:16" ht="40" customHeight="1" x14ac:dyDescent="0.25">
      <c r="A76" s="1">
        <v>9</v>
      </c>
      <c r="C76" s="67"/>
      <c r="D76" s="63" t="s">
        <v>77</v>
      </c>
      <c r="E76" s="49"/>
      <c r="G76" s="51">
        <f t="shared" si="19"/>
        <v>0</v>
      </c>
      <c r="H76" s="51">
        <f t="shared" si="20"/>
        <v>0</v>
      </c>
      <c r="I76" s="51">
        <f t="shared" si="21"/>
        <v>0</v>
      </c>
      <c r="J76" s="51">
        <f t="shared" si="22"/>
        <v>0</v>
      </c>
      <c r="K76" s="51">
        <f t="shared" si="23"/>
        <v>0</v>
      </c>
      <c r="L76" s="51">
        <f t="shared" si="24"/>
        <v>0</v>
      </c>
      <c r="M76" s="51">
        <f t="shared" si="25"/>
        <v>0</v>
      </c>
      <c r="N76" s="51">
        <f t="shared" si="26"/>
        <v>0</v>
      </c>
      <c r="O76" s="51">
        <f t="shared" si="27"/>
        <v>0</v>
      </c>
      <c r="P76" s="44">
        <f t="shared" ca="1" si="28"/>
        <v>0.9217433263904653</v>
      </c>
    </row>
    <row r="77" spans="1:16" ht="40" customHeight="1" x14ac:dyDescent="0.25">
      <c r="A77" s="1">
        <v>3</v>
      </c>
      <c r="C77" s="68"/>
      <c r="D77" s="62" t="s">
        <v>78</v>
      </c>
      <c r="E77" s="49"/>
      <c r="G77" s="51">
        <f t="shared" si="19"/>
        <v>0</v>
      </c>
      <c r="H77" s="51">
        <f t="shared" si="20"/>
        <v>0</v>
      </c>
      <c r="I77" s="51">
        <f t="shared" si="21"/>
        <v>0</v>
      </c>
      <c r="J77" s="51">
        <f t="shared" si="22"/>
        <v>0</v>
      </c>
      <c r="K77" s="51">
        <f t="shared" si="23"/>
        <v>0</v>
      </c>
      <c r="L77" s="51">
        <f t="shared" si="24"/>
        <v>0</v>
      </c>
      <c r="M77" s="51">
        <f t="shared" si="25"/>
        <v>0</v>
      </c>
      <c r="N77" s="51">
        <f t="shared" si="26"/>
        <v>0</v>
      </c>
      <c r="O77" s="51">
        <f t="shared" si="27"/>
        <v>0</v>
      </c>
      <c r="P77" s="44">
        <f t="shared" ca="1" si="28"/>
        <v>0.63055703533877716</v>
      </c>
    </row>
    <row r="78" spans="1:16" ht="40" customHeight="1" x14ac:dyDescent="0.25">
      <c r="A78" s="1">
        <v>2</v>
      </c>
      <c r="C78" s="66"/>
      <c r="D78" s="64" t="s">
        <v>79</v>
      </c>
      <c r="E78" s="49"/>
      <c r="G78" s="51">
        <f t="shared" si="19"/>
        <v>0</v>
      </c>
      <c r="H78" s="51">
        <f t="shared" si="20"/>
        <v>0</v>
      </c>
      <c r="I78" s="51">
        <f t="shared" si="21"/>
        <v>0</v>
      </c>
      <c r="J78" s="51">
        <f t="shared" si="22"/>
        <v>0</v>
      </c>
      <c r="K78" s="51">
        <f t="shared" si="23"/>
        <v>0</v>
      </c>
      <c r="L78" s="51">
        <f t="shared" si="24"/>
        <v>0</v>
      </c>
      <c r="M78" s="51">
        <f t="shared" si="25"/>
        <v>0</v>
      </c>
      <c r="N78" s="51">
        <f t="shared" si="26"/>
        <v>0</v>
      </c>
      <c r="O78" s="51">
        <f t="shared" si="27"/>
        <v>0</v>
      </c>
      <c r="P78" s="44">
        <f t="shared" ca="1" si="28"/>
        <v>0.36551604182271047</v>
      </c>
    </row>
    <row r="79" spans="1:16" ht="40" customHeight="1" x14ac:dyDescent="0.25">
      <c r="A79" s="1">
        <v>3</v>
      </c>
      <c r="C79" s="66"/>
      <c r="D79" s="64" t="s">
        <v>80</v>
      </c>
      <c r="E79" s="49"/>
      <c r="G79" s="51">
        <f t="shared" si="19"/>
        <v>0</v>
      </c>
      <c r="H79" s="51">
        <f t="shared" si="20"/>
        <v>0</v>
      </c>
      <c r="I79" s="51">
        <f t="shared" si="21"/>
        <v>0</v>
      </c>
      <c r="J79" s="51">
        <f t="shared" si="22"/>
        <v>0</v>
      </c>
      <c r="K79" s="51">
        <f t="shared" si="23"/>
        <v>0</v>
      </c>
      <c r="L79" s="51">
        <f t="shared" si="24"/>
        <v>0</v>
      </c>
      <c r="M79" s="51">
        <f t="shared" si="25"/>
        <v>0</v>
      </c>
      <c r="N79" s="51">
        <f t="shared" si="26"/>
        <v>0</v>
      </c>
      <c r="O79" s="51">
        <f t="shared" si="27"/>
        <v>0</v>
      </c>
      <c r="P79" s="44">
        <f t="shared" ca="1" si="28"/>
        <v>0.68707219469897418</v>
      </c>
    </row>
    <row r="80" spans="1:16" ht="40" customHeight="1" x14ac:dyDescent="0.25">
      <c r="A80" s="1">
        <v>2</v>
      </c>
      <c r="C80" s="66"/>
      <c r="D80" s="64" t="s">
        <v>81</v>
      </c>
      <c r="E80" s="49"/>
      <c r="G80" s="51">
        <f t="shared" si="19"/>
        <v>0</v>
      </c>
      <c r="H80" s="51">
        <f t="shared" si="20"/>
        <v>0</v>
      </c>
      <c r="I80" s="51">
        <f t="shared" si="21"/>
        <v>0</v>
      </c>
      <c r="J80" s="51">
        <f t="shared" si="22"/>
        <v>0</v>
      </c>
      <c r="K80" s="51">
        <f t="shared" si="23"/>
        <v>0</v>
      </c>
      <c r="L80" s="51">
        <f t="shared" si="24"/>
        <v>0</v>
      </c>
      <c r="M80" s="51">
        <f t="shared" si="25"/>
        <v>0</v>
      </c>
      <c r="N80" s="51">
        <f t="shared" si="26"/>
        <v>0</v>
      </c>
      <c r="O80" s="51">
        <f t="shared" si="27"/>
        <v>0</v>
      </c>
      <c r="P80" s="44">
        <f t="shared" ca="1" si="28"/>
        <v>0.55988443509075658</v>
      </c>
    </row>
    <row r="81" spans="1:16" ht="40" customHeight="1" x14ac:dyDescent="0.25">
      <c r="A81" s="1">
        <v>9</v>
      </c>
      <c r="C81" s="66"/>
      <c r="D81" s="64" t="s">
        <v>82</v>
      </c>
      <c r="E81" s="49"/>
      <c r="G81" s="51">
        <f t="shared" si="19"/>
        <v>0</v>
      </c>
      <c r="H81" s="51">
        <f t="shared" si="20"/>
        <v>0</v>
      </c>
      <c r="I81" s="51">
        <f t="shared" si="21"/>
        <v>0</v>
      </c>
      <c r="J81" s="51">
        <f t="shared" si="22"/>
        <v>0</v>
      </c>
      <c r="K81" s="51">
        <f t="shared" si="23"/>
        <v>0</v>
      </c>
      <c r="L81" s="51">
        <f t="shared" si="24"/>
        <v>0</v>
      </c>
      <c r="M81" s="51">
        <f t="shared" si="25"/>
        <v>0</v>
      </c>
      <c r="N81" s="51">
        <f t="shared" si="26"/>
        <v>0</v>
      </c>
      <c r="O81" s="51">
        <f t="shared" si="27"/>
        <v>0</v>
      </c>
      <c r="P81" s="44">
        <f t="shared" ca="1" si="28"/>
        <v>0.64542840316054262</v>
      </c>
    </row>
    <row r="82" spans="1:16" ht="40" customHeight="1" x14ac:dyDescent="0.25">
      <c r="A82" s="1">
        <v>7</v>
      </c>
      <c r="C82" s="66"/>
      <c r="D82" s="64" t="s">
        <v>83</v>
      </c>
      <c r="E82" s="49"/>
      <c r="G82" s="51">
        <f t="shared" si="19"/>
        <v>0</v>
      </c>
      <c r="H82" s="51">
        <f t="shared" si="20"/>
        <v>0</v>
      </c>
      <c r="I82" s="51">
        <f t="shared" si="21"/>
        <v>0</v>
      </c>
      <c r="J82" s="51">
        <f t="shared" si="22"/>
        <v>0</v>
      </c>
      <c r="K82" s="51">
        <f t="shared" si="23"/>
        <v>0</v>
      </c>
      <c r="L82" s="51">
        <f t="shared" si="24"/>
        <v>0</v>
      </c>
      <c r="M82" s="51">
        <f t="shared" si="25"/>
        <v>0</v>
      </c>
      <c r="N82" s="51">
        <f t="shared" si="26"/>
        <v>0</v>
      </c>
      <c r="O82" s="51">
        <f t="shared" si="27"/>
        <v>0</v>
      </c>
      <c r="P82" s="44">
        <f t="shared" ca="1" si="28"/>
        <v>0.4477168757935428</v>
      </c>
    </row>
    <row r="83" spans="1:16" ht="40" customHeight="1" x14ac:dyDescent="0.25">
      <c r="A83" s="1">
        <v>6</v>
      </c>
      <c r="C83" s="66"/>
      <c r="D83" s="64" t="s">
        <v>84</v>
      </c>
      <c r="E83" s="49"/>
      <c r="G83" s="51">
        <f t="shared" si="19"/>
        <v>0</v>
      </c>
      <c r="H83" s="51">
        <f t="shared" si="20"/>
        <v>0</v>
      </c>
      <c r="I83" s="51">
        <f t="shared" si="21"/>
        <v>0</v>
      </c>
      <c r="J83" s="51">
        <f t="shared" si="22"/>
        <v>0</v>
      </c>
      <c r="K83" s="51">
        <f t="shared" si="23"/>
        <v>0</v>
      </c>
      <c r="L83" s="51">
        <f t="shared" si="24"/>
        <v>0</v>
      </c>
      <c r="M83" s="51">
        <f t="shared" si="25"/>
        <v>0</v>
      </c>
      <c r="N83" s="51">
        <f t="shared" si="26"/>
        <v>0</v>
      </c>
      <c r="O83" s="51">
        <f t="shared" si="27"/>
        <v>0</v>
      </c>
      <c r="P83" s="44">
        <f t="shared" ca="1" si="28"/>
        <v>0.5495001927655655</v>
      </c>
    </row>
    <row r="84" spans="1:16" ht="40" customHeight="1" x14ac:dyDescent="0.25">
      <c r="A84" s="1">
        <v>4</v>
      </c>
      <c r="C84" s="66"/>
      <c r="D84" s="64" t="s">
        <v>85</v>
      </c>
      <c r="E84" s="49"/>
      <c r="G84" s="51">
        <f t="shared" si="19"/>
        <v>0</v>
      </c>
      <c r="H84" s="51">
        <f t="shared" si="20"/>
        <v>0</v>
      </c>
      <c r="I84" s="51">
        <f t="shared" si="21"/>
        <v>0</v>
      </c>
      <c r="J84" s="51">
        <f t="shared" si="22"/>
        <v>0</v>
      </c>
      <c r="K84" s="51">
        <f t="shared" si="23"/>
        <v>0</v>
      </c>
      <c r="L84" s="51">
        <f t="shared" si="24"/>
        <v>0</v>
      </c>
      <c r="M84" s="51">
        <f t="shared" si="25"/>
        <v>0</v>
      </c>
      <c r="N84" s="51">
        <f t="shared" si="26"/>
        <v>0</v>
      </c>
      <c r="O84" s="51">
        <f t="shared" si="27"/>
        <v>0</v>
      </c>
      <c r="P84" s="44">
        <f t="shared" ca="1" si="28"/>
        <v>1.1284788796509626E-2</v>
      </c>
    </row>
    <row r="85" spans="1:16" ht="40" customHeight="1" x14ac:dyDescent="0.25">
      <c r="A85" s="1">
        <v>2</v>
      </c>
      <c r="C85" s="66"/>
      <c r="D85" s="64" t="s">
        <v>86</v>
      </c>
      <c r="E85" s="49"/>
      <c r="G85" s="51">
        <f t="shared" si="19"/>
        <v>0</v>
      </c>
      <c r="H85" s="51">
        <f t="shared" si="20"/>
        <v>0</v>
      </c>
      <c r="I85" s="51">
        <f t="shared" si="21"/>
        <v>0</v>
      </c>
      <c r="J85" s="51">
        <f t="shared" si="22"/>
        <v>0</v>
      </c>
      <c r="K85" s="51">
        <f t="shared" si="23"/>
        <v>0</v>
      </c>
      <c r="L85" s="51">
        <f t="shared" si="24"/>
        <v>0</v>
      </c>
      <c r="M85" s="51">
        <f t="shared" si="25"/>
        <v>0</v>
      </c>
      <c r="N85" s="51">
        <f t="shared" si="26"/>
        <v>0</v>
      </c>
      <c r="O85" s="51">
        <f t="shared" si="27"/>
        <v>0</v>
      </c>
      <c r="P85" s="44">
        <f t="shared" ca="1" si="28"/>
        <v>0.85521801451284163</v>
      </c>
    </row>
    <row r="86" spans="1:16" ht="40" customHeight="1" x14ac:dyDescent="0.25">
      <c r="A86" s="1">
        <v>8</v>
      </c>
      <c r="C86" s="66"/>
      <c r="D86" s="64" t="s">
        <v>87</v>
      </c>
      <c r="E86" s="49"/>
      <c r="G86" s="51">
        <f t="shared" si="19"/>
        <v>0</v>
      </c>
      <c r="H86" s="51">
        <f t="shared" si="20"/>
        <v>0</v>
      </c>
      <c r="I86" s="51">
        <f t="shared" si="21"/>
        <v>0</v>
      </c>
      <c r="J86" s="51">
        <f t="shared" si="22"/>
        <v>0</v>
      </c>
      <c r="K86" s="51">
        <f t="shared" si="23"/>
        <v>0</v>
      </c>
      <c r="L86" s="51">
        <f t="shared" si="24"/>
        <v>0</v>
      </c>
      <c r="M86" s="51">
        <f t="shared" si="25"/>
        <v>0</v>
      </c>
      <c r="N86" s="51">
        <f t="shared" si="26"/>
        <v>0</v>
      </c>
      <c r="O86" s="51">
        <f t="shared" si="27"/>
        <v>0</v>
      </c>
      <c r="P86" s="44">
        <f t="shared" ca="1" si="28"/>
        <v>0.61594813403553317</v>
      </c>
    </row>
    <row r="87" spans="1:16" ht="40" customHeight="1" x14ac:dyDescent="0.25">
      <c r="A87" s="1">
        <v>4</v>
      </c>
      <c r="C87" s="66"/>
      <c r="D87" s="64" t="s">
        <v>88</v>
      </c>
      <c r="E87" s="49"/>
      <c r="G87" s="51">
        <f t="shared" si="19"/>
        <v>0</v>
      </c>
      <c r="H87" s="51">
        <f t="shared" si="20"/>
        <v>0</v>
      </c>
      <c r="I87" s="51">
        <f t="shared" si="21"/>
        <v>0</v>
      </c>
      <c r="J87" s="51">
        <f t="shared" si="22"/>
        <v>0</v>
      </c>
      <c r="K87" s="51">
        <f t="shared" si="23"/>
        <v>0</v>
      </c>
      <c r="L87" s="51">
        <f t="shared" si="24"/>
        <v>0</v>
      </c>
      <c r="M87" s="51">
        <f t="shared" si="25"/>
        <v>0</v>
      </c>
      <c r="N87" s="51">
        <f t="shared" si="26"/>
        <v>0</v>
      </c>
      <c r="O87" s="51">
        <f t="shared" si="27"/>
        <v>0</v>
      </c>
      <c r="P87" s="44">
        <f t="shared" ca="1" si="28"/>
        <v>0.12835384828490137</v>
      </c>
    </row>
    <row r="88" spans="1:16" ht="40" customHeight="1" x14ac:dyDescent="0.25">
      <c r="A88" s="1">
        <v>2</v>
      </c>
      <c r="C88" s="66"/>
      <c r="D88" s="64" t="s">
        <v>89</v>
      </c>
      <c r="E88" s="49"/>
      <c r="G88" s="51">
        <f t="shared" si="19"/>
        <v>0</v>
      </c>
      <c r="H88" s="51">
        <f t="shared" si="20"/>
        <v>0</v>
      </c>
      <c r="I88" s="51">
        <f t="shared" si="21"/>
        <v>0</v>
      </c>
      <c r="J88" s="51">
        <f t="shared" si="22"/>
        <v>0</v>
      </c>
      <c r="K88" s="51">
        <f t="shared" si="23"/>
        <v>0</v>
      </c>
      <c r="L88" s="51">
        <f t="shared" si="24"/>
        <v>0</v>
      </c>
      <c r="M88" s="51">
        <f t="shared" si="25"/>
        <v>0</v>
      </c>
      <c r="N88" s="51">
        <f t="shared" si="26"/>
        <v>0</v>
      </c>
      <c r="O88" s="51">
        <f t="shared" si="27"/>
        <v>0</v>
      </c>
      <c r="P88" s="44">
        <f t="shared" ca="1" si="28"/>
        <v>0.89082069858459034</v>
      </c>
    </row>
    <row r="89" spans="1:16" ht="40" customHeight="1" x14ac:dyDescent="0.25">
      <c r="A89" s="1">
        <v>1</v>
      </c>
      <c r="C89" s="66"/>
      <c r="D89" s="64" t="s">
        <v>90</v>
      </c>
      <c r="E89" s="49"/>
      <c r="G89" s="51">
        <f t="shared" si="19"/>
        <v>0</v>
      </c>
      <c r="H89" s="51">
        <f t="shared" si="20"/>
        <v>0</v>
      </c>
      <c r="I89" s="51">
        <f t="shared" si="21"/>
        <v>0</v>
      </c>
      <c r="J89" s="51">
        <f t="shared" si="22"/>
        <v>0</v>
      </c>
      <c r="K89" s="51">
        <f t="shared" si="23"/>
        <v>0</v>
      </c>
      <c r="L89" s="51">
        <f t="shared" si="24"/>
        <v>0</v>
      </c>
      <c r="M89" s="51">
        <f t="shared" si="25"/>
        <v>0</v>
      </c>
      <c r="N89" s="51">
        <f t="shared" si="26"/>
        <v>0</v>
      </c>
      <c r="O89" s="51">
        <f t="shared" si="27"/>
        <v>0</v>
      </c>
      <c r="P89" s="44">
        <f t="shared" ca="1" si="28"/>
        <v>0.1204186342277539</v>
      </c>
    </row>
    <row r="90" spans="1:16" ht="40" customHeight="1" x14ac:dyDescent="0.25">
      <c r="A90" s="1">
        <v>3</v>
      </c>
      <c r="C90" s="66"/>
      <c r="D90" s="64" t="s">
        <v>91</v>
      </c>
      <c r="E90" s="49"/>
      <c r="G90" s="51">
        <f t="shared" si="19"/>
        <v>0</v>
      </c>
      <c r="H90" s="51">
        <f t="shared" si="20"/>
        <v>0</v>
      </c>
      <c r="I90" s="51">
        <f t="shared" si="21"/>
        <v>0</v>
      </c>
      <c r="J90" s="51">
        <f t="shared" si="22"/>
        <v>0</v>
      </c>
      <c r="K90" s="51">
        <f t="shared" si="23"/>
        <v>0</v>
      </c>
      <c r="L90" s="51">
        <f t="shared" si="24"/>
        <v>0</v>
      </c>
      <c r="M90" s="51">
        <f t="shared" si="25"/>
        <v>0</v>
      </c>
      <c r="N90" s="51">
        <f t="shared" si="26"/>
        <v>0</v>
      </c>
      <c r="O90" s="51">
        <f t="shared" si="27"/>
        <v>0</v>
      </c>
      <c r="P90" s="44">
        <f t="shared" ca="1" si="28"/>
        <v>0.97601341292222976</v>
      </c>
    </row>
    <row r="91" spans="1:16" ht="40" customHeight="1" x14ac:dyDescent="0.25">
      <c r="A91" s="1">
        <v>8</v>
      </c>
      <c r="C91" s="66"/>
      <c r="D91" s="64" t="s">
        <v>92</v>
      </c>
      <c r="E91" s="49"/>
      <c r="G91" s="51">
        <f t="shared" si="19"/>
        <v>0</v>
      </c>
      <c r="H91" s="51">
        <f t="shared" si="20"/>
        <v>0</v>
      </c>
      <c r="I91" s="51">
        <f t="shared" si="21"/>
        <v>0</v>
      </c>
      <c r="J91" s="51">
        <f t="shared" si="22"/>
        <v>0</v>
      </c>
      <c r="K91" s="51">
        <f t="shared" si="23"/>
        <v>0</v>
      </c>
      <c r="L91" s="51">
        <f t="shared" si="24"/>
        <v>0</v>
      </c>
      <c r="M91" s="51">
        <f t="shared" si="25"/>
        <v>0</v>
      </c>
      <c r="N91" s="51">
        <f t="shared" si="26"/>
        <v>0</v>
      </c>
      <c r="O91" s="51">
        <f t="shared" si="27"/>
        <v>0</v>
      </c>
      <c r="P91" s="44">
        <f t="shared" ca="1" si="28"/>
        <v>0.96613186190045186</v>
      </c>
    </row>
    <row r="92" spans="1:16" ht="40" customHeight="1" x14ac:dyDescent="0.25">
      <c r="A92" s="1">
        <v>1</v>
      </c>
      <c r="C92" s="66"/>
      <c r="D92" s="64" t="s">
        <v>93</v>
      </c>
      <c r="E92" s="49"/>
      <c r="G92" s="51">
        <f t="shared" si="19"/>
        <v>0</v>
      </c>
      <c r="H92" s="51">
        <f t="shared" si="20"/>
        <v>0</v>
      </c>
      <c r="I92" s="51">
        <f t="shared" si="21"/>
        <v>0</v>
      </c>
      <c r="J92" s="51">
        <f t="shared" si="22"/>
        <v>0</v>
      </c>
      <c r="K92" s="51">
        <f t="shared" si="23"/>
        <v>0</v>
      </c>
      <c r="L92" s="51">
        <f t="shared" si="24"/>
        <v>0</v>
      </c>
      <c r="M92" s="51">
        <f t="shared" si="25"/>
        <v>0</v>
      </c>
      <c r="N92" s="51">
        <f t="shared" si="26"/>
        <v>0</v>
      </c>
      <c r="O92" s="51">
        <f t="shared" si="27"/>
        <v>0</v>
      </c>
      <c r="P92" s="44">
        <f t="shared" ca="1" si="28"/>
        <v>0.25086552170531184</v>
      </c>
    </row>
    <row r="93" spans="1:16" ht="40" customHeight="1" x14ac:dyDescent="0.25">
      <c r="A93" s="1">
        <v>2</v>
      </c>
      <c r="C93" s="66"/>
      <c r="D93" s="64" t="s">
        <v>94</v>
      </c>
      <c r="E93" s="49"/>
      <c r="G93" s="51">
        <f t="shared" si="19"/>
        <v>0</v>
      </c>
      <c r="H93" s="51">
        <f t="shared" si="20"/>
        <v>0</v>
      </c>
      <c r="I93" s="51">
        <f t="shared" si="21"/>
        <v>0</v>
      </c>
      <c r="J93" s="51">
        <f t="shared" si="22"/>
        <v>0</v>
      </c>
      <c r="K93" s="51">
        <f t="shared" si="23"/>
        <v>0</v>
      </c>
      <c r="L93" s="51">
        <f t="shared" si="24"/>
        <v>0</v>
      </c>
      <c r="M93" s="51">
        <f t="shared" si="25"/>
        <v>0</v>
      </c>
      <c r="N93" s="51">
        <f t="shared" si="26"/>
        <v>0</v>
      </c>
      <c r="O93" s="51">
        <f t="shared" si="27"/>
        <v>0</v>
      </c>
      <c r="P93" s="44">
        <f t="shared" ca="1" si="28"/>
        <v>0.67506721854873764</v>
      </c>
    </row>
    <row r="94" spans="1:16" ht="40" customHeight="1" x14ac:dyDescent="0.25">
      <c r="A94" s="1">
        <v>3</v>
      </c>
      <c r="C94" s="66"/>
      <c r="D94" s="64" t="s">
        <v>95</v>
      </c>
      <c r="E94" s="49"/>
      <c r="G94" s="51">
        <f t="shared" si="19"/>
        <v>0</v>
      </c>
      <c r="H94" s="51">
        <f t="shared" si="20"/>
        <v>0</v>
      </c>
      <c r="I94" s="51">
        <f t="shared" si="21"/>
        <v>0</v>
      </c>
      <c r="J94" s="51">
        <f t="shared" si="22"/>
        <v>0</v>
      </c>
      <c r="K94" s="51">
        <f t="shared" si="23"/>
        <v>0</v>
      </c>
      <c r="L94" s="51">
        <f t="shared" si="24"/>
        <v>0</v>
      </c>
      <c r="M94" s="51">
        <f t="shared" si="25"/>
        <v>0</v>
      </c>
      <c r="N94" s="51">
        <f t="shared" si="26"/>
        <v>0</v>
      </c>
      <c r="O94" s="51">
        <f t="shared" si="27"/>
        <v>0</v>
      </c>
      <c r="P94" s="44">
        <f t="shared" ca="1" si="28"/>
        <v>0.2936930586315718</v>
      </c>
    </row>
    <row r="95" spans="1:16" ht="40" customHeight="1" x14ac:dyDescent="0.25">
      <c r="A95" s="1">
        <v>7</v>
      </c>
      <c r="C95" s="66"/>
      <c r="D95" s="64" t="s">
        <v>96</v>
      </c>
      <c r="E95" s="49"/>
      <c r="G95" s="51">
        <f t="shared" si="19"/>
        <v>0</v>
      </c>
      <c r="H95" s="51">
        <f t="shared" si="20"/>
        <v>0</v>
      </c>
      <c r="I95" s="51">
        <f t="shared" si="21"/>
        <v>0</v>
      </c>
      <c r="J95" s="51">
        <f t="shared" si="22"/>
        <v>0</v>
      </c>
      <c r="K95" s="51">
        <f t="shared" si="23"/>
        <v>0</v>
      </c>
      <c r="L95" s="51">
        <f t="shared" si="24"/>
        <v>0</v>
      </c>
      <c r="M95" s="51">
        <f t="shared" si="25"/>
        <v>0</v>
      </c>
      <c r="N95" s="51">
        <f t="shared" si="26"/>
        <v>0</v>
      </c>
      <c r="O95" s="51">
        <f t="shared" si="27"/>
        <v>0</v>
      </c>
      <c r="P95" s="44">
        <f t="shared" ca="1" si="28"/>
        <v>0.44891417481957785</v>
      </c>
    </row>
    <row r="96" spans="1:16" ht="40" customHeight="1" x14ac:dyDescent="0.25">
      <c r="A96" s="1">
        <v>1</v>
      </c>
      <c r="C96" s="66"/>
      <c r="D96" s="64" t="s">
        <v>97</v>
      </c>
      <c r="E96" s="49"/>
      <c r="G96" s="51">
        <f t="shared" si="19"/>
        <v>0</v>
      </c>
      <c r="H96" s="51">
        <f t="shared" si="20"/>
        <v>0</v>
      </c>
      <c r="I96" s="51">
        <f t="shared" si="21"/>
        <v>0</v>
      </c>
      <c r="J96" s="51">
        <f t="shared" si="22"/>
        <v>0</v>
      </c>
      <c r="K96" s="51">
        <f t="shared" si="23"/>
        <v>0</v>
      </c>
      <c r="L96" s="51">
        <f t="shared" si="24"/>
        <v>0</v>
      </c>
      <c r="M96" s="51">
        <f t="shared" si="25"/>
        <v>0</v>
      </c>
      <c r="N96" s="51">
        <f t="shared" si="26"/>
        <v>0</v>
      </c>
      <c r="O96" s="51">
        <f t="shared" si="27"/>
        <v>0</v>
      </c>
      <c r="P96" s="44">
        <f t="shared" ca="1" si="28"/>
        <v>0.25221367740675449</v>
      </c>
    </row>
    <row r="97" spans="1:16" ht="40" customHeight="1" x14ac:dyDescent="0.25">
      <c r="A97" s="1">
        <v>4</v>
      </c>
      <c r="C97" s="66"/>
      <c r="D97" s="64" t="s">
        <v>98</v>
      </c>
      <c r="E97" s="49"/>
      <c r="G97" s="51">
        <f t="shared" si="19"/>
        <v>0</v>
      </c>
      <c r="H97" s="51">
        <f t="shared" si="20"/>
        <v>0</v>
      </c>
      <c r="I97" s="51">
        <f t="shared" si="21"/>
        <v>0</v>
      </c>
      <c r="J97" s="51">
        <f t="shared" si="22"/>
        <v>0</v>
      </c>
      <c r="K97" s="51">
        <f t="shared" si="23"/>
        <v>0</v>
      </c>
      <c r="L97" s="51">
        <f t="shared" si="24"/>
        <v>0</v>
      </c>
      <c r="M97" s="51">
        <f t="shared" si="25"/>
        <v>0</v>
      </c>
      <c r="N97" s="51">
        <f t="shared" si="26"/>
        <v>0</v>
      </c>
      <c r="O97" s="51">
        <f t="shared" si="27"/>
        <v>0</v>
      </c>
      <c r="P97" s="44">
        <f t="shared" ca="1" si="28"/>
        <v>0.60274674975345721</v>
      </c>
    </row>
    <row r="98" spans="1:16" ht="40" customHeight="1" x14ac:dyDescent="0.25">
      <c r="A98" s="1">
        <v>2</v>
      </c>
      <c r="C98" s="66"/>
      <c r="D98" s="64" t="s">
        <v>99</v>
      </c>
      <c r="E98" s="49"/>
      <c r="G98" s="51">
        <f t="shared" si="19"/>
        <v>0</v>
      </c>
      <c r="H98" s="51">
        <f t="shared" si="20"/>
        <v>0</v>
      </c>
      <c r="I98" s="51">
        <f t="shared" si="21"/>
        <v>0</v>
      </c>
      <c r="J98" s="51">
        <f t="shared" si="22"/>
        <v>0</v>
      </c>
      <c r="K98" s="51">
        <f t="shared" si="23"/>
        <v>0</v>
      </c>
      <c r="L98" s="51">
        <f t="shared" si="24"/>
        <v>0</v>
      </c>
      <c r="M98" s="51">
        <f t="shared" si="25"/>
        <v>0</v>
      </c>
      <c r="N98" s="51">
        <f t="shared" si="26"/>
        <v>0</v>
      </c>
      <c r="O98" s="51">
        <f t="shared" si="27"/>
        <v>0</v>
      </c>
      <c r="P98" s="44">
        <f t="shared" ca="1" si="28"/>
        <v>0.82525347392550441</v>
      </c>
    </row>
    <row r="99" spans="1:16" ht="40" customHeight="1" x14ac:dyDescent="0.25">
      <c r="A99" s="1">
        <v>7</v>
      </c>
      <c r="C99" s="66"/>
      <c r="D99" s="64" t="s">
        <v>100</v>
      </c>
      <c r="E99" s="49"/>
      <c r="G99" s="51">
        <f t="shared" si="19"/>
        <v>0</v>
      </c>
      <c r="H99" s="51">
        <f t="shared" si="20"/>
        <v>0</v>
      </c>
      <c r="I99" s="51">
        <f t="shared" si="21"/>
        <v>0</v>
      </c>
      <c r="J99" s="51">
        <f t="shared" si="22"/>
        <v>0</v>
      </c>
      <c r="K99" s="51">
        <f t="shared" si="23"/>
        <v>0</v>
      </c>
      <c r="L99" s="51">
        <f t="shared" si="24"/>
        <v>0</v>
      </c>
      <c r="M99" s="51">
        <f t="shared" si="25"/>
        <v>0</v>
      </c>
      <c r="N99" s="51">
        <f t="shared" si="26"/>
        <v>0</v>
      </c>
      <c r="O99" s="51">
        <f t="shared" si="27"/>
        <v>0</v>
      </c>
      <c r="P99" s="44">
        <f t="shared" ca="1" si="28"/>
        <v>6.7581661270103455E-2</v>
      </c>
    </row>
    <row r="100" spans="1:16" ht="40" customHeight="1" x14ac:dyDescent="0.25">
      <c r="A100" s="1">
        <v>6</v>
      </c>
      <c r="C100" s="67"/>
      <c r="D100" s="63" t="s">
        <v>101</v>
      </c>
      <c r="E100" s="49"/>
      <c r="G100" s="51">
        <f t="shared" si="19"/>
        <v>0</v>
      </c>
      <c r="H100" s="51">
        <f t="shared" si="20"/>
        <v>0</v>
      </c>
      <c r="I100" s="51">
        <f t="shared" si="21"/>
        <v>0</v>
      </c>
      <c r="J100" s="51">
        <f t="shared" si="22"/>
        <v>0</v>
      </c>
      <c r="K100" s="51">
        <f t="shared" si="23"/>
        <v>0</v>
      </c>
      <c r="L100" s="51">
        <f t="shared" si="24"/>
        <v>0</v>
      </c>
      <c r="M100" s="51">
        <f t="shared" si="25"/>
        <v>0</v>
      </c>
      <c r="N100" s="51">
        <f t="shared" si="26"/>
        <v>0</v>
      </c>
      <c r="O100" s="51">
        <f t="shared" si="27"/>
        <v>0</v>
      </c>
      <c r="P100" s="44">
        <f t="shared" ca="1" si="28"/>
        <v>9.2293554824124269E-2</v>
      </c>
    </row>
    <row r="101" spans="1:16" ht="40" customHeight="1" x14ac:dyDescent="0.25">
      <c r="A101" s="1">
        <v>2</v>
      </c>
      <c r="C101" s="68"/>
      <c r="D101" s="62" t="s">
        <v>102</v>
      </c>
      <c r="E101" s="49"/>
      <c r="G101" s="51">
        <f t="shared" ref="G101:G132" si="29">IF($A101=1,$C101,0)</f>
        <v>0</v>
      </c>
      <c r="H101" s="51">
        <f t="shared" ref="H101:H132" si="30">IF($A101=2,$C101,0)</f>
        <v>0</v>
      </c>
      <c r="I101" s="51">
        <f t="shared" ref="I101:I132" si="31">IF($A101=3,$C101,0)</f>
        <v>0</v>
      </c>
      <c r="J101" s="51">
        <f t="shared" ref="J101:J132" si="32">IF($A101=4,$C101,0)</f>
        <v>0</v>
      </c>
      <c r="K101" s="51">
        <f t="shared" ref="K101:K132" si="33">IF($A101=5,$C101,0)</f>
        <v>0</v>
      </c>
      <c r="L101" s="51">
        <f t="shared" ref="L101:L132" si="34">IF($A101=6,$C101,0)</f>
        <v>0</v>
      </c>
      <c r="M101" s="51">
        <f t="shared" ref="M101:M132" si="35">IF($A101=7,$C101,0)</f>
        <v>0</v>
      </c>
      <c r="N101" s="51">
        <f t="shared" ref="N101:N132" si="36">IF($A101=8,$C101,0)</f>
        <v>0</v>
      </c>
      <c r="O101" s="51">
        <f t="shared" ref="O101:O132" si="37">IF($A101=9,$C101,0)</f>
        <v>0</v>
      </c>
      <c r="P101" s="44">
        <f t="shared" ca="1" si="28"/>
        <v>0.27256844187840901</v>
      </c>
    </row>
    <row r="102" spans="1:16" ht="40" customHeight="1" x14ac:dyDescent="0.25">
      <c r="A102" s="1">
        <v>7</v>
      </c>
      <c r="C102" s="66"/>
      <c r="D102" s="64" t="s">
        <v>103</v>
      </c>
      <c r="E102" s="49"/>
      <c r="G102" s="51">
        <f t="shared" si="29"/>
        <v>0</v>
      </c>
      <c r="H102" s="51">
        <f t="shared" si="30"/>
        <v>0</v>
      </c>
      <c r="I102" s="51">
        <f t="shared" si="31"/>
        <v>0</v>
      </c>
      <c r="J102" s="51">
        <f t="shared" si="32"/>
        <v>0</v>
      </c>
      <c r="K102" s="51">
        <f t="shared" si="33"/>
        <v>0</v>
      </c>
      <c r="L102" s="51">
        <f t="shared" si="34"/>
        <v>0</v>
      </c>
      <c r="M102" s="51">
        <f t="shared" si="35"/>
        <v>0</v>
      </c>
      <c r="N102" s="51">
        <f t="shared" si="36"/>
        <v>0</v>
      </c>
      <c r="O102" s="51">
        <f t="shared" si="37"/>
        <v>0</v>
      </c>
      <c r="P102" s="44">
        <f t="shared" ca="1" si="28"/>
        <v>8.8659820831239022E-2</v>
      </c>
    </row>
    <row r="103" spans="1:16" ht="40" customHeight="1" x14ac:dyDescent="0.25">
      <c r="A103" s="1">
        <v>2</v>
      </c>
      <c r="C103" s="66"/>
      <c r="D103" s="64" t="s">
        <v>104</v>
      </c>
      <c r="E103" s="49"/>
      <c r="G103" s="51">
        <f t="shared" si="29"/>
        <v>0</v>
      </c>
      <c r="H103" s="51">
        <f t="shared" si="30"/>
        <v>0</v>
      </c>
      <c r="I103" s="51">
        <f t="shared" si="31"/>
        <v>0</v>
      </c>
      <c r="J103" s="51">
        <f t="shared" si="32"/>
        <v>0</v>
      </c>
      <c r="K103" s="51">
        <f t="shared" si="33"/>
        <v>0</v>
      </c>
      <c r="L103" s="51">
        <f t="shared" si="34"/>
        <v>0</v>
      </c>
      <c r="M103" s="51">
        <f t="shared" si="35"/>
        <v>0</v>
      </c>
      <c r="N103" s="51">
        <f t="shared" si="36"/>
        <v>0</v>
      </c>
      <c r="O103" s="51">
        <f t="shared" si="37"/>
        <v>0</v>
      </c>
      <c r="P103" s="44">
        <f t="shared" ca="1" si="28"/>
        <v>0.56304892816979479</v>
      </c>
    </row>
    <row r="104" spans="1:16" ht="40" customHeight="1" x14ac:dyDescent="0.25">
      <c r="A104" s="1">
        <v>9</v>
      </c>
      <c r="C104" s="66"/>
      <c r="D104" s="64" t="s">
        <v>105</v>
      </c>
      <c r="E104" s="49"/>
      <c r="G104" s="51">
        <f t="shared" si="29"/>
        <v>0</v>
      </c>
      <c r="H104" s="51">
        <f t="shared" si="30"/>
        <v>0</v>
      </c>
      <c r="I104" s="51">
        <f t="shared" si="31"/>
        <v>0</v>
      </c>
      <c r="J104" s="51">
        <f t="shared" si="32"/>
        <v>0</v>
      </c>
      <c r="K104" s="51">
        <f t="shared" si="33"/>
        <v>0</v>
      </c>
      <c r="L104" s="51">
        <f t="shared" si="34"/>
        <v>0</v>
      </c>
      <c r="M104" s="51">
        <f t="shared" si="35"/>
        <v>0</v>
      </c>
      <c r="N104" s="51">
        <f t="shared" si="36"/>
        <v>0</v>
      </c>
      <c r="O104" s="51">
        <f t="shared" si="37"/>
        <v>0</v>
      </c>
      <c r="P104" s="44">
        <f t="shared" ca="1" si="28"/>
        <v>0.13318861119481118</v>
      </c>
    </row>
    <row r="105" spans="1:16" ht="40" customHeight="1" x14ac:dyDescent="0.25">
      <c r="A105" s="1">
        <v>5</v>
      </c>
      <c r="C105" s="66"/>
      <c r="D105" s="64" t="s">
        <v>106</v>
      </c>
      <c r="E105" s="49"/>
      <c r="G105" s="51">
        <f t="shared" si="29"/>
        <v>0</v>
      </c>
      <c r="H105" s="51">
        <f t="shared" si="30"/>
        <v>0</v>
      </c>
      <c r="I105" s="51">
        <f t="shared" si="31"/>
        <v>0</v>
      </c>
      <c r="J105" s="51">
        <f t="shared" si="32"/>
        <v>0</v>
      </c>
      <c r="K105" s="51">
        <f t="shared" si="33"/>
        <v>0</v>
      </c>
      <c r="L105" s="51">
        <f t="shared" si="34"/>
        <v>0</v>
      </c>
      <c r="M105" s="51">
        <f t="shared" si="35"/>
        <v>0</v>
      </c>
      <c r="N105" s="51">
        <f t="shared" si="36"/>
        <v>0</v>
      </c>
      <c r="O105" s="51">
        <f t="shared" si="37"/>
        <v>0</v>
      </c>
      <c r="P105" s="44">
        <f t="shared" ca="1" si="28"/>
        <v>0.79237635349880964</v>
      </c>
    </row>
    <row r="106" spans="1:16" ht="40" customHeight="1" x14ac:dyDescent="0.25">
      <c r="A106" s="1">
        <v>4</v>
      </c>
      <c r="C106" s="66"/>
      <c r="D106" s="64" t="s">
        <v>107</v>
      </c>
      <c r="E106" s="49"/>
      <c r="G106" s="51">
        <f t="shared" si="29"/>
        <v>0</v>
      </c>
      <c r="H106" s="51">
        <f t="shared" si="30"/>
        <v>0</v>
      </c>
      <c r="I106" s="51">
        <f t="shared" si="31"/>
        <v>0</v>
      </c>
      <c r="J106" s="51">
        <f t="shared" si="32"/>
        <v>0</v>
      </c>
      <c r="K106" s="51">
        <f t="shared" si="33"/>
        <v>0</v>
      </c>
      <c r="L106" s="51">
        <f t="shared" si="34"/>
        <v>0</v>
      </c>
      <c r="M106" s="51">
        <f t="shared" si="35"/>
        <v>0</v>
      </c>
      <c r="N106" s="51">
        <f t="shared" si="36"/>
        <v>0</v>
      </c>
      <c r="O106" s="51">
        <f t="shared" si="37"/>
        <v>0</v>
      </c>
      <c r="P106" s="44">
        <f t="shared" ca="1" si="28"/>
        <v>0.85026089418983064</v>
      </c>
    </row>
    <row r="107" spans="1:16" ht="40" customHeight="1" x14ac:dyDescent="0.25">
      <c r="A107" s="1">
        <v>1</v>
      </c>
      <c r="C107" s="66"/>
      <c r="D107" s="64" t="s">
        <v>108</v>
      </c>
      <c r="E107" s="49"/>
      <c r="G107" s="51">
        <f t="shared" si="29"/>
        <v>0</v>
      </c>
      <c r="H107" s="51">
        <f t="shared" si="30"/>
        <v>0</v>
      </c>
      <c r="I107" s="51">
        <f t="shared" si="31"/>
        <v>0</v>
      </c>
      <c r="J107" s="51">
        <f t="shared" si="32"/>
        <v>0</v>
      </c>
      <c r="K107" s="51">
        <f t="shared" si="33"/>
        <v>0</v>
      </c>
      <c r="L107" s="51">
        <f t="shared" si="34"/>
        <v>0</v>
      </c>
      <c r="M107" s="51">
        <f t="shared" si="35"/>
        <v>0</v>
      </c>
      <c r="N107" s="51">
        <f t="shared" si="36"/>
        <v>0</v>
      </c>
      <c r="O107" s="51">
        <f t="shared" si="37"/>
        <v>0</v>
      </c>
      <c r="P107" s="44">
        <f t="shared" ca="1" si="28"/>
        <v>0.29111469464812534</v>
      </c>
    </row>
    <row r="108" spans="1:16" ht="40" customHeight="1" x14ac:dyDescent="0.25">
      <c r="A108" s="1">
        <v>7</v>
      </c>
      <c r="C108" s="66"/>
      <c r="D108" s="64" t="s">
        <v>109</v>
      </c>
      <c r="E108" s="49"/>
      <c r="G108" s="51">
        <f t="shared" si="29"/>
        <v>0</v>
      </c>
      <c r="H108" s="51">
        <f t="shared" si="30"/>
        <v>0</v>
      </c>
      <c r="I108" s="51">
        <f t="shared" si="31"/>
        <v>0</v>
      </c>
      <c r="J108" s="51">
        <f t="shared" si="32"/>
        <v>0</v>
      </c>
      <c r="K108" s="51">
        <f t="shared" si="33"/>
        <v>0</v>
      </c>
      <c r="L108" s="51">
        <f t="shared" si="34"/>
        <v>0</v>
      </c>
      <c r="M108" s="51">
        <f t="shared" si="35"/>
        <v>0</v>
      </c>
      <c r="N108" s="51">
        <f t="shared" si="36"/>
        <v>0</v>
      </c>
      <c r="O108" s="51">
        <f t="shared" si="37"/>
        <v>0</v>
      </c>
      <c r="P108" s="44">
        <f t="shared" ca="1" si="28"/>
        <v>0.54389676587062052</v>
      </c>
    </row>
    <row r="109" spans="1:16" ht="40" customHeight="1" x14ac:dyDescent="0.25">
      <c r="A109" s="1">
        <v>8</v>
      </c>
      <c r="C109" s="66"/>
      <c r="D109" s="64" t="s">
        <v>110</v>
      </c>
      <c r="E109" s="49"/>
      <c r="G109" s="51">
        <f t="shared" si="29"/>
        <v>0</v>
      </c>
      <c r="H109" s="51">
        <f t="shared" si="30"/>
        <v>0</v>
      </c>
      <c r="I109" s="51">
        <f t="shared" si="31"/>
        <v>0</v>
      </c>
      <c r="J109" s="51">
        <f t="shared" si="32"/>
        <v>0</v>
      </c>
      <c r="K109" s="51">
        <f t="shared" si="33"/>
        <v>0</v>
      </c>
      <c r="L109" s="51">
        <f t="shared" si="34"/>
        <v>0</v>
      </c>
      <c r="M109" s="51">
        <f t="shared" si="35"/>
        <v>0</v>
      </c>
      <c r="N109" s="51">
        <f t="shared" si="36"/>
        <v>0</v>
      </c>
      <c r="O109" s="51">
        <f t="shared" si="37"/>
        <v>0</v>
      </c>
      <c r="P109" s="44">
        <f t="shared" ca="1" si="28"/>
        <v>0.43378859895679101</v>
      </c>
    </row>
    <row r="110" spans="1:16" ht="40" customHeight="1" x14ac:dyDescent="0.25">
      <c r="A110" s="1">
        <v>5</v>
      </c>
      <c r="C110" s="66"/>
      <c r="D110" s="64" t="s">
        <v>111</v>
      </c>
      <c r="E110" s="49"/>
      <c r="G110" s="51">
        <f t="shared" si="29"/>
        <v>0</v>
      </c>
      <c r="H110" s="51">
        <f t="shared" si="30"/>
        <v>0</v>
      </c>
      <c r="I110" s="51">
        <f t="shared" si="31"/>
        <v>0</v>
      </c>
      <c r="J110" s="51">
        <f t="shared" si="32"/>
        <v>0</v>
      </c>
      <c r="K110" s="51">
        <f t="shared" si="33"/>
        <v>0</v>
      </c>
      <c r="L110" s="51">
        <f t="shared" si="34"/>
        <v>0</v>
      </c>
      <c r="M110" s="51">
        <f t="shared" si="35"/>
        <v>0</v>
      </c>
      <c r="N110" s="51">
        <f t="shared" si="36"/>
        <v>0</v>
      </c>
      <c r="O110" s="51">
        <f t="shared" si="37"/>
        <v>0</v>
      </c>
      <c r="P110" s="44">
        <f t="shared" ca="1" si="28"/>
        <v>0.24321487799605923</v>
      </c>
    </row>
    <row r="111" spans="1:16" ht="40" customHeight="1" x14ac:dyDescent="0.25">
      <c r="A111" s="1">
        <v>5</v>
      </c>
      <c r="C111" s="66"/>
      <c r="D111" s="64" t="s">
        <v>112</v>
      </c>
      <c r="E111" s="49"/>
      <c r="G111" s="51">
        <f t="shared" si="29"/>
        <v>0</v>
      </c>
      <c r="H111" s="51">
        <f t="shared" si="30"/>
        <v>0</v>
      </c>
      <c r="I111" s="51">
        <f t="shared" si="31"/>
        <v>0</v>
      </c>
      <c r="J111" s="51">
        <f t="shared" si="32"/>
        <v>0</v>
      </c>
      <c r="K111" s="51">
        <f t="shared" si="33"/>
        <v>0</v>
      </c>
      <c r="L111" s="51">
        <f t="shared" si="34"/>
        <v>0</v>
      </c>
      <c r="M111" s="51">
        <f t="shared" si="35"/>
        <v>0</v>
      </c>
      <c r="N111" s="51">
        <f t="shared" si="36"/>
        <v>0</v>
      </c>
      <c r="O111" s="51">
        <f t="shared" si="37"/>
        <v>0</v>
      </c>
      <c r="P111" s="44">
        <f t="shared" ca="1" si="28"/>
        <v>8.7191617713180292E-2</v>
      </c>
    </row>
    <row r="112" spans="1:16" ht="40" customHeight="1" x14ac:dyDescent="0.25">
      <c r="A112" s="1">
        <v>8</v>
      </c>
      <c r="C112" s="66"/>
      <c r="D112" s="64" t="s">
        <v>113</v>
      </c>
      <c r="E112" s="49"/>
      <c r="G112" s="51">
        <f t="shared" si="29"/>
        <v>0</v>
      </c>
      <c r="H112" s="51">
        <f t="shared" si="30"/>
        <v>0</v>
      </c>
      <c r="I112" s="51">
        <f t="shared" si="31"/>
        <v>0</v>
      </c>
      <c r="J112" s="51">
        <f t="shared" si="32"/>
        <v>0</v>
      </c>
      <c r="K112" s="51">
        <f t="shared" si="33"/>
        <v>0</v>
      </c>
      <c r="L112" s="51">
        <f t="shared" si="34"/>
        <v>0</v>
      </c>
      <c r="M112" s="51">
        <f t="shared" si="35"/>
        <v>0</v>
      </c>
      <c r="N112" s="51">
        <f t="shared" si="36"/>
        <v>0</v>
      </c>
      <c r="O112" s="51">
        <f t="shared" si="37"/>
        <v>0</v>
      </c>
      <c r="P112" s="44">
        <f t="shared" ca="1" si="28"/>
        <v>0.51148573287933918</v>
      </c>
    </row>
    <row r="113" spans="1:16" ht="40" customHeight="1" x14ac:dyDescent="0.25">
      <c r="A113" s="1">
        <v>9</v>
      </c>
      <c r="C113" s="66"/>
      <c r="D113" s="64" t="s">
        <v>114</v>
      </c>
      <c r="E113" s="49"/>
      <c r="G113" s="51">
        <f t="shared" si="29"/>
        <v>0</v>
      </c>
      <c r="H113" s="51">
        <f t="shared" si="30"/>
        <v>0</v>
      </c>
      <c r="I113" s="51">
        <f t="shared" si="31"/>
        <v>0</v>
      </c>
      <c r="J113" s="51">
        <f t="shared" si="32"/>
        <v>0</v>
      </c>
      <c r="K113" s="51">
        <f t="shared" si="33"/>
        <v>0</v>
      </c>
      <c r="L113" s="51">
        <f t="shared" si="34"/>
        <v>0</v>
      </c>
      <c r="M113" s="51">
        <f t="shared" si="35"/>
        <v>0</v>
      </c>
      <c r="N113" s="51">
        <f t="shared" si="36"/>
        <v>0</v>
      </c>
      <c r="O113" s="51">
        <f t="shared" si="37"/>
        <v>0</v>
      </c>
      <c r="P113" s="44">
        <f t="shared" ca="1" si="28"/>
        <v>0.6698379489869527</v>
      </c>
    </row>
    <row r="114" spans="1:16" ht="40" customHeight="1" x14ac:dyDescent="0.25">
      <c r="A114" s="1">
        <v>1</v>
      </c>
      <c r="C114" s="66"/>
      <c r="D114" s="64" t="s">
        <v>115</v>
      </c>
      <c r="E114" s="49"/>
      <c r="G114" s="51">
        <f t="shared" si="29"/>
        <v>0</v>
      </c>
      <c r="H114" s="51">
        <f t="shared" si="30"/>
        <v>0</v>
      </c>
      <c r="I114" s="51">
        <f t="shared" si="31"/>
        <v>0</v>
      </c>
      <c r="J114" s="51">
        <f t="shared" si="32"/>
        <v>0</v>
      </c>
      <c r="K114" s="51">
        <f t="shared" si="33"/>
        <v>0</v>
      </c>
      <c r="L114" s="51">
        <f t="shared" si="34"/>
        <v>0</v>
      </c>
      <c r="M114" s="51">
        <f t="shared" si="35"/>
        <v>0</v>
      </c>
      <c r="N114" s="51">
        <f t="shared" si="36"/>
        <v>0</v>
      </c>
      <c r="O114" s="51">
        <f t="shared" si="37"/>
        <v>0</v>
      </c>
      <c r="P114" s="44">
        <f t="shared" ca="1" si="28"/>
        <v>0.98926443796861974</v>
      </c>
    </row>
    <row r="115" spans="1:16" ht="40" customHeight="1" x14ac:dyDescent="0.25">
      <c r="A115" s="1">
        <v>4</v>
      </c>
      <c r="C115" s="66"/>
      <c r="D115" s="64" t="s">
        <v>116</v>
      </c>
      <c r="E115" s="49"/>
      <c r="G115" s="51">
        <f t="shared" si="29"/>
        <v>0</v>
      </c>
      <c r="H115" s="51">
        <f t="shared" si="30"/>
        <v>0</v>
      </c>
      <c r="I115" s="51">
        <f t="shared" si="31"/>
        <v>0</v>
      </c>
      <c r="J115" s="51">
        <f t="shared" si="32"/>
        <v>0</v>
      </c>
      <c r="K115" s="51">
        <f t="shared" si="33"/>
        <v>0</v>
      </c>
      <c r="L115" s="51">
        <f t="shared" si="34"/>
        <v>0</v>
      </c>
      <c r="M115" s="51">
        <f t="shared" si="35"/>
        <v>0</v>
      </c>
      <c r="N115" s="51">
        <f t="shared" si="36"/>
        <v>0</v>
      </c>
      <c r="O115" s="51">
        <f t="shared" si="37"/>
        <v>0</v>
      </c>
      <c r="P115" s="44">
        <f t="shared" ca="1" si="28"/>
        <v>0.31432260329151207</v>
      </c>
    </row>
    <row r="116" spans="1:16" ht="40" customHeight="1" x14ac:dyDescent="0.25">
      <c r="A116" s="1">
        <v>3</v>
      </c>
      <c r="C116" s="66"/>
      <c r="D116" s="64" t="s">
        <v>117</v>
      </c>
      <c r="E116" s="49"/>
      <c r="G116" s="51">
        <f t="shared" si="29"/>
        <v>0</v>
      </c>
      <c r="H116" s="51">
        <f t="shared" si="30"/>
        <v>0</v>
      </c>
      <c r="I116" s="51">
        <f t="shared" si="31"/>
        <v>0</v>
      </c>
      <c r="J116" s="51">
        <f t="shared" si="32"/>
        <v>0</v>
      </c>
      <c r="K116" s="51">
        <f t="shared" si="33"/>
        <v>0</v>
      </c>
      <c r="L116" s="51">
        <f t="shared" si="34"/>
        <v>0</v>
      </c>
      <c r="M116" s="51">
        <f t="shared" si="35"/>
        <v>0</v>
      </c>
      <c r="N116" s="51">
        <f t="shared" si="36"/>
        <v>0</v>
      </c>
      <c r="O116" s="51">
        <f t="shared" si="37"/>
        <v>0</v>
      </c>
      <c r="P116" s="44">
        <f t="shared" ca="1" si="28"/>
        <v>0.95112632294324673</v>
      </c>
    </row>
    <row r="117" spans="1:16" ht="40" customHeight="1" x14ac:dyDescent="0.25">
      <c r="A117" s="1">
        <v>7</v>
      </c>
      <c r="C117" s="66"/>
      <c r="D117" s="64" t="s">
        <v>118</v>
      </c>
      <c r="E117" s="49"/>
      <c r="G117" s="51">
        <f t="shared" si="29"/>
        <v>0</v>
      </c>
      <c r="H117" s="51">
        <f t="shared" si="30"/>
        <v>0</v>
      </c>
      <c r="I117" s="51">
        <f t="shared" si="31"/>
        <v>0</v>
      </c>
      <c r="J117" s="51">
        <f t="shared" si="32"/>
        <v>0</v>
      </c>
      <c r="K117" s="51">
        <f t="shared" si="33"/>
        <v>0</v>
      </c>
      <c r="L117" s="51">
        <f t="shared" si="34"/>
        <v>0</v>
      </c>
      <c r="M117" s="51">
        <f t="shared" si="35"/>
        <v>0</v>
      </c>
      <c r="N117" s="51">
        <f t="shared" si="36"/>
        <v>0</v>
      </c>
      <c r="O117" s="51">
        <f t="shared" si="37"/>
        <v>0</v>
      </c>
      <c r="P117" s="44">
        <f t="shared" ca="1" si="28"/>
        <v>0.68710731554482518</v>
      </c>
    </row>
    <row r="118" spans="1:16" ht="40" customHeight="1" x14ac:dyDescent="0.25">
      <c r="A118" s="1">
        <v>3</v>
      </c>
      <c r="C118" s="66"/>
      <c r="D118" s="64" t="s">
        <v>119</v>
      </c>
      <c r="E118" s="49"/>
      <c r="G118" s="51">
        <f t="shared" si="29"/>
        <v>0</v>
      </c>
      <c r="H118" s="51">
        <f t="shared" si="30"/>
        <v>0</v>
      </c>
      <c r="I118" s="51">
        <f t="shared" si="31"/>
        <v>0</v>
      </c>
      <c r="J118" s="51">
        <f t="shared" si="32"/>
        <v>0</v>
      </c>
      <c r="K118" s="51">
        <f t="shared" si="33"/>
        <v>0</v>
      </c>
      <c r="L118" s="51">
        <f t="shared" si="34"/>
        <v>0</v>
      </c>
      <c r="M118" s="51">
        <f t="shared" si="35"/>
        <v>0</v>
      </c>
      <c r="N118" s="51">
        <f t="shared" si="36"/>
        <v>0</v>
      </c>
      <c r="O118" s="51">
        <f t="shared" si="37"/>
        <v>0</v>
      </c>
      <c r="P118" s="44">
        <f t="shared" ca="1" si="28"/>
        <v>0.37451037988428737</v>
      </c>
    </row>
    <row r="119" spans="1:16" ht="40" customHeight="1" x14ac:dyDescent="0.25">
      <c r="A119" s="1">
        <v>5</v>
      </c>
      <c r="C119" s="66"/>
      <c r="D119" s="64" t="s">
        <v>120</v>
      </c>
      <c r="E119" s="49"/>
      <c r="G119" s="51">
        <f t="shared" si="29"/>
        <v>0</v>
      </c>
      <c r="H119" s="51">
        <f t="shared" si="30"/>
        <v>0</v>
      </c>
      <c r="I119" s="51">
        <f t="shared" si="31"/>
        <v>0</v>
      </c>
      <c r="J119" s="51">
        <f t="shared" si="32"/>
        <v>0</v>
      </c>
      <c r="K119" s="51">
        <f t="shared" si="33"/>
        <v>0</v>
      </c>
      <c r="L119" s="51">
        <f t="shared" si="34"/>
        <v>0</v>
      </c>
      <c r="M119" s="51">
        <f t="shared" si="35"/>
        <v>0</v>
      </c>
      <c r="N119" s="51">
        <f t="shared" si="36"/>
        <v>0</v>
      </c>
      <c r="O119" s="51">
        <f t="shared" si="37"/>
        <v>0</v>
      </c>
      <c r="P119" s="44">
        <f t="shared" ca="1" si="28"/>
        <v>3.4668630562671443E-2</v>
      </c>
    </row>
    <row r="120" spans="1:16" ht="40" customHeight="1" x14ac:dyDescent="0.25">
      <c r="A120" s="1">
        <v>4</v>
      </c>
      <c r="C120" s="66"/>
      <c r="D120" s="64" t="s">
        <v>121</v>
      </c>
      <c r="E120" s="49"/>
      <c r="G120" s="51">
        <f t="shared" si="29"/>
        <v>0</v>
      </c>
      <c r="H120" s="51">
        <f t="shared" si="30"/>
        <v>0</v>
      </c>
      <c r="I120" s="51">
        <f t="shared" si="31"/>
        <v>0</v>
      </c>
      <c r="J120" s="51">
        <f t="shared" si="32"/>
        <v>0</v>
      </c>
      <c r="K120" s="51">
        <f t="shared" si="33"/>
        <v>0</v>
      </c>
      <c r="L120" s="51">
        <f t="shared" si="34"/>
        <v>0</v>
      </c>
      <c r="M120" s="51">
        <f t="shared" si="35"/>
        <v>0</v>
      </c>
      <c r="N120" s="51">
        <f t="shared" si="36"/>
        <v>0</v>
      </c>
      <c r="O120" s="51">
        <f t="shared" si="37"/>
        <v>0</v>
      </c>
      <c r="P120" s="44">
        <f t="shared" ca="1" si="28"/>
        <v>0.10969526241378713</v>
      </c>
    </row>
    <row r="121" spans="1:16" ht="40" customHeight="1" x14ac:dyDescent="0.25">
      <c r="A121" s="1">
        <v>5</v>
      </c>
      <c r="C121" s="66"/>
      <c r="D121" s="64" t="s">
        <v>122</v>
      </c>
      <c r="E121" s="49"/>
      <c r="G121" s="51">
        <f t="shared" si="29"/>
        <v>0</v>
      </c>
      <c r="H121" s="51">
        <f t="shared" si="30"/>
        <v>0</v>
      </c>
      <c r="I121" s="51">
        <f t="shared" si="31"/>
        <v>0</v>
      </c>
      <c r="J121" s="51">
        <f t="shared" si="32"/>
        <v>0</v>
      </c>
      <c r="K121" s="51">
        <f t="shared" si="33"/>
        <v>0</v>
      </c>
      <c r="L121" s="51">
        <f t="shared" si="34"/>
        <v>0</v>
      </c>
      <c r="M121" s="51">
        <f t="shared" si="35"/>
        <v>0</v>
      </c>
      <c r="N121" s="51">
        <f t="shared" si="36"/>
        <v>0</v>
      </c>
      <c r="O121" s="51">
        <f t="shared" si="37"/>
        <v>0</v>
      </c>
      <c r="P121" s="44">
        <f t="shared" ca="1" si="28"/>
        <v>0.20903019394762057</v>
      </c>
    </row>
    <row r="122" spans="1:16" ht="40" customHeight="1" x14ac:dyDescent="0.25">
      <c r="A122" s="1">
        <v>1</v>
      </c>
      <c r="C122" s="66"/>
      <c r="D122" s="64" t="s">
        <v>123</v>
      </c>
      <c r="E122" s="49"/>
      <c r="G122" s="51">
        <f t="shared" si="29"/>
        <v>0</v>
      </c>
      <c r="H122" s="51">
        <f t="shared" si="30"/>
        <v>0</v>
      </c>
      <c r="I122" s="51">
        <f t="shared" si="31"/>
        <v>0</v>
      </c>
      <c r="J122" s="51">
        <f t="shared" si="32"/>
        <v>0</v>
      </c>
      <c r="K122" s="51">
        <f t="shared" si="33"/>
        <v>0</v>
      </c>
      <c r="L122" s="51">
        <f t="shared" si="34"/>
        <v>0</v>
      </c>
      <c r="M122" s="51">
        <f t="shared" si="35"/>
        <v>0</v>
      </c>
      <c r="N122" s="51">
        <f t="shared" si="36"/>
        <v>0</v>
      </c>
      <c r="O122" s="51">
        <f t="shared" si="37"/>
        <v>0</v>
      </c>
      <c r="P122" s="44">
        <f t="shared" ca="1" si="28"/>
        <v>0.24402277367789271</v>
      </c>
    </row>
    <row r="123" spans="1:16" ht="40" customHeight="1" x14ac:dyDescent="0.25">
      <c r="A123" s="1">
        <v>9</v>
      </c>
      <c r="C123" s="66"/>
      <c r="D123" s="64" t="s">
        <v>124</v>
      </c>
      <c r="E123" s="49"/>
      <c r="G123" s="51">
        <f t="shared" si="29"/>
        <v>0</v>
      </c>
      <c r="H123" s="51">
        <f t="shared" si="30"/>
        <v>0</v>
      </c>
      <c r="I123" s="51">
        <f t="shared" si="31"/>
        <v>0</v>
      </c>
      <c r="J123" s="51">
        <f t="shared" si="32"/>
        <v>0</v>
      </c>
      <c r="K123" s="51">
        <f t="shared" si="33"/>
        <v>0</v>
      </c>
      <c r="L123" s="51">
        <f t="shared" si="34"/>
        <v>0</v>
      </c>
      <c r="M123" s="51">
        <f t="shared" si="35"/>
        <v>0</v>
      </c>
      <c r="N123" s="51">
        <f t="shared" si="36"/>
        <v>0</v>
      </c>
      <c r="O123" s="51">
        <f t="shared" si="37"/>
        <v>0</v>
      </c>
      <c r="P123" s="44">
        <f t="shared" ca="1" si="28"/>
        <v>3.2710724286054038E-2</v>
      </c>
    </row>
    <row r="124" spans="1:16" ht="40" customHeight="1" x14ac:dyDescent="0.25">
      <c r="A124" s="1">
        <v>1</v>
      </c>
      <c r="C124" s="67"/>
      <c r="D124" s="63" t="s">
        <v>125</v>
      </c>
      <c r="E124" s="49"/>
      <c r="G124" s="51">
        <f t="shared" si="29"/>
        <v>0</v>
      </c>
      <c r="H124" s="51">
        <f t="shared" si="30"/>
        <v>0</v>
      </c>
      <c r="I124" s="51">
        <f t="shared" si="31"/>
        <v>0</v>
      </c>
      <c r="J124" s="51">
        <f t="shared" si="32"/>
        <v>0</v>
      </c>
      <c r="K124" s="51">
        <f t="shared" si="33"/>
        <v>0</v>
      </c>
      <c r="L124" s="51">
        <f t="shared" si="34"/>
        <v>0</v>
      </c>
      <c r="M124" s="51">
        <f t="shared" si="35"/>
        <v>0</v>
      </c>
      <c r="N124" s="51">
        <f t="shared" si="36"/>
        <v>0</v>
      </c>
      <c r="O124" s="51">
        <f t="shared" si="37"/>
        <v>0</v>
      </c>
      <c r="P124" s="44">
        <f t="shared" ca="1" si="28"/>
        <v>0.59664549762179198</v>
      </c>
    </row>
    <row r="125" spans="1:16" ht="40" customHeight="1" x14ac:dyDescent="0.25">
      <c r="A125" s="1">
        <v>6</v>
      </c>
      <c r="C125" s="68"/>
      <c r="D125" s="62" t="s">
        <v>126</v>
      </c>
      <c r="E125" s="49"/>
      <c r="G125" s="51">
        <f t="shared" si="29"/>
        <v>0</v>
      </c>
      <c r="H125" s="51">
        <f t="shared" si="30"/>
        <v>0</v>
      </c>
      <c r="I125" s="51">
        <f t="shared" si="31"/>
        <v>0</v>
      </c>
      <c r="J125" s="51">
        <f t="shared" si="32"/>
        <v>0</v>
      </c>
      <c r="K125" s="51">
        <f t="shared" si="33"/>
        <v>0</v>
      </c>
      <c r="L125" s="51">
        <f t="shared" si="34"/>
        <v>0</v>
      </c>
      <c r="M125" s="51">
        <f t="shared" si="35"/>
        <v>0</v>
      </c>
      <c r="N125" s="51">
        <f t="shared" si="36"/>
        <v>0</v>
      </c>
      <c r="O125" s="51">
        <f t="shared" si="37"/>
        <v>0</v>
      </c>
      <c r="P125" s="44">
        <f t="shared" ca="1" si="28"/>
        <v>9.5685327233566708E-3</v>
      </c>
    </row>
    <row r="126" spans="1:16" ht="40" customHeight="1" x14ac:dyDescent="0.25">
      <c r="A126" s="1">
        <v>8</v>
      </c>
      <c r="C126" s="66"/>
      <c r="D126" s="64" t="s">
        <v>127</v>
      </c>
      <c r="E126" s="49"/>
      <c r="G126" s="51">
        <f t="shared" si="29"/>
        <v>0</v>
      </c>
      <c r="H126" s="51">
        <f t="shared" si="30"/>
        <v>0</v>
      </c>
      <c r="I126" s="51">
        <f t="shared" si="31"/>
        <v>0</v>
      </c>
      <c r="J126" s="51">
        <f t="shared" si="32"/>
        <v>0</v>
      </c>
      <c r="K126" s="51">
        <f t="shared" si="33"/>
        <v>0</v>
      </c>
      <c r="L126" s="51">
        <f t="shared" si="34"/>
        <v>0</v>
      </c>
      <c r="M126" s="51">
        <f t="shared" si="35"/>
        <v>0</v>
      </c>
      <c r="N126" s="51">
        <f t="shared" si="36"/>
        <v>0</v>
      </c>
      <c r="O126" s="51">
        <f t="shared" si="37"/>
        <v>0</v>
      </c>
      <c r="P126" s="44">
        <f t="shared" ca="1" si="28"/>
        <v>0.59702199716148996</v>
      </c>
    </row>
    <row r="127" spans="1:16" ht="40" customHeight="1" x14ac:dyDescent="0.25">
      <c r="A127" s="1">
        <v>9</v>
      </c>
      <c r="C127" s="66"/>
      <c r="D127" s="64" t="s">
        <v>128</v>
      </c>
      <c r="E127" s="49"/>
      <c r="G127" s="51">
        <f t="shared" si="29"/>
        <v>0</v>
      </c>
      <c r="H127" s="51">
        <f t="shared" si="30"/>
        <v>0</v>
      </c>
      <c r="I127" s="51">
        <f t="shared" si="31"/>
        <v>0</v>
      </c>
      <c r="J127" s="51">
        <f t="shared" si="32"/>
        <v>0</v>
      </c>
      <c r="K127" s="51">
        <f t="shared" si="33"/>
        <v>0</v>
      </c>
      <c r="L127" s="51">
        <f t="shared" si="34"/>
        <v>0</v>
      </c>
      <c r="M127" s="51">
        <f t="shared" si="35"/>
        <v>0</v>
      </c>
      <c r="N127" s="51">
        <f t="shared" si="36"/>
        <v>0</v>
      </c>
      <c r="O127" s="51">
        <f t="shared" si="37"/>
        <v>0</v>
      </c>
      <c r="P127" s="44">
        <f t="shared" ca="1" si="28"/>
        <v>0.40251371980205641</v>
      </c>
    </row>
    <row r="128" spans="1:16" ht="40" customHeight="1" x14ac:dyDescent="0.25">
      <c r="A128" s="1">
        <v>8</v>
      </c>
      <c r="C128" s="66"/>
      <c r="D128" s="64" t="s">
        <v>129</v>
      </c>
      <c r="E128" s="49"/>
      <c r="G128" s="51">
        <f t="shared" si="29"/>
        <v>0</v>
      </c>
      <c r="H128" s="51">
        <f t="shared" si="30"/>
        <v>0</v>
      </c>
      <c r="I128" s="51">
        <f t="shared" si="31"/>
        <v>0</v>
      </c>
      <c r="J128" s="51">
        <f t="shared" si="32"/>
        <v>0</v>
      </c>
      <c r="K128" s="51">
        <f t="shared" si="33"/>
        <v>0</v>
      </c>
      <c r="L128" s="51">
        <f t="shared" si="34"/>
        <v>0</v>
      </c>
      <c r="M128" s="51">
        <f t="shared" si="35"/>
        <v>0</v>
      </c>
      <c r="N128" s="51">
        <f t="shared" si="36"/>
        <v>0</v>
      </c>
      <c r="O128" s="51">
        <f t="shared" si="37"/>
        <v>0</v>
      </c>
      <c r="P128" s="44">
        <f t="shared" ca="1" si="28"/>
        <v>0.65946550633691892</v>
      </c>
    </row>
    <row r="129" spans="1:16" ht="40" customHeight="1" x14ac:dyDescent="0.25">
      <c r="A129" s="1">
        <v>1</v>
      </c>
      <c r="C129" s="66"/>
      <c r="D129" s="64" t="s">
        <v>130</v>
      </c>
      <c r="E129" s="49"/>
      <c r="G129" s="51">
        <f t="shared" si="29"/>
        <v>0</v>
      </c>
      <c r="H129" s="51">
        <f t="shared" si="30"/>
        <v>0</v>
      </c>
      <c r="I129" s="51">
        <f t="shared" si="31"/>
        <v>0</v>
      </c>
      <c r="J129" s="51">
        <f t="shared" si="32"/>
        <v>0</v>
      </c>
      <c r="K129" s="51">
        <f t="shared" si="33"/>
        <v>0</v>
      </c>
      <c r="L129" s="51">
        <f t="shared" si="34"/>
        <v>0</v>
      </c>
      <c r="M129" s="51">
        <f t="shared" si="35"/>
        <v>0</v>
      </c>
      <c r="N129" s="51">
        <f t="shared" si="36"/>
        <v>0</v>
      </c>
      <c r="O129" s="51">
        <f t="shared" si="37"/>
        <v>0</v>
      </c>
      <c r="P129" s="44">
        <f t="shared" ca="1" si="28"/>
        <v>0.38711713727781005</v>
      </c>
    </row>
    <row r="130" spans="1:16" ht="40" customHeight="1" x14ac:dyDescent="0.25">
      <c r="A130" s="1">
        <v>5</v>
      </c>
      <c r="C130" s="66"/>
      <c r="D130" s="64" t="s">
        <v>131</v>
      </c>
      <c r="E130" s="49"/>
      <c r="G130" s="51">
        <f t="shared" si="29"/>
        <v>0</v>
      </c>
      <c r="H130" s="51">
        <f t="shared" si="30"/>
        <v>0</v>
      </c>
      <c r="I130" s="51">
        <f t="shared" si="31"/>
        <v>0</v>
      </c>
      <c r="J130" s="51">
        <f t="shared" si="32"/>
        <v>0</v>
      </c>
      <c r="K130" s="51">
        <f t="shared" si="33"/>
        <v>0</v>
      </c>
      <c r="L130" s="51">
        <f t="shared" si="34"/>
        <v>0</v>
      </c>
      <c r="M130" s="51">
        <f t="shared" si="35"/>
        <v>0</v>
      </c>
      <c r="N130" s="51">
        <f t="shared" si="36"/>
        <v>0</v>
      </c>
      <c r="O130" s="51">
        <f t="shared" si="37"/>
        <v>0</v>
      </c>
      <c r="P130" s="44">
        <f t="shared" ca="1" si="28"/>
        <v>0.42546973759005469</v>
      </c>
    </row>
    <row r="131" spans="1:16" ht="40" customHeight="1" x14ac:dyDescent="0.25">
      <c r="A131" s="1">
        <v>5</v>
      </c>
      <c r="C131" s="66"/>
      <c r="D131" s="64" t="s">
        <v>132</v>
      </c>
      <c r="E131" s="49"/>
      <c r="G131" s="51">
        <f t="shared" si="29"/>
        <v>0</v>
      </c>
      <c r="H131" s="51">
        <f t="shared" si="30"/>
        <v>0</v>
      </c>
      <c r="I131" s="51">
        <f t="shared" si="31"/>
        <v>0</v>
      </c>
      <c r="J131" s="51">
        <f t="shared" si="32"/>
        <v>0</v>
      </c>
      <c r="K131" s="51">
        <f t="shared" si="33"/>
        <v>0</v>
      </c>
      <c r="L131" s="51">
        <f t="shared" si="34"/>
        <v>0</v>
      </c>
      <c r="M131" s="51">
        <f t="shared" si="35"/>
        <v>0</v>
      </c>
      <c r="N131" s="51">
        <f t="shared" si="36"/>
        <v>0</v>
      </c>
      <c r="O131" s="51">
        <f t="shared" si="37"/>
        <v>0</v>
      </c>
      <c r="P131" s="44">
        <f t="shared" ca="1" si="28"/>
        <v>0.23578509222623745</v>
      </c>
    </row>
    <row r="132" spans="1:16" ht="40" customHeight="1" x14ac:dyDescent="0.25">
      <c r="A132" s="1">
        <v>9</v>
      </c>
      <c r="C132" s="66"/>
      <c r="D132" s="64" t="s">
        <v>133</v>
      </c>
      <c r="E132" s="49"/>
      <c r="G132" s="51">
        <f t="shared" si="29"/>
        <v>0</v>
      </c>
      <c r="H132" s="51">
        <f t="shared" si="30"/>
        <v>0</v>
      </c>
      <c r="I132" s="51">
        <f t="shared" si="31"/>
        <v>0</v>
      </c>
      <c r="J132" s="51">
        <f t="shared" si="32"/>
        <v>0</v>
      </c>
      <c r="K132" s="51">
        <f t="shared" si="33"/>
        <v>0</v>
      </c>
      <c r="L132" s="51">
        <f t="shared" si="34"/>
        <v>0</v>
      </c>
      <c r="M132" s="51">
        <f t="shared" si="35"/>
        <v>0</v>
      </c>
      <c r="N132" s="51">
        <f t="shared" si="36"/>
        <v>0</v>
      </c>
      <c r="O132" s="51">
        <f t="shared" si="37"/>
        <v>0</v>
      </c>
      <c r="P132" s="44">
        <f t="shared" ref="P132:P184" ca="1" si="38">RAND()</f>
        <v>0.52802132952126946</v>
      </c>
    </row>
    <row r="133" spans="1:16" ht="40" customHeight="1" x14ac:dyDescent="0.25">
      <c r="A133" s="1">
        <v>6</v>
      </c>
      <c r="C133" s="66"/>
      <c r="D133" s="64" t="s">
        <v>134</v>
      </c>
      <c r="E133" s="49"/>
      <c r="G133" s="51">
        <f t="shared" ref="G133:G164" si="39">IF($A133=1,$C133,0)</f>
        <v>0</v>
      </c>
      <c r="H133" s="51">
        <f t="shared" ref="H133:H164" si="40">IF($A133=2,$C133,0)</f>
        <v>0</v>
      </c>
      <c r="I133" s="51">
        <f t="shared" ref="I133:I164" si="41">IF($A133=3,$C133,0)</f>
        <v>0</v>
      </c>
      <c r="J133" s="51">
        <f t="shared" ref="J133:J164" si="42">IF($A133=4,$C133,0)</f>
        <v>0</v>
      </c>
      <c r="K133" s="51">
        <f t="shared" ref="K133:K164" si="43">IF($A133=5,$C133,0)</f>
        <v>0</v>
      </c>
      <c r="L133" s="51">
        <f t="shared" ref="L133:L164" si="44">IF($A133=6,$C133,0)</f>
        <v>0</v>
      </c>
      <c r="M133" s="51">
        <f t="shared" ref="M133:M164" si="45">IF($A133=7,$C133,0)</f>
        <v>0</v>
      </c>
      <c r="N133" s="51">
        <f t="shared" ref="N133:N164" si="46">IF($A133=8,$C133,0)</f>
        <v>0</v>
      </c>
      <c r="O133" s="51">
        <f t="shared" ref="O133:O164" si="47">IF($A133=9,$C133,0)</f>
        <v>0</v>
      </c>
      <c r="P133" s="44">
        <f t="shared" ca="1" si="38"/>
        <v>0.50742234263593877</v>
      </c>
    </row>
    <row r="134" spans="1:16" ht="40" customHeight="1" x14ac:dyDescent="0.25">
      <c r="A134" s="1">
        <v>5</v>
      </c>
      <c r="C134" s="66"/>
      <c r="D134" s="64" t="s">
        <v>135</v>
      </c>
      <c r="E134" s="49"/>
      <c r="G134" s="51">
        <f t="shared" si="39"/>
        <v>0</v>
      </c>
      <c r="H134" s="51">
        <f t="shared" si="40"/>
        <v>0</v>
      </c>
      <c r="I134" s="51">
        <f t="shared" si="41"/>
        <v>0</v>
      </c>
      <c r="J134" s="51">
        <f t="shared" si="42"/>
        <v>0</v>
      </c>
      <c r="K134" s="51">
        <f t="shared" si="43"/>
        <v>0</v>
      </c>
      <c r="L134" s="51">
        <f t="shared" si="44"/>
        <v>0</v>
      </c>
      <c r="M134" s="51">
        <f t="shared" si="45"/>
        <v>0</v>
      </c>
      <c r="N134" s="51">
        <f t="shared" si="46"/>
        <v>0</v>
      </c>
      <c r="O134" s="51">
        <f t="shared" si="47"/>
        <v>0</v>
      </c>
      <c r="P134" s="44">
        <f t="shared" ca="1" si="38"/>
        <v>0.47926837577371895</v>
      </c>
    </row>
    <row r="135" spans="1:16" ht="40" customHeight="1" x14ac:dyDescent="0.25">
      <c r="A135" s="1">
        <v>8</v>
      </c>
      <c r="C135" s="66"/>
      <c r="D135" s="64" t="s">
        <v>136</v>
      </c>
      <c r="E135" s="49"/>
      <c r="G135" s="51">
        <f t="shared" si="39"/>
        <v>0</v>
      </c>
      <c r="H135" s="51">
        <f t="shared" si="40"/>
        <v>0</v>
      </c>
      <c r="I135" s="51">
        <f t="shared" si="41"/>
        <v>0</v>
      </c>
      <c r="J135" s="51">
        <f t="shared" si="42"/>
        <v>0</v>
      </c>
      <c r="K135" s="51">
        <f t="shared" si="43"/>
        <v>0</v>
      </c>
      <c r="L135" s="51">
        <f t="shared" si="44"/>
        <v>0</v>
      </c>
      <c r="M135" s="51">
        <f t="shared" si="45"/>
        <v>0</v>
      </c>
      <c r="N135" s="51">
        <f t="shared" si="46"/>
        <v>0</v>
      </c>
      <c r="O135" s="51">
        <f t="shared" si="47"/>
        <v>0</v>
      </c>
      <c r="P135" s="44">
        <f t="shared" ca="1" si="38"/>
        <v>0.58994322147510603</v>
      </c>
    </row>
    <row r="136" spans="1:16" ht="40" customHeight="1" x14ac:dyDescent="0.25">
      <c r="A136" s="1">
        <v>8</v>
      </c>
      <c r="C136" s="66"/>
      <c r="D136" s="64" t="s">
        <v>137</v>
      </c>
      <c r="E136" s="49"/>
      <c r="G136" s="51">
        <f t="shared" si="39"/>
        <v>0</v>
      </c>
      <c r="H136" s="51">
        <f t="shared" si="40"/>
        <v>0</v>
      </c>
      <c r="I136" s="51">
        <f t="shared" si="41"/>
        <v>0</v>
      </c>
      <c r="J136" s="51">
        <f t="shared" si="42"/>
        <v>0</v>
      </c>
      <c r="K136" s="51">
        <f t="shared" si="43"/>
        <v>0</v>
      </c>
      <c r="L136" s="51">
        <f t="shared" si="44"/>
        <v>0</v>
      </c>
      <c r="M136" s="51">
        <f t="shared" si="45"/>
        <v>0</v>
      </c>
      <c r="N136" s="51">
        <f t="shared" si="46"/>
        <v>0</v>
      </c>
      <c r="O136" s="51">
        <f t="shared" si="47"/>
        <v>0</v>
      </c>
      <c r="P136" s="44">
        <f t="shared" ca="1" si="38"/>
        <v>0.92749936035790603</v>
      </c>
    </row>
    <row r="137" spans="1:16" ht="40" customHeight="1" x14ac:dyDescent="0.25">
      <c r="A137" s="1">
        <v>5</v>
      </c>
      <c r="C137" s="66"/>
      <c r="D137" s="64" t="s">
        <v>138</v>
      </c>
      <c r="E137" s="49"/>
      <c r="G137" s="51">
        <f t="shared" si="39"/>
        <v>0</v>
      </c>
      <c r="H137" s="51">
        <f t="shared" si="40"/>
        <v>0</v>
      </c>
      <c r="I137" s="51">
        <f t="shared" si="41"/>
        <v>0</v>
      </c>
      <c r="J137" s="51">
        <f t="shared" si="42"/>
        <v>0</v>
      </c>
      <c r="K137" s="51">
        <f t="shared" si="43"/>
        <v>0</v>
      </c>
      <c r="L137" s="51">
        <f t="shared" si="44"/>
        <v>0</v>
      </c>
      <c r="M137" s="51">
        <f t="shared" si="45"/>
        <v>0</v>
      </c>
      <c r="N137" s="51">
        <f t="shared" si="46"/>
        <v>0</v>
      </c>
      <c r="O137" s="51">
        <f t="shared" si="47"/>
        <v>0</v>
      </c>
      <c r="P137" s="44">
        <f t="shared" ca="1" si="38"/>
        <v>0.92078780978287633</v>
      </c>
    </row>
    <row r="138" spans="1:16" ht="40" customHeight="1" x14ac:dyDescent="0.25">
      <c r="A138" s="1">
        <v>2</v>
      </c>
      <c r="C138" s="66"/>
      <c r="D138" s="64" t="s">
        <v>139</v>
      </c>
      <c r="E138" s="49"/>
      <c r="G138" s="51">
        <f t="shared" si="39"/>
        <v>0</v>
      </c>
      <c r="H138" s="51">
        <f t="shared" si="40"/>
        <v>0</v>
      </c>
      <c r="I138" s="51">
        <f t="shared" si="41"/>
        <v>0</v>
      </c>
      <c r="J138" s="51">
        <f t="shared" si="42"/>
        <v>0</v>
      </c>
      <c r="K138" s="51">
        <f t="shared" si="43"/>
        <v>0</v>
      </c>
      <c r="L138" s="51">
        <f t="shared" si="44"/>
        <v>0</v>
      </c>
      <c r="M138" s="51">
        <f t="shared" si="45"/>
        <v>0</v>
      </c>
      <c r="N138" s="51">
        <f t="shared" si="46"/>
        <v>0</v>
      </c>
      <c r="O138" s="51">
        <f t="shared" si="47"/>
        <v>0</v>
      </c>
      <c r="P138" s="44">
        <f t="shared" ca="1" si="38"/>
        <v>0.9434325604176812</v>
      </c>
    </row>
    <row r="139" spans="1:16" ht="40" customHeight="1" x14ac:dyDescent="0.25">
      <c r="A139" s="1">
        <v>3</v>
      </c>
      <c r="C139" s="66"/>
      <c r="D139" s="64" t="s">
        <v>140</v>
      </c>
      <c r="E139" s="49"/>
      <c r="G139" s="51">
        <f t="shared" si="39"/>
        <v>0</v>
      </c>
      <c r="H139" s="51">
        <f t="shared" si="40"/>
        <v>0</v>
      </c>
      <c r="I139" s="51">
        <f t="shared" si="41"/>
        <v>0</v>
      </c>
      <c r="J139" s="51">
        <f t="shared" si="42"/>
        <v>0</v>
      </c>
      <c r="K139" s="51">
        <f t="shared" si="43"/>
        <v>0</v>
      </c>
      <c r="L139" s="51">
        <f t="shared" si="44"/>
        <v>0</v>
      </c>
      <c r="M139" s="51">
        <f t="shared" si="45"/>
        <v>0</v>
      </c>
      <c r="N139" s="51">
        <f t="shared" si="46"/>
        <v>0</v>
      </c>
      <c r="O139" s="51">
        <f t="shared" si="47"/>
        <v>0</v>
      </c>
      <c r="P139" s="44">
        <f t="shared" ca="1" si="38"/>
        <v>0.73207413621447526</v>
      </c>
    </row>
    <row r="140" spans="1:16" ht="40" customHeight="1" x14ac:dyDescent="0.25">
      <c r="A140" s="1">
        <v>5</v>
      </c>
      <c r="C140" s="66"/>
      <c r="D140" s="64" t="s">
        <v>141</v>
      </c>
      <c r="E140" s="49"/>
      <c r="G140" s="51">
        <f t="shared" si="39"/>
        <v>0</v>
      </c>
      <c r="H140" s="51">
        <f t="shared" si="40"/>
        <v>0</v>
      </c>
      <c r="I140" s="51">
        <f t="shared" si="41"/>
        <v>0</v>
      </c>
      <c r="J140" s="51">
        <f t="shared" si="42"/>
        <v>0</v>
      </c>
      <c r="K140" s="51">
        <f t="shared" si="43"/>
        <v>0</v>
      </c>
      <c r="L140" s="51">
        <f t="shared" si="44"/>
        <v>0</v>
      </c>
      <c r="M140" s="51">
        <f t="shared" si="45"/>
        <v>0</v>
      </c>
      <c r="N140" s="51">
        <f t="shared" si="46"/>
        <v>0</v>
      </c>
      <c r="O140" s="51">
        <f t="shared" si="47"/>
        <v>0</v>
      </c>
      <c r="P140" s="44">
        <f t="shared" ca="1" si="38"/>
        <v>0.8692332978290942</v>
      </c>
    </row>
    <row r="141" spans="1:16" ht="40" customHeight="1" x14ac:dyDescent="0.25">
      <c r="A141" s="1">
        <v>1</v>
      </c>
      <c r="C141" s="66"/>
      <c r="D141" s="64" t="s">
        <v>142</v>
      </c>
      <c r="E141" s="49"/>
      <c r="G141" s="51">
        <f t="shared" si="39"/>
        <v>0</v>
      </c>
      <c r="H141" s="51">
        <f t="shared" si="40"/>
        <v>0</v>
      </c>
      <c r="I141" s="51">
        <f t="shared" si="41"/>
        <v>0</v>
      </c>
      <c r="J141" s="51">
        <f t="shared" si="42"/>
        <v>0</v>
      </c>
      <c r="K141" s="51">
        <f t="shared" si="43"/>
        <v>0</v>
      </c>
      <c r="L141" s="51">
        <f t="shared" si="44"/>
        <v>0</v>
      </c>
      <c r="M141" s="51">
        <f t="shared" si="45"/>
        <v>0</v>
      </c>
      <c r="N141" s="51">
        <f t="shared" si="46"/>
        <v>0</v>
      </c>
      <c r="O141" s="51">
        <f t="shared" si="47"/>
        <v>0</v>
      </c>
      <c r="P141" s="44">
        <f t="shared" ca="1" si="38"/>
        <v>0.50782886605963773</v>
      </c>
    </row>
    <row r="142" spans="1:16" ht="40" customHeight="1" x14ac:dyDescent="0.25">
      <c r="A142" s="1">
        <v>1</v>
      </c>
      <c r="C142" s="66"/>
      <c r="D142" s="64" t="s">
        <v>143</v>
      </c>
      <c r="E142" s="49"/>
      <c r="G142" s="51">
        <f t="shared" si="39"/>
        <v>0</v>
      </c>
      <c r="H142" s="51">
        <f t="shared" si="40"/>
        <v>0</v>
      </c>
      <c r="I142" s="51">
        <f t="shared" si="41"/>
        <v>0</v>
      </c>
      <c r="J142" s="51">
        <f t="shared" si="42"/>
        <v>0</v>
      </c>
      <c r="K142" s="51">
        <f t="shared" si="43"/>
        <v>0</v>
      </c>
      <c r="L142" s="51">
        <f t="shared" si="44"/>
        <v>0</v>
      </c>
      <c r="M142" s="51">
        <f t="shared" si="45"/>
        <v>0</v>
      </c>
      <c r="N142" s="51">
        <f t="shared" si="46"/>
        <v>0</v>
      </c>
      <c r="O142" s="51">
        <f t="shared" si="47"/>
        <v>0</v>
      </c>
      <c r="P142" s="44">
        <f t="shared" ca="1" si="38"/>
        <v>0.49026936685861877</v>
      </c>
    </row>
    <row r="143" spans="1:16" ht="40" customHeight="1" x14ac:dyDescent="0.25">
      <c r="A143" s="1">
        <v>3</v>
      </c>
      <c r="C143" s="66"/>
      <c r="D143" s="64" t="s">
        <v>144</v>
      </c>
      <c r="E143" s="49"/>
      <c r="G143" s="51">
        <f t="shared" si="39"/>
        <v>0</v>
      </c>
      <c r="H143" s="51">
        <f t="shared" si="40"/>
        <v>0</v>
      </c>
      <c r="I143" s="51">
        <f t="shared" si="41"/>
        <v>0</v>
      </c>
      <c r="J143" s="51">
        <f t="shared" si="42"/>
        <v>0</v>
      </c>
      <c r="K143" s="51">
        <f t="shared" si="43"/>
        <v>0</v>
      </c>
      <c r="L143" s="51">
        <f t="shared" si="44"/>
        <v>0</v>
      </c>
      <c r="M143" s="51">
        <f t="shared" si="45"/>
        <v>0</v>
      </c>
      <c r="N143" s="51">
        <f t="shared" si="46"/>
        <v>0</v>
      </c>
      <c r="O143" s="51">
        <f t="shared" si="47"/>
        <v>0</v>
      </c>
      <c r="P143" s="44">
        <f t="shared" ca="1" si="38"/>
        <v>0.83671509388033827</v>
      </c>
    </row>
    <row r="144" spans="1:16" ht="40" customHeight="1" x14ac:dyDescent="0.25">
      <c r="A144" s="1">
        <v>8</v>
      </c>
      <c r="C144" s="66"/>
      <c r="D144" s="64" t="s">
        <v>145</v>
      </c>
      <c r="E144" s="49"/>
      <c r="G144" s="51">
        <f t="shared" si="39"/>
        <v>0</v>
      </c>
      <c r="H144" s="51">
        <f t="shared" si="40"/>
        <v>0</v>
      </c>
      <c r="I144" s="51">
        <f t="shared" si="41"/>
        <v>0</v>
      </c>
      <c r="J144" s="51">
        <f t="shared" si="42"/>
        <v>0</v>
      </c>
      <c r="K144" s="51">
        <f t="shared" si="43"/>
        <v>0</v>
      </c>
      <c r="L144" s="51">
        <f t="shared" si="44"/>
        <v>0</v>
      </c>
      <c r="M144" s="51">
        <f t="shared" si="45"/>
        <v>0</v>
      </c>
      <c r="N144" s="51">
        <f t="shared" si="46"/>
        <v>0</v>
      </c>
      <c r="O144" s="51">
        <f t="shared" si="47"/>
        <v>0</v>
      </c>
      <c r="P144" s="44">
        <f t="shared" ca="1" si="38"/>
        <v>0.89535777607765987</v>
      </c>
    </row>
    <row r="145" spans="1:16" ht="40" customHeight="1" x14ac:dyDescent="0.25">
      <c r="A145" s="1">
        <v>7</v>
      </c>
      <c r="C145" s="66"/>
      <c r="D145" s="64" t="s">
        <v>146</v>
      </c>
      <c r="E145" s="49"/>
      <c r="G145" s="51">
        <f t="shared" si="39"/>
        <v>0</v>
      </c>
      <c r="H145" s="51">
        <f t="shared" si="40"/>
        <v>0</v>
      </c>
      <c r="I145" s="51">
        <f t="shared" si="41"/>
        <v>0</v>
      </c>
      <c r="J145" s="51">
        <f t="shared" si="42"/>
        <v>0</v>
      </c>
      <c r="K145" s="51">
        <f t="shared" si="43"/>
        <v>0</v>
      </c>
      <c r="L145" s="51">
        <f t="shared" si="44"/>
        <v>0</v>
      </c>
      <c r="M145" s="51">
        <f t="shared" si="45"/>
        <v>0</v>
      </c>
      <c r="N145" s="51">
        <f t="shared" si="46"/>
        <v>0</v>
      </c>
      <c r="O145" s="51">
        <f t="shared" si="47"/>
        <v>0</v>
      </c>
      <c r="P145" s="44">
        <f t="shared" ca="1" si="38"/>
        <v>0.50310097835824019</v>
      </c>
    </row>
    <row r="146" spans="1:16" ht="40" customHeight="1" x14ac:dyDescent="0.25">
      <c r="A146" s="1">
        <v>4</v>
      </c>
      <c r="C146" s="66"/>
      <c r="D146" s="64" t="s">
        <v>147</v>
      </c>
      <c r="E146" s="49"/>
      <c r="G146" s="51">
        <f t="shared" si="39"/>
        <v>0</v>
      </c>
      <c r="H146" s="51">
        <f t="shared" si="40"/>
        <v>0</v>
      </c>
      <c r="I146" s="51">
        <f t="shared" si="41"/>
        <v>0</v>
      </c>
      <c r="J146" s="51">
        <f t="shared" si="42"/>
        <v>0</v>
      </c>
      <c r="K146" s="51">
        <f t="shared" si="43"/>
        <v>0</v>
      </c>
      <c r="L146" s="51">
        <f t="shared" si="44"/>
        <v>0</v>
      </c>
      <c r="M146" s="51">
        <f t="shared" si="45"/>
        <v>0</v>
      </c>
      <c r="N146" s="51">
        <f t="shared" si="46"/>
        <v>0</v>
      </c>
      <c r="O146" s="51">
        <f t="shared" si="47"/>
        <v>0</v>
      </c>
      <c r="P146" s="44">
        <f t="shared" ca="1" si="38"/>
        <v>0.57712871112810127</v>
      </c>
    </row>
    <row r="147" spans="1:16" ht="40" customHeight="1" x14ac:dyDescent="0.25">
      <c r="A147" s="1">
        <v>3</v>
      </c>
      <c r="C147" s="66"/>
      <c r="D147" s="64" t="s">
        <v>148</v>
      </c>
      <c r="E147" s="49"/>
      <c r="G147" s="51">
        <f t="shared" si="39"/>
        <v>0</v>
      </c>
      <c r="H147" s="51">
        <f t="shared" si="40"/>
        <v>0</v>
      </c>
      <c r="I147" s="51">
        <f t="shared" si="41"/>
        <v>0</v>
      </c>
      <c r="J147" s="51">
        <f t="shared" si="42"/>
        <v>0</v>
      </c>
      <c r="K147" s="51">
        <f t="shared" si="43"/>
        <v>0</v>
      </c>
      <c r="L147" s="51">
        <f t="shared" si="44"/>
        <v>0</v>
      </c>
      <c r="M147" s="51">
        <f t="shared" si="45"/>
        <v>0</v>
      </c>
      <c r="N147" s="51">
        <f t="shared" si="46"/>
        <v>0</v>
      </c>
      <c r="O147" s="51">
        <f t="shared" si="47"/>
        <v>0</v>
      </c>
      <c r="P147" s="44">
        <f t="shared" ca="1" si="38"/>
        <v>3.3322954888442724E-2</v>
      </c>
    </row>
    <row r="148" spans="1:16" ht="40" customHeight="1" x14ac:dyDescent="0.25">
      <c r="A148" s="1">
        <v>6</v>
      </c>
      <c r="C148" s="67"/>
      <c r="D148" s="63" t="s">
        <v>149</v>
      </c>
      <c r="E148" s="49"/>
      <c r="G148" s="51">
        <f t="shared" si="39"/>
        <v>0</v>
      </c>
      <c r="H148" s="51">
        <f t="shared" si="40"/>
        <v>0</v>
      </c>
      <c r="I148" s="51">
        <f t="shared" si="41"/>
        <v>0</v>
      </c>
      <c r="J148" s="51">
        <f t="shared" si="42"/>
        <v>0</v>
      </c>
      <c r="K148" s="51">
        <f t="shared" si="43"/>
        <v>0</v>
      </c>
      <c r="L148" s="51">
        <f t="shared" si="44"/>
        <v>0</v>
      </c>
      <c r="M148" s="51">
        <f t="shared" si="45"/>
        <v>0</v>
      </c>
      <c r="N148" s="51">
        <f t="shared" si="46"/>
        <v>0</v>
      </c>
      <c r="O148" s="51">
        <f t="shared" si="47"/>
        <v>0</v>
      </c>
      <c r="P148" s="44">
        <f t="shared" ca="1" si="38"/>
        <v>0.42959082091375522</v>
      </c>
    </row>
    <row r="149" spans="1:16" ht="40" customHeight="1" x14ac:dyDescent="0.25">
      <c r="A149" s="1">
        <v>5</v>
      </c>
      <c r="C149" s="68"/>
      <c r="D149" s="62" t="s">
        <v>150</v>
      </c>
      <c r="E149" s="49"/>
      <c r="G149" s="51">
        <f t="shared" si="39"/>
        <v>0</v>
      </c>
      <c r="H149" s="51">
        <f t="shared" si="40"/>
        <v>0</v>
      </c>
      <c r="I149" s="51">
        <f t="shared" si="41"/>
        <v>0</v>
      </c>
      <c r="J149" s="51">
        <f t="shared" si="42"/>
        <v>0</v>
      </c>
      <c r="K149" s="51">
        <f t="shared" si="43"/>
        <v>0</v>
      </c>
      <c r="L149" s="51">
        <f t="shared" si="44"/>
        <v>0</v>
      </c>
      <c r="M149" s="51">
        <f t="shared" si="45"/>
        <v>0</v>
      </c>
      <c r="N149" s="51">
        <f t="shared" si="46"/>
        <v>0</v>
      </c>
      <c r="O149" s="51">
        <f t="shared" si="47"/>
        <v>0</v>
      </c>
      <c r="P149" s="44">
        <f t="shared" ca="1" si="38"/>
        <v>0.49445226392565178</v>
      </c>
    </row>
    <row r="150" spans="1:16" ht="40" customHeight="1" x14ac:dyDescent="0.25">
      <c r="A150" s="1">
        <v>8</v>
      </c>
      <c r="C150" s="66"/>
      <c r="D150" s="64" t="s">
        <v>151</v>
      </c>
      <c r="E150" s="49"/>
      <c r="G150" s="51">
        <f t="shared" si="39"/>
        <v>0</v>
      </c>
      <c r="H150" s="51">
        <f t="shared" si="40"/>
        <v>0</v>
      </c>
      <c r="I150" s="51">
        <f t="shared" si="41"/>
        <v>0</v>
      </c>
      <c r="J150" s="51">
        <f t="shared" si="42"/>
        <v>0</v>
      </c>
      <c r="K150" s="51">
        <f t="shared" si="43"/>
        <v>0</v>
      </c>
      <c r="L150" s="51">
        <f t="shared" si="44"/>
        <v>0</v>
      </c>
      <c r="M150" s="51">
        <f t="shared" si="45"/>
        <v>0</v>
      </c>
      <c r="N150" s="51">
        <f t="shared" si="46"/>
        <v>0</v>
      </c>
      <c r="O150" s="51">
        <f t="shared" si="47"/>
        <v>0</v>
      </c>
      <c r="P150" s="44">
        <f t="shared" ca="1" si="38"/>
        <v>0.72237226875244565</v>
      </c>
    </row>
    <row r="151" spans="1:16" ht="40" customHeight="1" x14ac:dyDescent="0.25">
      <c r="A151" s="1">
        <v>7</v>
      </c>
      <c r="C151" s="66"/>
      <c r="D151" s="64" t="s">
        <v>152</v>
      </c>
      <c r="E151" s="49"/>
      <c r="G151" s="51">
        <f t="shared" si="39"/>
        <v>0</v>
      </c>
      <c r="H151" s="51">
        <f t="shared" si="40"/>
        <v>0</v>
      </c>
      <c r="I151" s="51">
        <f t="shared" si="41"/>
        <v>0</v>
      </c>
      <c r="J151" s="51">
        <f t="shared" si="42"/>
        <v>0</v>
      </c>
      <c r="K151" s="51">
        <f t="shared" si="43"/>
        <v>0</v>
      </c>
      <c r="L151" s="51">
        <f t="shared" si="44"/>
        <v>0</v>
      </c>
      <c r="M151" s="51">
        <f t="shared" si="45"/>
        <v>0</v>
      </c>
      <c r="N151" s="51">
        <f t="shared" si="46"/>
        <v>0</v>
      </c>
      <c r="O151" s="51">
        <f t="shared" si="47"/>
        <v>0</v>
      </c>
      <c r="P151" s="44">
        <f t="shared" ca="1" si="38"/>
        <v>1.5582892542313154E-2</v>
      </c>
    </row>
    <row r="152" spans="1:16" ht="40" customHeight="1" x14ac:dyDescent="0.25">
      <c r="A152" s="1">
        <v>7</v>
      </c>
      <c r="C152" s="66"/>
      <c r="D152" s="64" t="s">
        <v>153</v>
      </c>
      <c r="E152" s="49"/>
      <c r="G152" s="51">
        <f t="shared" si="39"/>
        <v>0</v>
      </c>
      <c r="H152" s="51">
        <f t="shared" si="40"/>
        <v>0</v>
      </c>
      <c r="I152" s="51">
        <f t="shared" si="41"/>
        <v>0</v>
      </c>
      <c r="J152" s="51">
        <f t="shared" si="42"/>
        <v>0</v>
      </c>
      <c r="K152" s="51">
        <f t="shared" si="43"/>
        <v>0</v>
      </c>
      <c r="L152" s="51">
        <f t="shared" si="44"/>
        <v>0</v>
      </c>
      <c r="M152" s="51">
        <f t="shared" si="45"/>
        <v>0</v>
      </c>
      <c r="N152" s="51">
        <f t="shared" si="46"/>
        <v>0</v>
      </c>
      <c r="O152" s="51">
        <f t="shared" si="47"/>
        <v>0</v>
      </c>
      <c r="P152" s="44">
        <f t="shared" ca="1" si="38"/>
        <v>0.23433437823140413</v>
      </c>
    </row>
    <row r="153" spans="1:16" ht="40" customHeight="1" x14ac:dyDescent="0.25">
      <c r="A153" s="1">
        <v>4</v>
      </c>
      <c r="C153" s="66"/>
      <c r="D153" s="64" t="s">
        <v>154</v>
      </c>
      <c r="E153" s="49"/>
      <c r="G153" s="51">
        <f t="shared" si="39"/>
        <v>0</v>
      </c>
      <c r="H153" s="51">
        <f t="shared" si="40"/>
        <v>0</v>
      </c>
      <c r="I153" s="51">
        <f t="shared" si="41"/>
        <v>0</v>
      </c>
      <c r="J153" s="51">
        <f t="shared" si="42"/>
        <v>0</v>
      </c>
      <c r="K153" s="51">
        <f t="shared" si="43"/>
        <v>0</v>
      </c>
      <c r="L153" s="51">
        <f t="shared" si="44"/>
        <v>0</v>
      </c>
      <c r="M153" s="51">
        <f t="shared" si="45"/>
        <v>0</v>
      </c>
      <c r="N153" s="51">
        <f t="shared" si="46"/>
        <v>0</v>
      </c>
      <c r="O153" s="51">
        <f t="shared" si="47"/>
        <v>0</v>
      </c>
      <c r="P153" s="44">
        <f t="shared" ca="1" si="38"/>
        <v>0.41657027484427989</v>
      </c>
    </row>
    <row r="154" spans="1:16" ht="40" customHeight="1" x14ac:dyDescent="0.25">
      <c r="A154" s="1">
        <v>1</v>
      </c>
      <c r="C154" s="66"/>
      <c r="D154" s="64" t="s">
        <v>155</v>
      </c>
      <c r="E154" s="49"/>
      <c r="G154" s="51">
        <f t="shared" si="39"/>
        <v>0</v>
      </c>
      <c r="H154" s="51">
        <f t="shared" si="40"/>
        <v>0</v>
      </c>
      <c r="I154" s="51">
        <f t="shared" si="41"/>
        <v>0</v>
      </c>
      <c r="J154" s="51">
        <f t="shared" si="42"/>
        <v>0</v>
      </c>
      <c r="K154" s="51">
        <f t="shared" si="43"/>
        <v>0</v>
      </c>
      <c r="L154" s="51">
        <f t="shared" si="44"/>
        <v>0</v>
      </c>
      <c r="M154" s="51">
        <f t="shared" si="45"/>
        <v>0</v>
      </c>
      <c r="N154" s="51">
        <f t="shared" si="46"/>
        <v>0</v>
      </c>
      <c r="O154" s="51">
        <f t="shared" si="47"/>
        <v>0</v>
      </c>
      <c r="P154" s="44">
        <f t="shared" ca="1" si="38"/>
        <v>0.53820995393755322</v>
      </c>
    </row>
    <row r="155" spans="1:16" ht="40" customHeight="1" x14ac:dyDescent="0.25">
      <c r="A155" s="1">
        <v>3</v>
      </c>
      <c r="C155" s="66"/>
      <c r="D155" s="64" t="s">
        <v>156</v>
      </c>
      <c r="E155" s="49"/>
      <c r="G155" s="51">
        <f t="shared" si="39"/>
        <v>0</v>
      </c>
      <c r="H155" s="51">
        <f t="shared" si="40"/>
        <v>0</v>
      </c>
      <c r="I155" s="51">
        <f t="shared" si="41"/>
        <v>0</v>
      </c>
      <c r="J155" s="51">
        <f t="shared" si="42"/>
        <v>0</v>
      </c>
      <c r="K155" s="51">
        <f t="shared" si="43"/>
        <v>0</v>
      </c>
      <c r="L155" s="51">
        <f t="shared" si="44"/>
        <v>0</v>
      </c>
      <c r="M155" s="51">
        <f t="shared" si="45"/>
        <v>0</v>
      </c>
      <c r="N155" s="51">
        <f t="shared" si="46"/>
        <v>0</v>
      </c>
      <c r="O155" s="51">
        <f t="shared" si="47"/>
        <v>0</v>
      </c>
      <c r="P155" s="44">
        <f t="shared" ca="1" si="38"/>
        <v>0.90122715544077281</v>
      </c>
    </row>
    <row r="156" spans="1:16" ht="40" customHeight="1" x14ac:dyDescent="0.25">
      <c r="A156" s="1">
        <v>7</v>
      </c>
      <c r="C156" s="66"/>
      <c r="D156" s="64" t="s">
        <v>157</v>
      </c>
      <c r="E156" s="49"/>
      <c r="G156" s="51">
        <f t="shared" si="39"/>
        <v>0</v>
      </c>
      <c r="H156" s="51">
        <f t="shared" si="40"/>
        <v>0</v>
      </c>
      <c r="I156" s="51">
        <f t="shared" si="41"/>
        <v>0</v>
      </c>
      <c r="J156" s="51">
        <f t="shared" si="42"/>
        <v>0</v>
      </c>
      <c r="K156" s="51">
        <f t="shared" si="43"/>
        <v>0</v>
      </c>
      <c r="L156" s="51">
        <f t="shared" si="44"/>
        <v>0</v>
      </c>
      <c r="M156" s="51">
        <f t="shared" si="45"/>
        <v>0</v>
      </c>
      <c r="N156" s="51">
        <f t="shared" si="46"/>
        <v>0</v>
      </c>
      <c r="O156" s="51">
        <f t="shared" si="47"/>
        <v>0</v>
      </c>
      <c r="P156" s="44">
        <f t="shared" ca="1" si="38"/>
        <v>4.2953591822539883E-3</v>
      </c>
    </row>
    <row r="157" spans="1:16" ht="40" customHeight="1" x14ac:dyDescent="0.25">
      <c r="A157" s="1">
        <v>6</v>
      </c>
      <c r="C157" s="66"/>
      <c r="D157" s="64" t="s">
        <v>158</v>
      </c>
      <c r="E157" s="49"/>
      <c r="G157" s="51">
        <f t="shared" si="39"/>
        <v>0</v>
      </c>
      <c r="H157" s="51">
        <f t="shared" si="40"/>
        <v>0</v>
      </c>
      <c r="I157" s="51">
        <f t="shared" si="41"/>
        <v>0</v>
      </c>
      <c r="J157" s="51">
        <f t="shared" si="42"/>
        <v>0</v>
      </c>
      <c r="K157" s="51">
        <f t="shared" si="43"/>
        <v>0</v>
      </c>
      <c r="L157" s="51">
        <f t="shared" si="44"/>
        <v>0</v>
      </c>
      <c r="M157" s="51">
        <f t="shared" si="45"/>
        <v>0</v>
      </c>
      <c r="N157" s="51">
        <f t="shared" si="46"/>
        <v>0</v>
      </c>
      <c r="O157" s="51">
        <f t="shared" si="47"/>
        <v>0</v>
      </c>
      <c r="P157" s="44">
        <f t="shared" ca="1" si="38"/>
        <v>0.78137137821482072</v>
      </c>
    </row>
    <row r="158" spans="1:16" ht="40" customHeight="1" x14ac:dyDescent="0.25">
      <c r="A158" s="1">
        <v>5</v>
      </c>
      <c r="C158" s="66"/>
      <c r="D158" s="64" t="s">
        <v>159</v>
      </c>
      <c r="E158" s="49"/>
      <c r="G158" s="51">
        <f t="shared" si="39"/>
        <v>0</v>
      </c>
      <c r="H158" s="51">
        <f t="shared" si="40"/>
        <v>0</v>
      </c>
      <c r="I158" s="51">
        <f t="shared" si="41"/>
        <v>0</v>
      </c>
      <c r="J158" s="51">
        <f t="shared" si="42"/>
        <v>0</v>
      </c>
      <c r="K158" s="51">
        <f t="shared" si="43"/>
        <v>0</v>
      </c>
      <c r="L158" s="51">
        <f t="shared" si="44"/>
        <v>0</v>
      </c>
      <c r="M158" s="51">
        <f t="shared" si="45"/>
        <v>0</v>
      </c>
      <c r="N158" s="51">
        <f t="shared" si="46"/>
        <v>0</v>
      </c>
      <c r="O158" s="51">
        <f t="shared" si="47"/>
        <v>0</v>
      </c>
      <c r="P158" s="44">
        <f t="shared" ca="1" si="38"/>
        <v>1.3858749159022743E-2</v>
      </c>
    </row>
    <row r="159" spans="1:16" ht="40" customHeight="1" x14ac:dyDescent="0.25">
      <c r="A159" s="1">
        <v>7</v>
      </c>
      <c r="C159" s="66"/>
      <c r="D159" s="64" t="s">
        <v>160</v>
      </c>
      <c r="E159" s="49"/>
      <c r="G159" s="51">
        <f t="shared" si="39"/>
        <v>0</v>
      </c>
      <c r="H159" s="51">
        <f t="shared" si="40"/>
        <v>0</v>
      </c>
      <c r="I159" s="51">
        <f t="shared" si="41"/>
        <v>0</v>
      </c>
      <c r="J159" s="51">
        <f t="shared" si="42"/>
        <v>0</v>
      </c>
      <c r="K159" s="51">
        <f t="shared" si="43"/>
        <v>0</v>
      </c>
      <c r="L159" s="51">
        <f t="shared" si="44"/>
        <v>0</v>
      </c>
      <c r="M159" s="51">
        <f t="shared" si="45"/>
        <v>0</v>
      </c>
      <c r="N159" s="51">
        <f t="shared" si="46"/>
        <v>0</v>
      </c>
      <c r="O159" s="51">
        <f t="shared" si="47"/>
        <v>0</v>
      </c>
      <c r="P159" s="44">
        <f t="shared" ca="1" si="38"/>
        <v>0.47857226189777524</v>
      </c>
    </row>
    <row r="160" spans="1:16" ht="40" customHeight="1" x14ac:dyDescent="0.25">
      <c r="A160" s="1">
        <v>1</v>
      </c>
      <c r="C160" s="66"/>
      <c r="D160" s="64" t="s">
        <v>161</v>
      </c>
      <c r="E160" s="49"/>
      <c r="G160" s="51">
        <f t="shared" si="39"/>
        <v>0</v>
      </c>
      <c r="H160" s="51">
        <f t="shared" si="40"/>
        <v>0</v>
      </c>
      <c r="I160" s="51">
        <f t="shared" si="41"/>
        <v>0</v>
      </c>
      <c r="J160" s="51">
        <f t="shared" si="42"/>
        <v>0</v>
      </c>
      <c r="K160" s="51">
        <f t="shared" si="43"/>
        <v>0</v>
      </c>
      <c r="L160" s="51">
        <f t="shared" si="44"/>
        <v>0</v>
      </c>
      <c r="M160" s="51">
        <f t="shared" si="45"/>
        <v>0</v>
      </c>
      <c r="N160" s="51">
        <f t="shared" si="46"/>
        <v>0</v>
      </c>
      <c r="O160" s="51">
        <f t="shared" si="47"/>
        <v>0</v>
      </c>
      <c r="P160" s="44">
        <f t="shared" ca="1" si="38"/>
        <v>0.51072372466487503</v>
      </c>
    </row>
    <row r="161" spans="1:16" ht="40" customHeight="1" x14ac:dyDescent="0.25">
      <c r="A161" s="1">
        <v>4</v>
      </c>
      <c r="C161" s="66"/>
      <c r="D161" s="64" t="s">
        <v>162</v>
      </c>
      <c r="E161" s="49"/>
      <c r="G161" s="51">
        <f t="shared" si="39"/>
        <v>0</v>
      </c>
      <c r="H161" s="51">
        <f t="shared" si="40"/>
        <v>0</v>
      </c>
      <c r="I161" s="51">
        <f t="shared" si="41"/>
        <v>0</v>
      </c>
      <c r="J161" s="51">
        <f t="shared" si="42"/>
        <v>0</v>
      </c>
      <c r="K161" s="51">
        <f t="shared" si="43"/>
        <v>0</v>
      </c>
      <c r="L161" s="51">
        <f t="shared" si="44"/>
        <v>0</v>
      </c>
      <c r="M161" s="51">
        <f t="shared" si="45"/>
        <v>0</v>
      </c>
      <c r="N161" s="51">
        <f t="shared" si="46"/>
        <v>0</v>
      </c>
      <c r="O161" s="51">
        <f t="shared" si="47"/>
        <v>0</v>
      </c>
      <c r="P161" s="44">
        <f t="shared" ca="1" si="38"/>
        <v>0.48410760546950349</v>
      </c>
    </row>
    <row r="162" spans="1:16" ht="40" customHeight="1" x14ac:dyDescent="0.25">
      <c r="A162" s="1">
        <v>5</v>
      </c>
      <c r="C162" s="66"/>
      <c r="D162" s="64" t="s">
        <v>163</v>
      </c>
      <c r="E162" s="49"/>
      <c r="G162" s="51">
        <f t="shared" si="39"/>
        <v>0</v>
      </c>
      <c r="H162" s="51">
        <f t="shared" si="40"/>
        <v>0</v>
      </c>
      <c r="I162" s="51">
        <f t="shared" si="41"/>
        <v>0</v>
      </c>
      <c r="J162" s="51">
        <f t="shared" si="42"/>
        <v>0</v>
      </c>
      <c r="K162" s="51">
        <f t="shared" si="43"/>
        <v>0</v>
      </c>
      <c r="L162" s="51">
        <f t="shared" si="44"/>
        <v>0</v>
      </c>
      <c r="M162" s="51">
        <f t="shared" si="45"/>
        <v>0</v>
      </c>
      <c r="N162" s="51">
        <f t="shared" si="46"/>
        <v>0</v>
      </c>
      <c r="O162" s="51">
        <f t="shared" si="47"/>
        <v>0</v>
      </c>
      <c r="P162" s="44">
        <f t="shared" ca="1" si="38"/>
        <v>0.78045655889580678</v>
      </c>
    </row>
    <row r="163" spans="1:16" ht="40" customHeight="1" x14ac:dyDescent="0.25">
      <c r="A163" s="1">
        <v>4</v>
      </c>
      <c r="C163" s="66"/>
      <c r="D163" s="64" t="s">
        <v>164</v>
      </c>
      <c r="E163" s="49"/>
      <c r="G163" s="51">
        <f t="shared" si="39"/>
        <v>0</v>
      </c>
      <c r="H163" s="51">
        <f t="shared" si="40"/>
        <v>0</v>
      </c>
      <c r="I163" s="51">
        <f t="shared" si="41"/>
        <v>0</v>
      </c>
      <c r="J163" s="51">
        <f t="shared" si="42"/>
        <v>0</v>
      </c>
      <c r="K163" s="51">
        <f t="shared" si="43"/>
        <v>0</v>
      </c>
      <c r="L163" s="51">
        <f t="shared" si="44"/>
        <v>0</v>
      </c>
      <c r="M163" s="51">
        <f t="shared" si="45"/>
        <v>0</v>
      </c>
      <c r="N163" s="51">
        <f t="shared" si="46"/>
        <v>0</v>
      </c>
      <c r="O163" s="51">
        <f t="shared" si="47"/>
        <v>0</v>
      </c>
      <c r="P163" s="44">
        <f t="shared" ca="1" si="38"/>
        <v>0.43752249282087019</v>
      </c>
    </row>
    <row r="164" spans="1:16" ht="40" customHeight="1" x14ac:dyDescent="0.25">
      <c r="A164" s="1">
        <v>5</v>
      </c>
      <c r="C164" s="66"/>
      <c r="D164" s="64" t="s">
        <v>165</v>
      </c>
      <c r="E164" s="49"/>
      <c r="G164" s="51">
        <f t="shared" si="39"/>
        <v>0</v>
      </c>
      <c r="H164" s="51">
        <f t="shared" si="40"/>
        <v>0</v>
      </c>
      <c r="I164" s="51">
        <f t="shared" si="41"/>
        <v>0</v>
      </c>
      <c r="J164" s="51">
        <f t="shared" si="42"/>
        <v>0</v>
      </c>
      <c r="K164" s="51">
        <f t="shared" si="43"/>
        <v>0</v>
      </c>
      <c r="L164" s="51">
        <f t="shared" si="44"/>
        <v>0</v>
      </c>
      <c r="M164" s="51">
        <f t="shared" si="45"/>
        <v>0</v>
      </c>
      <c r="N164" s="51">
        <f t="shared" si="46"/>
        <v>0</v>
      </c>
      <c r="O164" s="51">
        <f t="shared" si="47"/>
        <v>0</v>
      </c>
      <c r="P164" s="44">
        <f t="shared" ca="1" si="38"/>
        <v>0.18578628138505626</v>
      </c>
    </row>
    <row r="165" spans="1:16" ht="40" customHeight="1" x14ac:dyDescent="0.25">
      <c r="A165" s="1">
        <v>2</v>
      </c>
      <c r="C165" s="66"/>
      <c r="D165" s="64" t="s">
        <v>166</v>
      </c>
      <c r="E165" s="49"/>
      <c r="G165" s="51">
        <f t="shared" ref="G165:G184" si="48">IF($A165=1,$C165,0)</f>
        <v>0</v>
      </c>
      <c r="H165" s="51">
        <f t="shared" ref="H165:H184" si="49">IF($A165=2,$C165,0)</f>
        <v>0</v>
      </c>
      <c r="I165" s="51">
        <f t="shared" ref="I165:I184" si="50">IF($A165=3,$C165,0)</f>
        <v>0</v>
      </c>
      <c r="J165" s="51">
        <f t="shared" ref="J165:J184" si="51">IF($A165=4,$C165,0)</f>
        <v>0</v>
      </c>
      <c r="K165" s="51">
        <f t="shared" ref="K165:K184" si="52">IF($A165=5,$C165,0)</f>
        <v>0</v>
      </c>
      <c r="L165" s="51">
        <f t="shared" ref="L165:L184" si="53">IF($A165=6,$C165,0)</f>
        <v>0</v>
      </c>
      <c r="M165" s="51">
        <f t="shared" ref="M165:M184" si="54">IF($A165=7,$C165,0)</f>
        <v>0</v>
      </c>
      <c r="N165" s="51">
        <f t="shared" ref="N165:N184" si="55">IF($A165=8,$C165,0)</f>
        <v>0</v>
      </c>
      <c r="O165" s="51">
        <f t="shared" ref="O165:O184" si="56">IF($A165=9,$C165,0)</f>
        <v>0</v>
      </c>
      <c r="P165" s="44">
        <f t="shared" ca="1" si="38"/>
        <v>0.66399238056845089</v>
      </c>
    </row>
    <row r="166" spans="1:16" ht="40" customHeight="1" x14ac:dyDescent="0.25">
      <c r="A166" s="1">
        <v>8</v>
      </c>
      <c r="C166" s="66"/>
      <c r="D166" s="64" t="s">
        <v>167</v>
      </c>
      <c r="E166" s="49"/>
      <c r="G166" s="51">
        <f t="shared" si="48"/>
        <v>0</v>
      </c>
      <c r="H166" s="51">
        <f t="shared" si="49"/>
        <v>0</v>
      </c>
      <c r="I166" s="51">
        <f t="shared" si="50"/>
        <v>0</v>
      </c>
      <c r="J166" s="51">
        <f t="shared" si="51"/>
        <v>0</v>
      </c>
      <c r="K166" s="51">
        <f t="shared" si="52"/>
        <v>0</v>
      </c>
      <c r="L166" s="51">
        <f t="shared" si="53"/>
        <v>0</v>
      </c>
      <c r="M166" s="51">
        <f t="shared" si="54"/>
        <v>0</v>
      </c>
      <c r="N166" s="51">
        <f t="shared" si="55"/>
        <v>0</v>
      </c>
      <c r="O166" s="51">
        <f t="shared" si="56"/>
        <v>0</v>
      </c>
      <c r="P166" s="44">
        <f t="shared" ca="1" si="38"/>
        <v>0.3178123223268261</v>
      </c>
    </row>
    <row r="167" spans="1:16" ht="40" customHeight="1" x14ac:dyDescent="0.25">
      <c r="A167" s="1">
        <v>3</v>
      </c>
      <c r="C167" s="66"/>
      <c r="D167" s="64" t="s">
        <v>168</v>
      </c>
      <c r="E167" s="49"/>
      <c r="G167" s="51">
        <f t="shared" si="48"/>
        <v>0</v>
      </c>
      <c r="H167" s="51">
        <f t="shared" si="49"/>
        <v>0</v>
      </c>
      <c r="I167" s="51">
        <f t="shared" si="50"/>
        <v>0</v>
      </c>
      <c r="J167" s="51">
        <f t="shared" si="51"/>
        <v>0</v>
      </c>
      <c r="K167" s="51">
        <f t="shared" si="52"/>
        <v>0</v>
      </c>
      <c r="L167" s="51">
        <f t="shared" si="53"/>
        <v>0</v>
      </c>
      <c r="M167" s="51">
        <f t="shared" si="54"/>
        <v>0</v>
      </c>
      <c r="N167" s="51">
        <f t="shared" si="55"/>
        <v>0</v>
      </c>
      <c r="O167" s="51">
        <f t="shared" si="56"/>
        <v>0</v>
      </c>
      <c r="P167" s="44">
        <f t="shared" ca="1" si="38"/>
        <v>0.98504513780174474</v>
      </c>
    </row>
    <row r="168" spans="1:16" ht="40" customHeight="1" x14ac:dyDescent="0.25">
      <c r="A168" s="1">
        <v>8</v>
      </c>
      <c r="C168" s="66"/>
      <c r="D168" s="64" t="s">
        <v>169</v>
      </c>
      <c r="E168" s="49"/>
      <c r="G168" s="51">
        <f t="shared" si="48"/>
        <v>0</v>
      </c>
      <c r="H168" s="51">
        <f t="shared" si="49"/>
        <v>0</v>
      </c>
      <c r="I168" s="51">
        <f t="shared" si="50"/>
        <v>0</v>
      </c>
      <c r="J168" s="51">
        <f t="shared" si="51"/>
        <v>0</v>
      </c>
      <c r="K168" s="51">
        <f t="shared" si="52"/>
        <v>0</v>
      </c>
      <c r="L168" s="51">
        <f t="shared" si="53"/>
        <v>0</v>
      </c>
      <c r="M168" s="51">
        <f t="shared" si="54"/>
        <v>0</v>
      </c>
      <c r="N168" s="51">
        <f t="shared" si="55"/>
        <v>0</v>
      </c>
      <c r="O168" s="51">
        <f t="shared" si="56"/>
        <v>0</v>
      </c>
      <c r="P168" s="44">
        <f t="shared" ca="1" si="38"/>
        <v>3.2153033150031374E-2</v>
      </c>
    </row>
    <row r="169" spans="1:16" ht="40" customHeight="1" x14ac:dyDescent="0.25">
      <c r="A169" s="1">
        <v>1</v>
      </c>
      <c r="C169" s="66"/>
      <c r="D169" s="64" t="s">
        <v>170</v>
      </c>
      <c r="E169" s="49"/>
      <c r="G169" s="51">
        <f t="shared" si="48"/>
        <v>0</v>
      </c>
      <c r="H169" s="51">
        <f t="shared" si="49"/>
        <v>0</v>
      </c>
      <c r="I169" s="51">
        <f t="shared" si="50"/>
        <v>0</v>
      </c>
      <c r="J169" s="51">
        <f t="shared" si="51"/>
        <v>0</v>
      </c>
      <c r="K169" s="51">
        <f t="shared" si="52"/>
        <v>0</v>
      </c>
      <c r="L169" s="51">
        <f t="shared" si="53"/>
        <v>0</v>
      </c>
      <c r="M169" s="51">
        <f t="shared" si="54"/>
        <v>0</v>
      </c>
      <c r="N169" s="51">
        <f t="shared" si="55"/>
        <v>0</v>
      </c>
      <c r="O169" s="51">
        <f t="shared" si="56"/>
        <v>0</v>
      </c>
      <c r="P169" s="44">
        <f t="shared" ca="1" si="38"/>
        <v>0.80360747577264169</v>
      </c>
    </row>
    <row r="170" spans="1:16" ht="40" customHeight="1" x14ac:dyDescent="0.25">
      <c r="A170" s="1">
        <v>6</v>
      </c>
      <c r="C170" s="66"/>
      <c r="D170" s="64" t="s">
        <v>171</v>
      </c>
      <c r="E170" s="49"/>
      <c r="G170" s="51">
        <f t="shared" si="48"/>
        <v>0</v>
      </c>
      <c r="H170" s="51">
        <f t="shared" si="49"/>
        <v>0</v>
      </c>
      <c r="I170" s="51">
        <f t="shared" si="50"/>
        <v>0</v>
      </c>
      <c r="J170" s="51">
        <f t="shared" si="51"/>
        <v>0</v>
      </c>
      <c r="K170" s="51">
        <f t="shared" si="52"/>
        <v>0</v>
      </c>
      <c r="L170" s="51">
        <f t="shared" si="53"/>
        <v>0</v>
      </c>
      <c r="M170" s="51">
        <f t="shared" si="54"/>
        <v>0</v>
      </c>
      <c r="N170" s="51">
        <f t="shared" si="55"/>
        <v>0</v>
      </c>
      <c r="O170" s="51">
        <f t="shared" si="56"/>
        <v>0</v>
      </c>
      <c r="P170" s="44">
        <f t="shared" ca="1" si="38"/>
        <v>0.79020319700878539</v>
      </c>
    </row>
    <row r="171" spans="1:16" ht="40" customHeight="1" x14ac:dyDescent="0.25">
      <c r="A171" s="1">
        <v>5</v>
      </c>
      <c r="C171" s="66"/>
      <c r="D171" s="64" t="s">
        <v>172</v>
      </c>
      <c r="E171" s="49"/>
      <c r="G171" s="51">
        <f t="shared" si="48"/>
        <v>0</v>
      </c>
      <c r="H171" s="51">
        <f t="shared" si="49"/>
        <v>0</v>
      </c>
      <c r="I171" s="51">
        <f t="shared" si="50"/>
        <v>0</v>
      </c>
      <c r="J171" s="51">
        <f t="shared" si="51"/>
        <v>0</v>
      </c>
      <c r="K171" s="51">
        <f t="shared" si="52"/>
        <v>0</v>
      </c>
      <c r="L171" s="51">
        <f t="shared" si="53"/>
        <v>0</v>
      </c>
      <c r="M171" s="51">
        <f t="shared" si="54"/>
        <v>0</v>
      </c>
      <c r="N171" s="51">
        <f t="shared" si="55"/>
        <v>0</v>
      </c>
      <c r="O171" s="51">
        <f t="shared" si="56"/>
        <v>0</v>
      </c>
      <c r="P171" s="44">
        <f t="shared" ca="1" si="38"/>
        <v>0.48088759338956655</v>
      </c>
    </row>
    <row r="172" spans="1:16" ht="40" customHeight="1" x14ac:dyDescent="0.25">
      <c r="A172" s="1">
        <v>2</v>
      </c>
      <c r="C172" s="67"/>
      <c r="D172" s="63" t="s">
        <v>173</v>
      </c>
      <c r="E172" s="49"/>
      <c r="G172" s="51">
        <f t="shared" si="48"/>
        <v>0</v>
      </c>
      <c r="H172" s="51">
        <f t="shared" si="49"/>
        <v>0</v>
      </c>
      <c r="I172" s="51">
        <f t="shared" si="50"/>
        <v>0</v>
      </c>
      <c r="J172" s="51">
        <f t="shared" si="51"/>
        <v>0</v>
      </c>
      <c r="K172" s="51">
        <f t="shared" si="52"/>
        <v>0</v>
      </c>
      <c r="L172" s="51">
        <f t="shared" si="53"/>
        <v>0</v>
      </c>
      <c r="M172" s="51">
        <f t="shared" si="54"/>
        <v>0</v>
      </c>
      <c r="N172" s="51">
        <f t="shared" si="55"/>
        <v>0</v>
      </c>
      <c r="O172" s="51">
        <f t="shared" si="56"/>
        <v>0</v>
      </c>
      <c r="P172" s="44">
        <f t="shared" ca="1" si="38"/>
        <v>0.57207941738157708</v>
      </c>
    </row>
    <row r="173" spans="1:16" ht="40" customHeight="1" x14ac:dyDescent="0.25">
      <c r="A173" s="1">
        <v>3</v>
      </c>
      <c r="C173" s="68"/>
      <c r="D173" s="62" t="s">
        <v>174</v>
      </c>
      <c r="E173" s="49"/>
      <c r="G173" s="51">
        <f t="shared" si="48"/>
        <v>0</v>
      </c>
      <c r="H173" s="51">
        <f t="shared" si="49"/>
        <v>0</v>
      </c>
      <c r="I173" s="51">
        <f t="shared" si="50"/>
        <v>0</v>
      </c>
      <c r="J173" s="51">
        <f t="shared" si="51"/>
        <v>0</v>
      </c>
      <c r="K173" s="51">
        <f t="shared" si="52"/>
        <v>0</v>
      </c>
      <c r="L173" s="51">
        <f t="shared" si="53"/>
        <v>0</v>
      </c>
      <c r="M173" s="51">
        <f t="shared" si="54"/>
        <v>0</v>
      </c>
      <c r="N173" s="51">
        <f t="shared" si="55"/>
        <v>0</v>
      </c>
      <c r="O173" s="51">
        <f t="shared" si="56"/>
        <v>0</v>
      </c>
      <c r="P173" s="44">
        <f t="shared" ca="1" si="38"/>
        <v>0.73589289582899187</v>
      </c>
    </row>
    <row r="174" spans="1:16" ht="40" customHeight="1" x14ac:dyDescent="0.25">
      <c r="A174" s="1">
        <v>1</v>
      </c>
      <c r="C174" s="66"/>
      <c r="D174" s="64" t="s">
        <v>175</v>
      </c>
      <c r="E174" s="49"/>
      <c r="G174" s="51">
        <f t="shared" si="48"/>
        <v>0</v>
      </c>
      <c r="H174" s="51">
        <f t="shared" si="49"/>
        <v>0</v>
      </c>
      <c r="I174" s="51">
        <f t="shared" si="50"/>
        <v>0</v>
      </c>
      <c r="J174" s="51">
        <f t="shared" si="51"/>
        <v>0</v>
      </c>
      <c r="K174" s="51">
        <f t="shared" si="52"/>
        <v>0</v>
      </c>
      <c r="L174" s="51">
        <f t="shared" si="53"/>
        <v>0</v>
      </c>
      <c r="M174" s="51">
        <f t="shared" si="54"/>
        <v>0</v>
      </c>
      <c r="N174" s="51">
        <f t="shared" si="55"/>
        <v>0</v>
      </c>
      <c r="O174" s="51">
        <f t="shared" si="56"/>
        <v>0</v>
      </c>
      <c r="P174" s="44">
        <f t="shared" ca="1" si="38"/>
        <v>0.68100658355778521</v>
      </c>
    </row>
    <row r="175" spans="1:16" ht="40" customHeight="1" x14ac:dyDescent="0.25">
      <c r="A175" s="1">
        <v>9</v>
      </c>
      <c r="C175" s="66"/>
      <c r="D175" s="64" t="s">
        <v>176</v>
      </c>
      <c r="E175" s="49"/>
      <c r="G175" s="51">
        <f t="shared" si="48"/>
        <v>0</v>
      </c>
      <c r="H175" s="51">
        <f t="shared" si="49"/>
        <v>0</v>
      </c>
      <c r="I175" s="51">
        <f t="shared" si="50"/>
        <v>0</v>
      </c>
      <c r="J175" s="51">
        <f t="shared" si="51"/>
        <v>0</v>
      </c>
      <c r="K175" s="51">
        <f t="shared" si="52"/>
        <v>0</v>
      </c>
      <c r="L175" s="51">
        <f t="shared" si="53"/>
        <v>0</v>
      </c>
      <c r="M175" s="51">
        <f t="shared" si="54"/>
        <v>0</v>
      </c>
      <c r="N175" s="51">
        <f t="shared" si="55"/>
        <v>0</v>
      </c>
      <c r="O175" s="51">
        <f t="shared" si="56"/>
        <v>0</v>
      </c>
      <c r="P175" s="44">
        <f t="shared" ca="1" si="38"/>
        <v>0.23089867726794522</v>
      </c>
    </row>
    <row r="176" spans="1:16" ht="40" customHeight="1" x14ac:dyDescent="0.25">
      <c r="A176" s="1">
        <v>7</v>
      </c>
      <c r="C176" s="66"/>
      <c r="D176" s="64" t="s">
        <v>177</v>
      </c>
      <c r="E176" s="49"/>
      <c r="G176" s="51">
        <f t="shared" si="48"/>
        <v>0</v>
      </c>
      <c r="H176" s="51">
        <f t="shared" si="49"/>
        <v>0</v>
      </c>
      <c r="I176" s="51">
        <f t="shared" si="50"/>
        <v>0</v>
      </c>
      <c r="J176" s="51">
        <f t="shared" si="51"/>
        <v>0</v>
      </c>
      <c r="K176" s="51">
        <f t="shared" si="52"/>
        <v>0</v>
      </c>
      <c r="L176" s="51">
        <f t="shared" si="53"/>
        <v>0</v>
      </c>
      <c r="M176" s="51">
        <f t="shared" si="54"/>
        <v>0</v>
      </c>
      <c r="N176" s="51">
        <f t="shared" si="55"/>
        <v>0</v>
      </c>
      <c r="O176" s="51">
        <f t="shared" si="56"/>
        <v>0</v>
      </c>
      <c r="P176" s="44">
        <f t="shared" ca="1" si="38"/>
        <v>0.87314883972760504</v>
      </c>
    </row>
    <row r="177" spans="1:16" ht="40" customHeight="1" x14ac:dyDescent="0.25">
      <c r="A177" s="1">
        <v>6</v>
      </c>
      <c r="C177" s="66"/>
      <c r="D177" s="64" t="s">
        <v>178</v>
      </c>
      <c r="E177" s="49"/>
      <c r="G177" s="51">
        <f t="shared" si="48"/>
        <v>0</v>
      </c>
      <c r="H177" s="51">
        <f t="shared" si="49"/>
        <v>0</v>
      </c>
      <c r="I177" s="51">
        <f t="shared" si="50"/>
        <v>0</v>
      </c>
      <c r="J177" s="51">
        <f t="shared" si="51"/>
        <v>0</v>
      </c>
      <c r="K177" s="51">
        <f t="shared" si="52"/>
        <v>0</v>
      </c>
      <c r="L177" s="51">
        <f t="shared" si="53"/>
        <v>0</v>
      </c>
      <c r="M177" s="51">
        <f t="shared" si="54"/>
        <v>0</v>
      </c>
      <c r="N177" s="51">
        <f t="shared" si="55"/>
        <v>0</v>
      </c>
      <c r="O177" s="51">
        <f t="shared" si="56"/>
        <v>0</v>
      </c>
      <c r="P177" s="44">
        <f t="shared" ca="1" si="38"/>
        <v>0.55807515365303506</v>
      </c>
    </row>
    <row r="178" spans="1:16" ht="40" customHeight="1" x14ac:dyDescent="0.25">
      <c r="A178" s="1">
        <v>3</v>
      </c>
      <c r="C178" s="66"/>
      <c r="D178" s="64" t="s">
        <v>179</v>
      </c>
      <c r="E178" s="49"/>
      <c r="G178" s="51">
        <f t="shared" si="48"/>
        <v>0</v>
      </c>
      <c r="H178" s="51">
        <f t="shared" si="49"/>
        <v>0</v>
      </c>
      <c r="I178" s="51">
        <f t="shared" si="50"/>
        <v>0</v>
      </c>
      <c r="J178" s="51">
        <f t="shared" si="51"/>
        <v>0</v>
      </c>
      <c r="K178" s="51">
        <f t="shared" si="52"/>
        <v>0</v>
      </c>
      <c r="L178" s="51">
        <f t="shared" si="53"/>
        <v>0</v>
      </c>
      <c r="M178" s="51">
        <f t="shared" si="54"/>
        <v>0</v>
      </c>
      <c r="N178" s="51">
        <f t="shared" si="55"/>
        <v>0</v>
      </c>
      <c r="O178" s="51">
        <f t="shared" si="56"/>
        <v>0</v>
      </c>
      <c r="P178" s="44">
        <f t="shared" ca="1" si="38"/>
        <v>0.46881189616495411</v>
      </c>
    </row>
    <row r="179" spans="1:16" ht="40" customHeight="1" x14ac:dyDescent="0.25">
      <c r="A179" s="1">
        <v>5</v>
      </c>
      <c r="C179" s="66"/>
      <c r="D179" s="64" t="s">
        <v>180</v>
      </c>
      <c r="E179" s="49"/>
      <c r="G179" s="51">
        <f t="shared" si="48"/>
        <v>0</v>
      </c>
      <c r="H179" s="51">
        <f t="shared" si="49"/>
        <v>0</v>
      </c>
      <c r="I179" s="51">
        <f t="shared" si="50"/>
        <v>0</v>
      </c>
      <c r="J179" s="51">
        <f t="shared" si="51"/>
        <v>0</v>
      </c>
      <c r="K179" s="51">
        <f t="shared" si="52"/>
        <v>0</v>
      </c>
      <c r="L179" s="51">
        <f t="shared" si="53"/>
        <v>0</v>
      </c>
      <c r="M179" s="51">
        <f t="shared" si="54"/>
        <v>0</v>
      </c>
      <c r="N179" s="51">
        <f t="shared" si="55"/>
        <v>0</v>
      </c>
      <c r="O179" s="51">
        <f t="shared" si="56"/>
        <v>0</v>
      </c>
      <c r="P179" s="44">
        <f t="shared" ca="1" si="38"/>
        <v>0.84777070108826169</v>
      </c>
    </row>
    <row r="180" spans="1:16" ht="40" customHeight="1" x14ac:dyDescent="0.25">
      <c r="A180" s="1">
        <v>7</v>
      </c>
      <c r="C180" s="66"/>
      <c r="D180" s="64" t="s">
        <v>181</v>
      </c>
      <c r="E180" s="49"/>
      <c r="G180" s="51">
        <f t="shared" si="48"/>
        <v>0</v>
      </c>
      <c r="H180" s="51">
        <f t="shared" si="49"/>
        <v>0</v>
      </c>
      <c r="I180" s="51">
        <f t="shared" si="50"/>
        <v>0</v>
      </c>
      <c r="J180" s="51">
        <f t="shared" si="51"/>
        <v>0</v>
      </c>
      <c r="K180" s="51">
        <f t="shared" si="52"/>
        <v>0</v>
      </c>
      <c r="L180" s="51">
        <f t="shared" si="53"/>
        <v>0</v>
      </c>
      <c r="M180" s="51">
        <f t="shared" si="54"/>
        <v>0</v>
      </c>
      <c r="N180" s="51">
        <f t="shared" si="55"/>
        <v>0</v>
      </c>
      <c r="O180" s="51">
        <f t="shared" si="56"/>
        <v>0</v>
      </c>
      <c r="P180" s="44">
        <f t="shared" ca="1" si="38"/>
        <v>8.8239688954347306E-2</v>
      </c>
    </row>
    <row r="181" spans="1:16" ht="40" customHeight="1" x14ac:dyDescent="0.25">
      <c r="A181" s="1">
        <v>9</v>
      </c>
      <c r="C181" s="66"/>
      <c r="D181" s="64" t="s">
        <v>182</v>
      </c>
      <c r="E181" s="49"/>
      <c r="G181" s="51">
        <f t="shared" si="48"/>
        <v>0</v>
      </c>
      <c r="H181" s="51">
        <f t="shared" si="49"/>
        <v>0</v>
      </c>
      <c r="I181" s="51">
        <f t="shared" si="50"/>
        <v>0</v>
      </c>
      <c r="J181" s="51">
        <f t="shared" si="51"/>
        <v>0</v>
      </c>
      <c r="K181" s="51">
        <f t="shared" si="52"/>
        <v>0</v>
      </c>
      <c r="L181" s="51">
        <f t="shared" si="53"/>
        <v>0</v>
      </c>
      <c r="M181" s="51">
        <f t="shared" si="54"/>
        <v>0</v>
      </c>
      <c r="N181" s="51">
        <f t="shared" si="55"/>
        <v>0</v>
      </c>
      <c r="O181" s="51">
        <f t="shared" si="56"/>
        <v>0</v>
      </c>
      <c r="P181" s="44">
        <f t="shared" ca="1" si="38"/>
        <v>0.73930020692632026</v>
      </c>
    </row>
    <row r="182" spans="1:16" ht="40" customHeight="1" x14ac:dyDescent="0.25">
      <c r="A182" s="1">
        <v>4</v>
      </c>
      <c r="C182" s="66"/>
      <c r="D182" s="64" t="s">
        <v>183</v>
      </c>
      <c r="E182" s="49"/>
      <c r="G182" s="51">
        <f t="shared" si="48"/>
        <v>0</v>
      </c>
      <c r="H182" s="51">
        <f t="shared" si="49"/>
        <v>0</v>
      </c>
      <c r="I182" s="51">
        <f t="shared" si="50"/>
        <v>0</v>
      </c>
      <c r="J182" s="51">
        <f t="shared" si="51"/>
        <v>0</v>
      </c>
      <c r="K182" s="51">
        <f t="shared" si="52"/>
        <v>0</v>
      </c>
      <c r="L182" s="51">
        <f t="shared" si="53"/>
        <v>0</v>
      </c>
      <c r="M182" s="51">
        <f t="shared" si="54"/>
        <v>0</v>
      </c>
      <c r="N182" s="51">
        <f t="shared" si="55"/>
        <v>0</v>
      </c>
      <c r="O182" s="51">
        <f t="shared" si="56"/>
        <v>0</v>
      </c>
      <c r="P182" s="44">
        <f t="shared" ca="1" si="38"/>
        <v>0.74874292202834891</v>
      </c>
    </row>
    <row r="183" spans="1:16" ht="40" customHeight="1" x14ac:dyDescent="0.25">
      <c r="A183" s="1">
        <v>8</v>
      </c>
      <c r="C183" s="66"/>
      <c r="D183" s="64" t="s">
        <v>184</v>
      </c>
      <c r="E183" s="49"/>
      <c r="G183" s="51">
        <f t="shared" si="48"/>
        <v>0</v>
      </c>
      <c r="H183" s="51">
        <f t="shared" si="49"/>
        <v>0</v>
      </c>
      <c r="I183" s="51">
        <f t="shared" si="50"/>
        <v>0</v>
      </c>
      <c r="J183" s="51">
        <f t="shared" si="51"/>
        <v>0</v>
      </c>
      <c r="K183" s="51">
        <f t="shared" si="52"/>
        <v>0</v>
      </c>
      <c r="L183" s="51">
        <f t="shared" si="53"/>
        <v>0</v>
      </c>
      <c r="M183" s="51">
        <f t="shared" si="54"/>
        <v>0</v>
      </c>
      <c r="N183" s="51">
        <f t="shared" si="55"/>
        <v>0</v>
      </c>
      <c r="O183" s="51">
        <f t="shared" si="56"/>
        <v>0</v>
      </c>
      <c r="P183" s="44">
        <f t="shared" ca="1" si="38"/>
        <v>8.8615229633313142E-2</v>
      </c>
    </row>
    <row r="184" spans="1:16" ht="40" customHeight="1" x14ac:dyDescent="0.25">
      <c r="A184" s="1">
        <v>7</v>
      </c>
      <c r="C184" s="67"/>
      <c r="D184" s="63" t="s">
        <v>185</v>
      </c>
      <c r="E184" s="49"/>
      <c r="G184" s="51">
        <f t="shared" si="48"/>
        <v>0</v>
      </c>
      <c r="H184" s="51">
        <f t="shared" si="49"/>
        <v>0</v>
      </c>
      <c r="I184" s="51">
        <f t="shared" si="50"/>
        <v>0</v>
      </c>
      <c r="J184" s="51">
        <f t="shared" si="51"/>
        <v>0</v>
      </c>
      <c r="K184" s="51">
        <f t="shared" si="52"/>
        <v>0</v>
      </c>
      <c r="L184" s="51">
        <f t="shared" si="53"/>
        <v>0</v>
      </c>
      <c r="M184" s="51">
        <f t="shared" si="54"/>
        <v>0</v>
      </c>
      <c r="N184" s="51">
        <f t="shared" si="55"/>
        <v>0</v>
      </c>
      <c r="O184" s="51">
        <f t="shared" si="56"/>
        <v>0</v>
      </c>
      <c r="P184" s="44">
        <f t="shared" ca="1" si="38"/>
        <v>0.56796668759217461</v>
      </c>
    </row>
    <row r="185" spans="1:16" ht="40" customHeight="1" x14ac:dyDescent="0.25">
      <c r="C185" s="6"/>
      <c r="D185" s="11"/>
      <c r="E185" s="49"/>
      <c r="G185" s="53"/>
      <c r="H185" s="53"/>
      <c r="I185" s="53"/>
      <c r="J185" s="53"/>
      <c r="K185" s="53"/>
      <c r="L185" s="53"/>
      <c r="M185" s="53"/>
      <c r="N185" s="53"/>
      <c r="O185" s="53"/>
    </row>
    <row r="186" spans="1:16" ht="40" customHeight="1" x14ac:dyDescent="0.25">
      <c r="C186" s="6"/>
      <c r="D186" s="7"/>
      <c r="E186" s="49"/>
      <c r="G186" s="54">
        <f t="shared" ref="G186:O186" si="57">SUM(G5:G184)</f>
        <v>0</v>
      </c>
      <c r="H186" s="54">
        <f t="shared" si="57"/>
        <v>0</v>
      </c>
      <c r="I186" s="54">
        <f t="shared" si="57"/>
        <v>0</v>
      </c>
      <c r="J186" s="54">
        <f t="shared" si="57"/>
        <v>0</v>
      </c>
      <c r="K186" s="54">
        <f t="shared" si="57"/>
        <v>0</v>
      </c>
      <c r="L186" s="54">
        <f t="shared" si="57"/>
        <v>0</v>
      </c>
      <c r="M186" s="54">
        <f t="shared" si="57"/>
        <v>0</v>
      </c>
      <c r="N186" s="54">
        <f t="shared" si="57"/>
        <v>0</v>
      </c>
      <c r="O186" s="54">
        <f t="shared" si="57"/>
        <v>0</v>
      </c>
    </row>
    <row r="187" spans="1:16" ht="40" customHeight="1" x14ac:dyDescent="0.25">
      <c r="A187" s="5"/>
      <c r="C187" s="6"/>
      <c r="D187" s="7"/>
    </row>
    <row r="188" spans="1:16" ht="40" customHeight="1" x14ac:dyDescent="0.25">
      <c r="A188" s="5"/>
      <c r="C188" s="6"/>
      <c r="D188" s="7"/>
    </row>
    <row r="189" spans="1:16" ht="40" customHeight="1" x14ac:dyDescent="0.25">
      <c r="A189" s="5"/>
      <c r="C189" s="6"/>
      <c r="D189" s="7"/>
    </row>
    <row r="190" spans="1:16" ht="40" customHeight="1" x14ac:dyDescent="0.25">
      <c r="A190" s="5"/>
      <c r="C190" s="6"/>
      <c r="D190" s="7"/>
    </row>
    <row r="191" spans="1:16" ht="40" customHeight="1" x14ac:dyDescent="0.25">
      <c r="A191" s="5"/>
      <c r="C191" s="6"/>
      <c r="D191" s="7"/>
    </row>
    <row r="192" spans="1:16" ht="40" customHeight="1" x14ac:dyDescent="0.25">
      <c r="A192" s="5"/>
      <c r="C192" s="6"/>
      <c r="D192" s="7"/>
    </row>
    <row r="193" spans="1:4" ht="40" customHeight="1" x14ac:dyDescent="0.25">
      <c r="A193" s="5"/>
      <c r="C193" s="6"/>
      <c r="D193" s="7"/>
    </row>
    <row r="194" spans="1:4" ht="40" customHeight="1" x14ac:dyDescent="0.25">
      <c r="A194" s="5"/>
      <c r="C194" s="6"/>
      <c r="D194" s="7"/>
    </row>
    <row r="195" spans="1:4" ht="40" customHeight="1" x14ac:dyDescent="0.25">
      <c r="A195" s="5"/>
      <c r="C195" s="6"/>
      <c r="D195" s="7"/>
    </row>
    <row r="196" spans="1:4" ht="40" customHeight="1" x14ac:dyDescent="0.25">
      <c r="A196" s="5"/>
      <c r="C196" s="6"/>
      <c r="D196" s="7"/>
    </row>
    <row r="197" spans="1:4" ht="40" customHeight="1" x14ac:dyDescent="0.25">
      <c r="A197" s="5"/>
      <c r="C197" s="6"/>
      <c r="D197" s="7"/>
    </row>
    <row r="198" spans="1:4" ht="40" customHeight="1" x14ac:dyDescent="0.25">
      <c r="A198" s="5"/>
      <c r="C198" s="6"/>
      <c r="D198" s="7"/>
    </row>
    <row r="199" spans="1:4" ht="40" customHeight="1" x14ac:dyDescent="0.25">
      <c r="A199" s="5"/>
      <c r="C199" s="6"/>
      <c r="D199" s="7"/>
    </row>
    <row r="200" spans="1:4" ht="40" customHeight="1" x14ac:dyDescent="0.25">
      <c r="A200" s="5"/>
      <c r="C200" s="6"/>
      <c r="D200" s="7"/>
    </row>
    <row r="201" spans="1:4" ht="40" customHeight="1" x14ac:dyDescent="0.25">
      <c r="A201" s="5"/>
      <c r="C201" s="6"/>
      <c r="D201" s="7"/>
    </row>
    <row r="202" spans="1:4" ht="40" customHeight="1" x14ac:dyDescent="0.25">
      <c r="A202" s="5"/>
      <c r="C202" s="6"/>
      <c r="D202" s="7"/>
    </row>
    <row r="203" spans="1:4" ht="40" customHeight="1" x14ac:dyDescent="0.25">
      <c r="A203" s="5"/>
      <c r="C203" s="6"/>
      <c r="D203" s="7"/>
    </row>
    <row r="204" spans="1:4" ht="40" customHeight="1" x14ac:dyDescent="0.25">
      <c r="A204" s="5"/>
      <c r="C204" s="6"/>
      <c r="D204" s="7"/>
    </row>
    <row r="205" spans="1:4" ht="40" customHeight="1" x14ac:dyDescent="0.25">
      <c r="A205" s="5"/>
      <c r="C205" s="6"/>
      <c r="D205" s="7"/>
    </row>
    <row r="206" spans="1:4" ht="40" customHeight="1" x14ac:dyDescent="0.25">
      <c r="A206" s="5"/>
      <c r="C206" s="6"/>
      <c r="D206" s="7"/>
    </row>
    <row r="207" spans="1:4" ht="40" customHeight="1" x14ac:dyDescent="0.25">
      <c r="A207" s="5"/>
      <c r="C207" s="6"/>
      <c r="D207" s="7"/>
    </row>
    <row r="208" spans="1:4" ht="40" customHeight="1" x14ac:dyDescent="0.25">
      <c r="A208" s="5"/>
      <c r="C208" s="6"/>
      <c r="D208" s="7"/>
    </row>
    <row r="209" spans="1:4" ht="40" customHeight="1" x14ac:dyDescent="0.25">
      <c r="A209" s="5"/>
      <c r="C209" s="6"/>
      <c r="D209" s="7"/>
    </row>
    <row r="210" spans="1:4" ht="40" customHeight="1" x14ac:dyDescent="0.25">
      <c r="A210" s="5"/>
      <c r="C210" s="6"/>
      <c r="D210" s="7"/>
    </row>
    <row r="211" spans="1:4" ht="40" customHeight="1" x14ac:dyDescent="0.25">
      <c r="A211" s="5"/>
      <c r="C211" s="6"/>
      <c r="D211" s="7"/>
    </row>
    <row r="212" spans="1:4" ht="40" customHeight="1" x14ac:dyDescent="0.25">
      <c r="A212" s="5"/>
      <c r="C212" s="6"/>
      <c r="D212" s="7"/>
    </row>
    <row r="213" spans="1:4" ht="40" customHeight="1" x14ac:dyDescent="0.25">
      <c r="A213" s="5"/>
      <c r="C213" s="6"/>
      <c r="D213" s="7"/>
    </row>
    <row r="214" spans="1:4" ht="40" customHeight="1" x14ac:dyDescent="0.25">
      <c r="A214" s="5"/>
      <c r="C214" s="6"/>
      <c r="D214" s="7"/>
    </row>
    <row r="215" spans="1:4" ht="40" customHeight="1" x14ac:dyDescent="0.25">
      <c r="A215" s="5"/>
      <c r="C215" s="6"/>
      <c r="D215" s="7"/>
    </row>
    <row r="216" spans="1:4" ht="40" customHeight="1" x14ac:dyDescent="0.25">
      <c r="A216" s="5"/>
      <c r="C216" s="6"/>
      <c r="D216" s="7"/>
    </row>
    <row r="217" spans="1:4" ht="40" customHeight="1" x14ac:dyDescent="0.25">
      <c r="A217" s="5"/>
      <c r="C217" s="6"/>
      <c r="D217" s="7"/>
    </row>
    <row r="218" spans="1:4" ht="40" customHeight="1" x14ac:dyDescent="0.25">
      <c r="A218" s="5"/>
      <c r="C218" s="6"/>
      <c r="D218" s="7"/>
    </row>
    <row r="219" spans="1:4" ht="40" customHeight="1" x14ac:dyDescent="0.25">
      <c r="A219" s="5"/>
      <c r="C219" s="6"/>
      <c r="D219" s="7"/>
    </row>
    <row r="220" spans="1:4" ht="40" customHeight="1" x14ac:dyDescent="0.25">
      <c r="A220" s="5"/>
      <c r="C220" s="6"/>
      <c r="D220" s="7"/>
    </row>
    <row r="221" spans="1:4" ht="40" customHeight="1" x14ac:dyDescent="0.25">
      <c r="A221" s="5"/>
      <c r="C221" s="6"/>
      <c r="D221" s="7"/>
    </row>
    <row r="222" spans="1:4" ht="40" customHeight="1" x14ac:dyDescent="0.25">
      <c r="A222" s="5"/>
      <c r="C222" s="6"/>
      <c r="D222" s="7"/>
    </row>
    <row r="223" spans="1:4" ht="40" customHeight="1" x14ac:dyDescent="0.25">
      <c r="A223" s="5"/>
      <c r="C223" s="6"/>
      <c r="D223" s="7"/>
    </row>
    <row r="224" spans="1:4" ht="40" customHeight="1" x14ac:dyDescent="0.25">
      <c r="A224" s="5"/>
      <c r="C224" s="6"/>
      <c r="D224" s="7"/>
    </row>
    <row r="225" spans="1:4" ht="40" customHeight="1" x14ac:dyDescent="0.25">
      <c r="A225" s="5"/>
      <c r="C225" s="6"/>
      <c r="D225" s="7"/>
    </row>
    <row r="226" spans="1:4" ht="40" customHeight="1" x14ac:dyDescent="0.25">
      <c r="A226" s="5"/>
      <c r="C226" s="6"/>
      <c r="D226" s="7"/>
    </row>
    <row r="227" spans="1:4" ht="40" customHeight="1" x14ac:dyDescent="0.25">
      <c r="A227" s="5"/>
      <c r="C227" s="6"/>
      <c r="D227" s="7"/>
    </row>
    <row r="228" spans="1:4" ht="40" customHeight="1" x14ac:dyDescent="0.25">
      <c r="A228" s="5"/>
      <c r="C228" s="6"/>
      <c r="D228" s="7"/>
    </row>
    <row r="229" spans="1:4" ht="40" customHeight="1" x14ac:dyDescent="0.25">
      <c r="A229" s="5"/>
      <c r="C229" s="6"/>
      <c r="D229" s="7"/>
    </row>
    <row r="230" spans="1:4" ht="40" customHeight="1" x14ac:dyDescent="0.25">
      <c r="A230" s="5"/>
      <c r="C230" s="6"/>
      <c r="D230" s="7"/>
    </row>
    <row r="231" spans="1:4" ht="40" customHeight="1" x14ac:dyDescent="0.25">
      <c r="A231" s="5"/>
      <c r="C231" s="6"/>
      <c r="D231" s="7"/>
    </row>
    <row r="232" spans="1:4" ht="40" customHeight="1" x14ac:dyDescent="0.25">
      <c r="A232" s="5"/>
      <c r="C232" s="6"/>
      <c r="D232" s="7"/>
    </row>
    <row r="233" spans="1:4" ht="40" customHeight="1" x14ac:dyDescent="0.25">
      <c r="A233" s="5"/>
      <c r="C233" s="6"/>
      <c r="D233" s="7"/>
    </row>
    <row r="234" spans="1:4" ht="40" customHeight="1" x14ac:dyDescent="0.25">
      <c r="A234" s="5"/>
      <c r="C234" s="6"/>
      <c r="D234" s="7"/>
    </row>
    <row r="235" spans="1:4" ht="40" customHeight="1" x14ac:dyDescent="0.25">
      <c r="A235" s="5"/>
      <c r="C235" s="6"/>
      <c r="D235" s="7"/>
    </row>
    <row r="236" spans="1:4" ht="40" customHeight="1" x14ac:dyDescent="0.25">
      <c r="A236" s="5"/>
      <c r="C236" s="6"/>
      <c r="D236" s="7"/>
    </row>
    <row r="237" spans="1:4" ht="40" customHeight="1" x14ac:dyDescent="0.25">
      <c r="A237" s="5"/>
      <c r="C237" s="6"/>
      <c r="D237" s="7"/>
    </row>
    <row r="238" spans="1:4" ht="40" customHeight="1" x14ac:dyDescent="0.25">
      <c r="A238" s="5"/>
      <c r="C238" s="6"/>
      <c r="D238" s="7"/>
    </row>
    <row r="239" spans="1:4" ht="40" customHeight="1" x14ac:dyDescent="0.25">
      <c r="A239" s="5"/>
      <c r="C239" s="6"/>
      <c r="D239" s="7"/>
    </row>
    <row r="240" spans="1:4" ht="40" customHeight="1" x14ac:dyDescent="0.25">
      <c r="A240" s="5"/>
      <c r="C240" s="6"/>
      <c r="D240" s="7"/>
    </row>
    <row r="241" spans="1:4" ht="40" customHeight="1" x14ac:dyDescent="0.25">
      <c r="A241" s="5"/>
      <c r="C241" s="6"/>
      <c r="D241" s="7"/>
    </row>
    <row r="242" spans="1:4" ht="40" customHeight="1" x14ac:dyDescent="0.25">
      <c r="A242" s="5"/>
      <c r="C242" s="6"/>
      <c r="D242" s="7"/>
    </row>
    <row r="243" spans="1:4" ht="40" customHeight="1" x14ac:dyDescent="0.25">
      <c r="A243" s="5"/>
      <c r="C243" s="6"/>
      <c r="D243" s="7"/>
    </row>
    <row r="244" spans="1:4" ht="40" customHeight="1" x14ac:dyDescent="0.25">
      <c r="A244" s="5"/>
      <c r="C244" s="6"/>
      <c r="D244" s="7"/>
    </row>
    <row r="245" spans="1:4" ht="40" customHeight="1" x14ac:dyDescent="0.25">
      <c r="A245" s="5"/>
      <c r="C245" s="6"/>
      <c r="D245" s="7"/>
    </row>
    <row r="246" spans="1:4" ht="40" customHeight="1" x14ac:dyDescent="0.25">
      <c r="A246" s="5"/>
      <c r="C246" s="6"/>
      <c r="D246" s="7"/>
    </row>
    <row r="247" spans="1:4" ht="40" customHeight="1" x14ac:dyDescent="0.25">
      <c r="A247" s="5"/>
      <c r="C247" s="6"/>
      <c r="D247" s="7"/>
    </row>
    <row r="248" spans="1:4" ht="40" customHeight="1" x14ac:dyDescent="0.25">
      <c r="A248" s="5"/>
      <c r="C248" s="6"/>
      <c r="D248" s="7"/>
    </row>
    <row r="249" spans="1:4" ht="40" customHeight="1" x14ac:dyDescent="0.25">
      <c r="A249" s="5"/>
      <c r="C249" s="6"/>
      <c r="D249" s="7"/>
    </row>
    <row r="250" spans="1:4" ht="40" customHeight="1" x14ac:dyDescent="0.25">
      <c r="A250" s="5"/>
      <c r="C250" s="6"/>
      <c r="D250" s="7"/>
    </row>
    <row r="251" spans="1:4" ht="40" customHeight="1" x14ac:dyDescent="0.25">
      <c r="A251" s="5"/>
      <c r="C251" s="6"/>
      <c r="D251" s="7"/>
    </row>
    <row r="252" spans="1:4" ht="40" customHeight="1" x14ac:dyDescent="0.25">
      <c r="A252" s="5"/>
      <c r="C252" s="6"/>
      <c r="D252" s="7"/>
    </row>
    <row r="253" spans="1:4" ht="40" customHeight="1" x14ac:dyDescent="0.25">
      <c r="A253" s="5"/>
      <c r="C253" s="6"/>
      <c r="D253" s="7"/>
    </row>
    <row r="254" spans="1:4" ht="40" customHeight="1" x14ac:dyDescent="0.25">
      <c r="A254" s="5"/>
      <c r="C254" s="6"/>
      <c r="D254" s="7"/>
    </row>
    <row r="255" spans="1:4" ht="40" customHeight="1" x14ac:dyDescent="0.25">
      <c r="A255" s="5"/>
      <c r="C255" s="6"/>
      <c r="D255" s="7"/>
    </row>
    <row r="256" spans="1:4" ht="40" customHeight="1" x14ac:dyDescent="0.25">
      <c r="A256" s="5"/>
      <c r="C256" s="6"/>
      <c r="D256" s="7"/>
    </row>
    <row r="257" spans="1:4" ht="40" customHeight="1" x14ac:dyDescent="0.25">
      <c r="A257" s="5"/>
      <c r="C257" s="6"/>
      <c r="D257" s="7"/>
    </row>
    <row r="258" spans="1:4" ht="40" customHeight="1" x14ac:dyDescent="0.25">
      <c r="A258" s="5"/>
      <c r="C258" s="6"/>
      <c r="D258" s="7"/>
    </row>
    <row r="259" spans="1:4" ht="40" customHeight="1" x14ac:dyDescent="0.25">
      <c r="A259" s="5"/>
      <c r="C259" s="6"/>
      <c r="D259" s="7"/>
    </row>
    <row r="260" spans="1:4" ht="40" customHeight="1" x14ac:dyDescent="0.25">
      <c r="A260" s="5"/>
      <c r="C260" s="6"/>
      <c r="D260" s="7"/>
    </row>
    <row r="261" spans="1:4" ht="40" customHeight="1" x14ac:dyDescent="0.25">
      <c r="A261" s="5"/>
      <c r="C261" s="6"/>
      <c r="D261" s="7"/>
    </row>
    <row r="262" spans="1:4" ht="40" customHeight="1" x14ac:dyDescent="0.25">
      <c r="A262" s="5"/>
      <c r="C262" s="6"/>
      <c r="D262" s="7"/>
    </row>
    <row r="263" spans="1:4" ht="40" customHeight="1" x14ac:dyDescent="0.25">
      <c r="A263" s="5"/>
      <c r="C263" s="6"/>
      <c r="D263" s="7"/>
    </row>
    <row r="264" spans="1:4" ht="40" customHeight="1" x14ac:dyDescent="0.25">
      <c r="A264" s="5"/>
      <c r="C264" s="6"/>
      <c r="D264" s="7"/>
    </row>
    <row r="265" spans="1:4" ht="40" customHeight="1" x14ac:dyDescent="0.25">
      <c r="A265" s="5"/>
      <c r="C265" s="6"/>
      <c r="D265" s="7"/>
    </row>
    <row r="266" spans="1:4" ht="40" customHeight="1" x14ac:dyDescent="0.25">
      <c r="A266" s="5"/>
      <c r="C266" s="6"/>
      <c r="D266" s="7"/>
    </row>
    <row r="267" spans="1:4" ht="40" customHeight="1" x14ac:dyDescent="0.25">
      <c r="A267" s="5"/>
      <c r="C267" s="6"/>
      <c r="D267" s="7"/>
    </row>
    <row r="268" spans="1:4" ht="40" customHeight="1" x14ac:dyDescent="0.25">
      <c r="A268" s="5"/>
      <c r="C268" s="8"/>
      <c r="D268" s="7"/>
    </row>
    <row r="269" spans="1:4" ht="40" customHeight="1" x14ac:dyDescent="0.25">
      <c r="A269" s="5"/>
      <c r="C269" s="8"/>
      <c r="D269" s="7"/>
    </row>
    <row r="270" spans="1:4" ht="40" customHeight="1" x14ac:dyDescent="0.25">
      <c r="A270" s="5"/>
      <c r="C270" s="8"/>
      <c r="D270" s="7"/>
    </row>
    <row r="271" spans="1:4" ht="40" customHeight="1" x14ac:dyDescent="0.25">
      <c r="A271" s="5"/>
      <c r="C271" s="8"/>
      <c r="D271" s="7"/>
    </row>
    <row r="272" spans="1:4" ht="40" customHeight="1" x14ac:dyDescent="0.25">
      <c r="A272" s="5"/>
      <c r="C272" s="8"/>
      <c r="D272" s="7"/>
    </row>
    <row r="273" spans="1:4" ht="40" customHeight="1" x14ac:dyDescent="0.25">
      <c r="A273" s="5"/>
      <c r="C273" s="8"/>
      <c r="D273" s="7"/>
    </row>
    <row r="274" spans="1:4" ht="40" customHeight="1" x14ac:dyDescent="0.25">
      <c r="A274" s="5"/>
      <c r="C274" s="8"/>
      <c r="D274" s="7"/>
    </row>
    <row r="275" spans="1:4" ht="40" customHeight="1" x14ac:dyDescent="0.25">
      <c r="A275" s="5"/>
      <c r="C275" s="8"/>
      <c r="D275" s="7"/>
    </row>
    <row r="276" spans="1:4" ht="40" customHeight="1" x14ac:dyDescent="0.25">
      <c r="A276" s="5"/>
      <c r="C276" s="8"/>
      <c r="D276" s="7"/>
    </row>
    <row r="277" spans="1:4" ht="40" customHeight="1" x14ac:dyDescent="0.25">
      <c r="A277" s="5"/>
      <c r="C277" s="8"/>
      <c r="D277" s="7"/>
    </row>
    <row r="278" spans="1:4" ht="40" customHeight="1" x14ac:dyDescent="0.25">
      <c r="A278" s="5"/>
      <c r="C278" s="8"/>
      <c r="D278" s="7"/>
    </row>
    <row r="279" spans="1:4" ht="40" customHeight="1" x14ac:dyDescent="0.25">
      <c r="A279" s="5"/>
      <c r="C279" s="8"/>
      <c r="D279" s="7"/>
    </row>
    <row r="280" spans="1:4" ht="40" customHeight="1" x14ac:dyDescent="0.25">
      <c r="A280" s="5"/>
      <c r="C280" s="8"/>
      <c r="D280" s="7"/>
    </row>
    <row r="281" spans="1:4" ht="40" customHeight="1" x14ac:dyDescent="0.25">
      <c r="A281" s="5"/>
      <c r="C281" s="8"/>
      <c r="D281" s="7"/>
    </row>
    <row r="282" spans="1:4" ht="40" customHeight="1" x14ac:dyDescent="0.25">
      <c r="A282" s="5"/>
      <c r="C282" s="8"/>
      <c r="D282" s="7"/>
    </row>
    <row r="283" spans="1:4" ht="40" customHeight="1" x14ac:dyDescent="0.25">
      <c r="A283" s="5"/>
      <c r="C283" s="8"/>
      <c r="D283" s="7"/>
    </row>
    <row r="284" spans="1:4" ht="40" customHeight="1" x14ac:dyDescent="0.25">
      <c r="A284" s="5"/>
      <c r="C284" s="8"/>
      <c r="D284" s="7"/>
    </row>
    <row r="285" spans="1:4" ht="40" customHeight="1" x14ac:dyDescent="0.25">
      <c r="A285" s="5"/>
      <c r="C285" s="8"/>
      <c r="D285" s="7"/>
    </row>
    <row r="286" spans="1:4" ht="40" customHeight="1" x14ac:dyDescent="0.25">
      <c r="A286" s="5"/>
      <c r="C286" s="8"/>
      <c r="D286" s="7"/>
    </row>
    <row r="287" spans="1:4" ht="40" customHeight="1" x14ac:dyDescent="0.25">
      <c r="A287" s="5"/>
      <c r="C287" s="8"/>
      <c r="D287" s="7"/>
    </row>
    <row r="288" spans="1:4" ht="40" customHeight="1" x14ac:dyDescent="0.25">
      <c r="A288" s="5"/>
      <c r="C288" s="8"/>
      <c r="D288" s="7"/>
    </row>
    <row r="289" spans="1:4" ht="40" customHeight="1" x14ac:dyDescent="0.25">
      <c r="A289" s="5"/>
      <c r="C289" s="8"/>
      <c r="D289" s="7"/>
    </row>
    <row r="290" spans="1:4" ht="40" customHeight="1" x14ac:dyDescent="0.25">
      <c r="A290" s="5"/>
      <c r="C290" s="8"/>
      <c r="D290" s="7"/>
    </row>
    <row r="291" spans="1:4" ht="40" customHeight="1" x14ac:dyDescent="0.25">
      <c r="A291" s="5"/>
      <c r="C291" s="8"/>
      <c r="D291" s="7"/>
    </row>
    <row r="292" spans="1:4" ht="40" customHeight="1" x14ac:dyDescent="0.25">
      <c r="A292" s="5"/>
      <c r="C292" s="8"/>
      <c r="D292" s="7"/>
    </row>
    <row r="293" spans="1:4" ht="40" customHeight="1" x14ac:dyDescent="0.25">
      <c r="A293" s="5"/>
      <c r="C293" s="8"/>
      <c r="D293" s="7"/>
    </row>
    <row r="294" spans="1:4" ht="40" customHeight="1" x14ac:dyDescent="0.25">
      <c r="A294" s="5"/>
      <c r="C294" s="8"/>
      <c r="D294" s="7"/>
    </row>
    <row r="295" spans="1:4" ht="40" customHeight="1" x14ac:dyDescent="0.25">
      <c r="A295" s="5"/>
      <c r="C295" s="8"/>
      <c r="D295" s="7"/>
    </row>
    <row r="296" spans="1:4" ht="40" customHeight="1" x14ac:dyDescent="0.25">
      <c r="A296" s="5"/>
      <c r="C296" s="8"/>
      <c r="D296" s="7"/>
    </row>
    <row r="297" spans="1:4" ht="40" customHeight="1" x14ac:dyDescent="0.25">
      <c r="A297" s="5"/>
      <c r="C297" s="8"/>
      <c r="D297" s="7"/>
    </row>
    <row r="298" spans="1:4" ht="40" customHeight="1" x14ac:dyDescent="0.25">
      <c r="A298" s="5"/>
      <c r="C298" s="8"/>
      <c r="D298" s="7"/>
    </row>
    <row r="299" spans="1:4" ht="40" customHeight="1" x14ac:dyDescent="0.25">
      <c r="A299" s="5"/>
      <c r="C299" s="8"/>
      <c r="D299" s="7"/>
    </row>
    <row r="300" spans="1:4" ht="40" customHeight="1" x14ac:dyDescent="0.25">
      <c r="A300" s="5"/>
      <c r="C300" s="8"/>
      <c r="D300" s="7"/>
    </row>
    <row r="301" spans="1:4" ht="40" customHeight="1" x14ac:dyDescent="0.25">
      <c r="A301" s="5"/>
      <c r="C301" s="8"/>
      <c r="D301" s="7"/>
    </row>
    <row r="302" spans="1:4" ht="40" customHeight="1" x14ac:dyDescent="0.25">
      <c r="A302" s="5"/>
      <c r="C302" s="8"/>
      <c r="D302" s="7"/>
    </row>
    <row r="303" spans="1:4" ht="40" customHeight="1" x14ac:dyDescent="0.25">
      <c r="A303" s="5"/>
      <c r="C303" s="8"/>
      <c r="D303" s="7"/>
    </row>
    <row r="304" spans="1:4" ht="40" customHeight="1" x14ac:dyDescent="0.25">
      <c r="A304" s="5"/>
      <c r="C304" s="8"/>
      <c r="D304" s="7"/>
    </row>
    <row r="305" spans="1:4" ht="40" customHeight="1" x14ac:dyDescent="0.25">
      <c r="A305" s="5"/>
      <c r="C305" s="8"/>
      <c r="D305" s="7"/>
    </row>
    <row r="306" spans="1:4" ht="40" customHeight="1" x14ac:dyDescent="0.25">
      <c r="A306" s="5"/>
      <c r="C306" s="8"/>
      <c r="D306" s="7"/>
    </row>
    <row r="307" spans="1:4" ht="40" customHeight="1" x14ac:dyDescent="0.25">
      <c r="A307" s="5"/>
      <c r="C307" s="8"/>
      <c r="D307" s="7"/>
    </row>
    <row r="308" spans="1:4" ht="40" customHeight="1" x14ac:dyDescent="0.25">
      <c r="A308" s="5"/>
      <c r="C308" s="8"/>
      <c r="D308" s="7"/>
    </row>
    <row r="309" spans="1:4" ht="40" customHeight="1" x14ac:dyDescent="0.25">
      <c r="A309" s="5"/>
      <c r="C309" s="8"/>
      <c r="D309" s="7"/>
    </row>
    <row r="310" spans="1:4" ht="40" customHeight="1" x14ac:dyDescent="0.25">
      <c r="A310" s="5"/>
      <c r="C310" s="8"/>
      <c r="D310" s="7"/>
    </row>
    <row r="311" spans="1:4" ht="40" customHeight="1" x14ac:dyDescent="0.25">
      <c r="A311" s="5"/>
      <c r="C311" s="8"/>
      <c r="D311" s="7"/>
    </row>
    <row r="312" spans="1:4" ht="40" customHeight="1" x14ac:dyDescent="0.25">
      <c r="A312" s="5"/>
      <c r="C312" s="8"/>
      <c r="D312" s="7"/>
    </row>
    <row r="313" spans="1:4" ht="40" customHeight="1" x14ac:dyDescent="0.25">
      <c r="A313" s="5"/>
      <c r="C313" s="8"/>
      <c r="D313" s="7"/>
    </row>
    <row r="314" spans="1:4" ht="40" customHeight="1" x14ac:dyDescent="0.25">
      <c r="A314" s="5"/>
      <c r="C314" s="8"/>
      <c r="D314" s="7"/>
    </row>
    <row r="315" spans="1:4" ht="40" customHeight="1" x14ac:dyDescent="0.25">
      <c r="A315" s="5"/>
      <c r="C315" s="8"/>
      <c r="D315" s="7"/>
    </row>
    <row r="316" spans="1:4" ht="40" customHeight="1" x14ac:dyDescent="0.25">
      <c r="A316" s="5"/>
      <c r="C316" s="8"/>
      <c r="D316" s="7"/>
    </row>
    <row r="317" spans="1:4" ht="40" customHeight="1" x14ac:dyDescent="0.25">
      <c r="A317" s="5"/>
      <c r="C317" s="8"/>
      <c r="D317" s="7"/>
    </row>
    <row r="318" spans="1:4" ht="40" customHeight="1" x14ac:dyDescent="0.25">
      <c r="A318" s="5"/>
      <c r="C318" s="8"/>
      <c r="D318" s="7"/>
    </row>
    <row r="319" spans="1:4" ht="40" customHeight="1" x14ac:dyDescent="0.25">
      <c r="A319" s="5"/>
      <c r="C319" s="8"/>
      <c r="D319" s="7"/>
    </row>
    <row r="320" spans="1:4" ht="40" customHeight="1" x14ac:dyDescent="0.25">
      <c r="A320" s="5"/>
      <c r="C320" s="8"/>
      <c r="D320" s="7"/>
    </row>
    <row r="321" spans="1:4" ht="40" customHeight="1" x14ac:dyDescent="0.25">
      <c r="A321" s="5"/>
      <c r="C321" s="8"/>
      <c r="D321" s="7"/>
    </row>
    <row r="322" spans="1:4" ht="40" customHeight="1" x14ac:dyDescent="0.25">
      <c r="A322" s="5"/>
      <c r="C322" s="8"/>
      <c r="D322" s="7"/>
    </row>
    <row r="323" spans="1:4" ht="40" customHeight="1" x14ac:dyDescent="0.25">
      <c r="A323" s="5"/>
      <c r="C323" s="8"/>
      <c r="D323" s="7"/>
    </row>
    <row r="324" spans="1:4" ht="40" customHeight="1" x14ac:dyDescent="0.25">
      <c r="A324" s="5"/>
      <c r="C324" s="8"/>
      <c r="D324" s="7"/>
    </row>
    <row r="325" spans="1:4" ht="40" customHeight="1" x14ac:dyDescent="0.25">
      <c r="A325" s="5"/>
      <c r="C325" s="8"/>
      <c r="D325" s="7"/>
    </row>
    <row r="326" spans="1:4" ht="40" customHeight="1" x14ac:dyDescent="0.25">
      <c r="A326" s="5"/>
      <c r="C326" s="8"/>
      <c r="D326" s="7"/>
    </row>
    <row r="327" spans="1:4" ht="40" customHeight="1" x14ac:dyDescent="0.25">
      <c r="A327" s="5"/>
      <c r="C327" s="8"/>
      <c r="D327" s="7"/>
    </row>
    <row r="328" spans="1:4" ht="40" customHeight="1" x14ac:dyDescent="0.25">
      <c r="A328" s="5"/>
      <c r="C328" s="8"/>
      <c r="D328" s="7"/>
    </row>
    <row r="329" spans="1:4" ht="40" customHeight="1" x14ac:dyDescent="0.25">
      <c r="A329" s="5"/>
      <c r="C329" s="8"/>
      <c r="D329" s="7"/>
    </row>
    <row r="330" spans="1:4" ht="40" customHeight="1" x14ac:dyDescent="0.25">
      <c r="A330" s="5"/>
      <c r="C330" s="8"/>
      <c r="D330" s="7"/>
    </row>
    <row r="331" spans="1:4" ht="40" customHeight="1" x14ac:dyDescent="0.25">
      <c r="A331" s="5"/>
      <c r="C331" s="8"/>
      <c r="D331" s="7"/>
    </row>
    <row r="332" spans="1:4" ht="40" customHeight="1" x14ac:dyDescent="0.25">
      <c r="A332" s="5"/>
      <c r="C332" s="8"/>
      <c r="D332" s="7"/>
    </row>
    <row r="333" spans="1:4" ht="40" customHeight="1" x14ac:dyDescent="0.25">
      <c r="A333" s="5"/>
      <c r="C333" s="8"/>
      <c r="D333" s="7"/>
    </row>
    <row r="334" spans="1:4" ht="40" customHeight="1" x14ac:dyDescent="0.25">
      <c r="A334" s="5"/>
      <c r="C334" s="8"/>
      <c r="D334" s="7"/>
    </row>
    <row r="335" spans="1:4" ht="40" customHeight="1" x14ac:dyDescent="0.25">
      <c r="A335" s="5"/>
      <c r="C335" s="8"/>
      <c r="D335" s="7"/>
    </row>
    <row r="336" spans="1:4" ht="40" customHeight="1" x14ac:dyDescent="0.25">
      <c r="A336" s="5"/>
      <c r="C336" s="8"/>
      <c r="D336" s="7"/>
    </row>
    <row r="337" spans="1:4" ht="40" customHeight="1" x14ac:dyDescent="0.25">
      <c r="A337" s="5"/>
      <c r="C337" s="8"/>
      <c r="D337" s="7"/>
    </row>
    <row r="338" spans="1:4" ht="40" customHeight="1" x14ac:dyDescent="0.25">
      <c r="A338" s="5"/>
      <c r="C338" s="8"/>
      <c r="D338" s="7"/>
    </row>
    <row r="339" spans="1:4" ht="40" customHeight="1" x14ac:dyDescent="0.25">
      <c r="A339" s="5"/>
      <c r="C339" s="8"/>
      <c r="D339" s="7"/>
    </row>
    <row r="340" spans="1:4" ht="40" customHeight="1" x14ac:dyDescent="0.25">
      <c r="A340" s="5"/>
      <c r="C340" s="8"/>
      <c r="D340" s="7"/>
    </row>
    <row r="341" spans="1:4" ht="40" customHeight="1" x14ac:dyDescent="0.25">
      <c r="A341" s="5"/>
      <c r="C341" s="8"/>
      <c r="D341" s="7"/>
    </row>
    <row r="342" spans="1:4" ht="40" customHeight="1" x14ac:dyDescent="0.25">
      <c r="A342" s="5"/>
      <c r="C342" s="8"/>
      <c r="D342" s="7"/>
    </row>
    <row r="343" spans="1:4" ht="40" customHeight="1" x14ac:dyDescent="0.25">
      <c r="A343" s="5"/>
      <c r="C343" s="8"/>
      <c r="D343" s="7"/>
    </row>
    <row r="344" spans="1:4" ht="40" customHeight="1" x14ac:dyDescent="0.25">
      <c r="A344" s="5"/>
      <c r="C344" s="8"/>
      <c r="D344" s="7"/>
    </row>
    <row r="345" spans="1:4" ht="40" customHeight="1" x14ac:dyDescent="0.25">
      <c r="A345" s="5"/>
      <c r="C345" s="8"/>
      <c r="D345" s="7"/>
    </row>
    <row r="346" spans="1:4" ht="40" customHeight="1" x14ac:dyDescent="0.25">
      <c r="A346" s="5"/>
      <c r="C346" s="8"/>
      <c r="D346" s="7"/>
    </row>
    <row r="347" spans="1:4" ht="40" customHeight="1" x14ac:dyDescent="0.25">
      <c r="A347" s="5"/>
      <c r="C347" s="8"/>
      <c r="D347" s="7"/>
    </row>
    <row r="348" spans="1:4" ht="40" customHeight="1" x14ac:dyDescent="0.25">
      <c r="A348" s="5"/>
      <c r="C348" s="8"/>
      <c r="D348" s="7"/>
    </row>
    <row r="349" spans="1:4" ht="40" customHeight="1" x14ac:dyDescent="0.25">
      <c r="A349" s="5"/>
      <c r="C349" s="8"/>
      <c r="D349" s="7"/>
    </row>
    <row r="350" spans="1:4" ht="40" customHeight="1" x14ac:dyDescent="0.25">
      <c r="A350" s="5"/>
      <c r="C350" s="8"/>
      <c r="D350" s="7"/>
    </row>
    <row r="351" spans="1:4" ht="40" customHeight="1" x14ac:dyDescent="0.25">
      <c r="A351" s="5"/>
      <c r="C351" s="8"/>
      <c r="D351" s="7"/>
    </row>
    <row r="352" spans="1:4" ht="40" customHeight="1" x14ac:dyDescent="0.25">
      <c r="A352" s="5"/>
      <c r="C352" s="8"/>
      <c r="D352" s="7"/>
    </row>
    <row r="353" spans="1:4" ht="40" customHeight="1" x14ac:dyDescent="0.25">
      <c r="A353" s="5"/>
      <c r="C353" s="8"/>
      <c r="D353" s="7"/>
    </row>
    <row r="354" spans="1:4" ht="40" customHeight="1" x14ac:dyDescent="0.25">
      <c r="A354" s="5"/>
      <c r="C354" s="8"/>
      <c r="D354" s="7"/>
    </row>
    <row r="355" spans="1:4" ht="40" customHeight="1" x14ac:dyDescent="0.25">
      <c r="A355" s="5"/>
      <c r="C355" s="8"/>
      <c r="D355" s="7"/>
    </row>
    <row r="356" spans="1:4" ht="40" customHeight="1" x14ac:dyDescent="0.25">
      <c r="A356" s="5"/>
      <c r="C356" s="8"/>
      <c r="D356" s="7"/>
    </row>
    <row r="357" spans="1:4" ht="40" customHeight="1" x14ac:dyDescent="0.25">
      <c r="A357" s="5"/>
      <c r="C357" s="8"/>
      <c r="D357" s="7"/>
    </row>
    <row r="358" spans="1:4" ht="40" customHeight="1" x14ac:dyDescent="0.25">
      <c r="A358" s="5"/>
      <c r="C358" s="8"/>
      <c r="D358" s="7"/>
    </row>
    <row r="359" spans="1:4" ht="40" customHeight="1" x14ac:dyDescent="0.25">
      <c r="A359" s="5"/>
      <c r="C359" s="8"/>
      <c r="D359" s="7"/>
    </row>
    <row r="360" spans="1:4" ht="40" customHeight="1" x14ac:dyDescent="0.25">
      <c r="A360" s="5"/>
      <c r="C360" s="8"/>
      <c r="D360" s="7"/>
    </row>
    <row r="361" spans="1:4" ht="40" customHeight="1" x14ac:dyDescent="0.25">
      <c r="A361" s="5"/>
      <c r="C361" s="8"/>
      <c r="D361" s="7"/>
    </row>
    <row r="362" spans="1:4" ht="40" customHeight="1" x14ac:dyDescent="0.25">
      <c r="A362" s="5"/>
      <c r="C362" s="8"/>
      <c r="D362" s="7"/>
    </row>
    <row r="363" spans="1:4" ht="40" customHeight="1" x14ac:dyDescent="0.25">
      <c r="A363" s="5"/>
      <c r="C363" s="8"/>
      <c r="D363" s="7"/>
    </row>
    <row r="364" spans="1:4" ht="40" customHeight="1" x14ac:dyDescent="0.25">
      <c r="A364" s="5"/>
      <c r="C364" s="8"/>
      <c r="D364" s="7"/>
    </row>
    <row r="365" spans="1:4" ht="40" customHeight="1" x14ac:dyDescent="0.25">
      <c r="A365" s="5"/>
      <c r="C365" s="8"/>
      <c r="D365" s="7"/>
    </row>
    <row r="366" spans="1:4" ht="40" customHeight="1" x14ac:dyDescent="0.25">
      <c r="A366" s="5"/>
      <c r="C366" s="8"/>
      <c r="D366" s="7"/>
    </row>
    <row r="367" spans="1:4" ht="40" customHeight="1" x14ac:dyDescent="0.25">
      <c r="A367" s="5"/>
      <c r="C367" s="8"/>
      <c r="D367" s="7"/>
    </row>
    <row r="368" spans="1:4" ht="40" customHeight="1" x14ac:dyDescent="0.25">
      <c r="A368" s="5"/>
      <c r="C368" s="8"/>
      <c r="D368" s="7"/>
    </row>
    <row r="369" spans="1:4" ht="40" customHeight="1" x14ac:dyDescent="0.25">
      <c r="A369" s="5"/>
      <c r="C369" s="8"/>
      <c r="D369" s="7"/>
    </row>
    <row r="370" spans="1:4" ht="40" customHeight="1" x14ac:dyDescent="0.25">
      <c r="A370" s="5"/>
      <c r="C370" s="8"/>
      <c r="D370" s="7"/>
    </row>
    <row r="371" spans="1:4" ht="40" customHeight="1" x14ac:dyDescent="0.25">
      <c r="A371" s="5"/>
      <c r="C371" s="8"/>
      <c r="D371" s="7"/>
    </row>
    <row r="372" spans="1:4" ht="40" customHeight="1" x14ac:dyDescent="0.25">
      <c r="A372" s="5"/>
      <c r="C372" s="8"/>
      <c r="D372" s="7"/>
    </row>
    <row r="373" spans="1:4" ht="40" customHeight="1" x14ac:dyDescent="0.25">
      <c r="A373" s="5"/>
      <c r="C373" s="8"/>
      <c r="D373" s="7"/>
    </row>
    <row r="374" spans="1:4" ht="40" customHeight="1" x14ac:dyDescent="0.25">
      <c r="A374" s="5"/>
      <c r="C374" s="8"/>
      <c r="D374" s="7"/>
    </row>
    <row r="375" spans="1:4" ht="40" customHeight="1" x14ac:dyDescent="0.25">
      <c r="A375" s="5"/>
      <c r="C375" s="8"/>
      <c r="D375" s="7"/>
    </row>
    <row r="376" spans="1:4" ht="40" customHeight="1" x14ac:dyDescent="0.25">
      <c r="A376" s="5"/>
      <c r="C376" s="8"/>
      <c r="D376" s="7"/>
    </row>
    <row r="377" spans="1:4" ht="40" customHeight="1" x14ac:dyDescent="0.25">
      <c r="A377" s="5"/>
      <c r="C377" s="8"/>
      <c r="D377" s="7"/>
    </row>
    <row r="378" spans="1:4" ht="40" customHeight="1" x14ac:dyDescent="0.25">
      <c r="A378" s="5"/>
      <c r="C378" s="8"/>
      <c r="D378" s="7"/>
    </row>
    <row r="379" spans="1:4" ht="40" customHeight="1" x14ac:dyDescent="0.25">
      <c r="A379" s="5"/>
      <c r="C379" s="8"/>
      <c r="D379" s="7"/>
    </row>
    <row r="380" spans="1:4" ht="40" customHeight="1" x14ac:dyDescent="0.25">
      <c r="A380" s="5"/>
      <c r="C380" s="8"/>
      <c r="D380" s="7"/>
    </row>
    <row r="381" spans="1:4" ht="40" customHeight="1" x14ac:dyDescent="0.25">
      <c r="A381" s="5"/>
      <c r="C381" s="8"/>
      <c r="D381" s="7"/>
    </row>
    <row r="382" spans="1:4" ht="40" customHeight="1" x14ac:dyDescent="0.25">
      <c r="A382" s="5"/>
      <c r="C382" s="8"/>
      <c r="D382" s="7"/>
    </row>
    <row r="383" spans="1:4" ht="40" customHeight="1" x14ac:dyDescent="0.25">
      <c r="A383" s="5"/>
      <c r="C383" s="8"/>
      <c r="D383" s="7"/>
    </row>
    <row r="384" spans="1:4" ht="40" customHeight="1" x14ac:dyDescent="0.25">
      <c r="A384" s="5"/>
      <c r="C384" s="8"/>
      <c r="D384" s="7"/>
    </row>
    <row r="385" spans="1:4" ht="40" customHeight="1" x14ac:dyDescent="0.25">
      <c r="A385" s="5"/>
      <c r="C385" s="8"/>
      <c r="D385" s="7"/>
    </row>
    <row r="386" spans="1:4" ht="40" customHeight="1" x14ac:dyDescent="0.25">
      <c r="A386" s="5"/>
      <c r="C386" s="8"/>
      <c r="D386" s="7"/>
    </row>
    <row r="387" spans="1:4" ht="40" customHeight="1" x14ac:dyDescent="0.25">
      <c r="A387" s="5"/>
      <c r="C387" s="8"/>
      <c r="D387" s="7"/>
    </row>
    <row r="388" spans="1:4" ht="40" customHeight="1" x14ac:dyDescent="0.25">
      <c r="A388" s="5"/>
      <c r="C388" s="8"/>
      <c r="D388" s="7"/>
    </row>
    <row r="389" spans="1:4" ht="40" customHeight="1" x14ac:dyDescent="0.25">
      <c r="A389" s="5"/>
      <c r="C389" s="8"/>
      <c r="D389" s="7"/>
    </row>
    <row r="390" spans="1:4" ht="40" customHeight="1" x14ac:dyDescent="0.25">
      <c r="A390" s="5"/>
      <c r="C390" s="8"/>
      <c r="D390" s="7"/>
    </row>
    <row r="391" spans="1:4" ht="40" customHeight="1" x14ac:dyDescent="0.25">
      <c r="A391" s="5"/>
      <c r="C391" s="8"/>
      <c r="D391" s="7"/>
    </row>
    <row r="392" spans="1:4" ht="40" customHeight="1" x14ac:dyDescent="0.25">
      <c r="A392" s="5"/>
      <c r="C392" s="8"/>
      <c r="D392" s="7"/>
    </row>
    <row r="393" spans="1:4" ht="40" customHeight="1" x14ac:dyDescent="0.25">
      <c r="A393" s="5"/>
      <c r="C393" s="8"/>
      <c r="D393" s="7"/>
    </row>
    <row r="394" spans="1:4" ht="40" customHeight="1" x14ac:dyDescent="0.25">
      <c r="A394" s="5"/>
      <c r="C394" s="8"/>
      <c r="D394" s="7"/>
    </row>
    <row r="395" spans="1:4" ht="40" customHeight="1" x14ac:dyDescent="0.25">
      <c r="A395" s="5"/>
      <c r="C395" s="8"/>
      <c r="D395" s="7"/>
    </row>
    <row r="396" spans="1:4" ht="40" customHeight="1" x14ac:dyDescent="0.25">
      <c r="A396" s="5"/>
      <c r="C396" s="8"/>
      <c r="D396" s="7"/>
    </row>
    <row r="397" spans="1:4" ht="40" customHeight="1" x14ac:dyDescent="0.25">
      <c r="A397" s="5"/>
      <c r="C397" s="8"/>
      <c r="D397" s="7"/>
    </row>
    <row r="398" spans="1:4" ht="40" customHeight="1" x14ac:dyDescent="0.25">
      <c r="A398" s="5"/>
      <c r="C398" s="8"/>
      <c r="D398" s="7"/>
    </row>
    <row r="399" spans="1:4" ht="40" customHeight="1" x14ac:dyDescent="0.25">
      <c r="A399" s="5"/>
      <c r="C399" s="8"/>
      <c r="D399" s="7"/>
    </row>
    <row r="400" spans="1:4" ht="40" customHeight="1" x14ac:dyDescent="0.25">
      <c r="A400" s="5"/>
      <c r="C400" s="8"/>
      <c r="D400" s="7"/>
    </row>
    <row r="401" spans="1:4" ht="40" customHeight="1" x14ac:dyDescent="0.25">
      <c r="A401" s="5"/>
      <c r="C401" s="8"/>
      <c r="D401" s="7"/>
    </row>
    <row r="402" spans="1:4" ht="40" customHeight="1" x14ac:dyDescent="0.25">
      <c r="A402" s="5"/>
      <c r="C402" s="8"/>
      <c r="D402" s="7"/>
    </row>
    <row r="403" spans="1:4" ht="40" customHeight="1" x14ac:dyDescent="0.25">
      <c r="A403" s="5"/>
      <c r="C403" s="8"/>
      <c r="D403" s="7"/>
    </row>
    <row r="404" spans="1:4" ht="40" customHeight="1" x14ac:dyDescent="0.25">
      <c r="A404" s="5"/>
      <c r="C404" s="8"/>
      <c r="D404" s="7"/>
    </row>
    <row r="405" spans="1:4" ht="40" customHeight="1" x14ac:dyDescent="0.25">
      <c r="A405" s="5"/>
      <c r="C405" s="8"/>
      <c r="D405" s="7"/>
    </row>
    <row r="406" spans="1:4" ht="40" customHeight="1" x14ac:dyDescent="0.25">
      <c r="A406" s="5"/>
      <c r="C406" s="8"/>
      <c r="D406" s="7"/>
    </row>
    <row r="407" spans="1:4" ht="40" customHeight="1" x14ac:dyDescent="0.25">
      <c r="A407" s="5"/>
      <c r="C407" s="8"/>
      <c r="D407" s="7"/>
    </row>
    <row r="408" spans="1:4" ht="40" customHeight="1" x14ac:dyDescent="0.25">
      <c r="A408" s="5"/>
      <c r="C408" s="8"/>
      <c r="D408" s="7"/>
    </row>
    <row r="409" spans="1:4" ht="40" customHeight="1" x14ac:dyDescent="0.25">
      <c r="A409" s="5"/>
      <c r="C409" s="8"/>
      <c r="D409" s="7"/>
    </row>
    <row r="410" spans="1:4" ht="40" customHeight="1" x14ac:dyDescent="0.25">
      <c r="A410" s="5"/>
      <c r="C410" s="8"/>
      <c r="D410" s="7"/>
    </row>
    <row r="411" spans="1:4" ht="40" customHeight="1" x14ac:dyDescent="0.25">
      <c r="A411" s="5"/>
      <c r="C411" s="8"/>
      <c r="D411" s="7"/>
    </row>
    <row r="412" spans="1:4" ht="40" customHeight="1" x14ac:dyDescent="0.25">
      <c r="A412" s="5"/>
      <c r="C412" s="8"/>
      <c r="D412" s="7"/>
    </row>
    <row r="413" spans="1:4" ht="40" customHeight="1" x14ac:dyDescent="0.25">
      <c r="A413" s="5"/>
      <c r="C413" s="8"/>
      <c r="D413" s="7"/>
    </row>
    <row r="414" spans="1:4" ht="40" customHeight="1" x14ac:dyDescent="0.25">
      <c r="A414" s="5"/>
      <c r="C414" s="8"/>
      <c r="D414" s="7"/>
    </row>
    <row r="415" spans="1:4" ht="40" customHeight="1" x14ac:dyDescent="0.25">
      <c r="A415" s="5"/>
      <c r="C415" s="8"/>
      <c r="D415" s="7"/>
    </row>
    <row r="416" spans="1:4" ht="40" customHeight="1" x14ac:dyDescent="0.25">
      <c r="A416" s="5"/>
      <c r="C416" s="8"/>
      <c r="D416" s="7"/>
    </row>
    <row r="417" spans="1:4" ht="40" customHeight="1" x14ac:dyDescent="0.25">
      <c r="A417" s="5"/>
      <c r="C417" s="8"/>
      <c r="D417" s="7"/>
    </row>
    <row r="418" spans="1:4" ht="40" customHeight="1" x14ac:dyDescent="0.25">
      <c r="A418" s="5"/>
      <c r="C418" s="8"/>
      <c r="D418" s="7"/>
    </row>
    <row r="419" spans="1:4" ht="40" customHeight="1" x14ac:dyDescent="0.25">
      <c r="A419" s="5"/>
      <c r="C419" s="8"/>
      <c r="D419" s="7"/>
    </row>
    <row r="420" spans="1:4" ht="40" customHeight="1" x14ac:dyDescent="0.25">
      <c r="A420" s="5"/>
      <c r="C420" s="8"/>
      <c r="D420" s="7"/>
    </row>
    <row r="421" spans="1:4" ht="40" customHeight="1" x14ac:dyDescent="0.25">
      <c r="A421" s="5"/>
      <c r="C421" s="8"/>
      <c r="D421" s="7"/>
    </row>
    <row r="422" spans="1:4" ht="40" customHeight="1" x14ac:dyDescent="0.25">
      <c r="A422" s="5"/>
      <c r="C422" s="8"/>
      <c r="D422" s="7"/>
    </row>
    <row r="423" spans="1:4" ht="40" customHeight="1" x14ac:dyDescent="0.25">
      <c r="A423" s="5"/>
      <c r="C423" s="8"/>
      <c r="D423" s="7"/>
    </row>
    <row r="424" spans="1:4" ht="40" customHeight="1" x14ac:dyDescent="0.25">
      <c r="A424" s="5"/>
      <c r="C424" s="8"/>
      <c r="D424" s="7"/>
    </row>
    <row r="425" spans="1:4" ht="40" customHeight="1" x14ac:dyDescent="0.25">
      <c r="A425" s="5"/>
      <c r="C425" s="8"/>
      <c r="D425" s="7"/>
    </row>
    <row r="426" spans="1:4" ht="40" customHeight="1" x14ac:dyDescent="0.25">
      <c r="A426" s="5"/>
      <c r="C426" s="8"/>
      <c r="D426" s="7"/>
    </row>
    <row r="427" spans="1:4" ht="40" customHeight="1" x14ac:dyDescent="0.25">
      <c r="A427" s="5"/>
      <c r="C427" s="8"/>
      <c r="D427" s="7"/>
    </row>
    <row r="428" spans="1:4" ht="40" customHeight="1" x14ac:dyDescent="0.25">
      <c r="A428" s="5"/>
      <c r="C428" s="8"/>
      <c r="D428" s="7"/>
    </row>
    <row r="429" spans="1:4" ht="40" customHeight="1" x14ac:dyDescent="0.25">
      <c r="A429" s="5"/>
      <c r="C429" s="8"/>
      <c r="D429" s="7"/>
    </row>
    <row r="430" spans="1:4" ht="40" customHeight="1" x14ac:dyDescent="0.25">
      <c r="A430" s="5"/>
      <c r="C430" s="8"/>
      <c r="D430" s="7"/>
    </row>
    <row r="431" spans="1:4" ht="40" customHeight="1" x14ac:dyDescent="0.25">
      <c r="A431" s="5"/>
      <c r="C431" s="8"/>
      <c r="D431" s="7"/>
    </row>
    <row r="432" spans="1:4" ht="40" customHeight="1" x14ac:dyDescent="0.25">
      <c r="A432" s="5"/>
      <c r="C432" s="8"/>
      <c r="D432" s="7"/>
    </row>
    <row r="433" spans="1:4" ht="40" customHeight="1" x14ac:dyDescent="0.25">
      <c r="A433" s="5"/>
      <c r="C433" s="8"/>
      <c r="D433" s="7"/>
    </row>
    <row r="434" spans="1:4" ht="40" customHeight="1" x14ac:dyDescent="0.25">
      <c r="A434" s="5"/>
      <c r="C434" s="8"/>
      <c r="D434" s="7"/>
    </row>
    <row r="435" spans="1:4" ht="40" customHeight="1" x14ac:dyDescent="0.25">
      <c r="A435" s="5"/>
      <c r="C435" s="8"/>
      <c r="D435" s="7"/>
    </row>
    <row r="436" spans="1:4" ht="40" customHeight="1" x14ac:dyDescent="0.25">
      <c r="A436" s="5"/>
      <c r="C436" s="8"/>
      <c r="D436" s="7"/>
    </row>
    <row r="437" spans="1:4" ht="40" customHeight="1" x14ac:dyDescent="0.25">
      <c r="A437" s="5"/>
      <c r="C437" s="8"/>
      <c r="D437" s="7"/>
    </row>
    <row r="438" spans="1:4" ht="40" customHeight="1" x14ac:dyDescent="0.25">
      <c r="A438" s="5"/>
      <c r="C438" s="8"/>
      <c r="D438" s="7"/>
    </row>
    <row r="439" spans="1:4" ht="40" customHeight="1" x14ac:dyDescent="0.25">
      <c r="A439" s="5"/>
      <c r="C439" s="8"/>
      <c r="D439" s="7"/>
    </row>
    <row r="440" spans="1:4" ht="40" customHeight="1" x14ac:dyDescent="0.25">
      <c r="A440" s="5"/>
      <c r="C440" s="8"/>
      <c r="D440" s="7"/>
    </row>
    <row r="441" spans="1:4" ht="40" customHeight="1" x14ac:dyDescent="0.25">
      <c r="A441" s="5"/>
      <c r="C441" s="8"/>
      <c r="D441" s="7"/>
    </row>
    <row r="442" spans="1:4" ht="40" customHeight="1" x14ac:dyDescent="0.25">
      <c r="A442" s="5"/>
      <c r="C442" s="8"/>
      <c r="D442" s="7"/>
    </row>
    <row r="443" spans="1:4" ht="40" customHeight="1" x14ac:dyDescent="0.25">
      <c r="A443" s="5"/>
      <c r="C443" s="8"/>
      <c r="D443" s="7"/>
    </row>
    <row r="444" spans="1:4" ht="40" customHeight="1" x14ac:dyDescent="0.25">
      <c r="A444" s="5"/>
      <c r="C444" s="8"/>
      <c r="D444" s="7"/>
    </row>
    <row r="445" spans="1:4" ht="40" customHeight="1" x14ac:dyDescent="0.25">
      <c r="A445" s="5"/>
      <c r="C445" s="8"/>
      <c r="D445" s="7"/>
    </row>
    <row r="446" spans="1:4" ht="40" customHeight="1" x14ac:dyDescent="0.25">
      <c r="A446" s="5"/>
      <c r="C446" s="8"/>
      <c r="D446" s="7"/>
    </row>
    <row r="447" spans="1:4" ht="40" customHeight="1" x14ac:dyDescent="0.25">
      <c r="A447" s="5"/>
      <c r="C447" s="8"/>
      <c r="D447" s="7"/>
    </row>
    <row r="448" spans="1:4" ht="40" customHeight="1" x14ac:dyDescent="0.25">
      <c r="A448" s="5"/>
      <c r="C448" s="8"/>
      <c r="D448" s="7"/>
    </row>
    <row r="449" spans="1:4" ht="40" customHeight="1" x14ac:dyDescent="0.25">
      <c r="A449" s="5"/>
      <c r="C449" s="8"/>
      <c r="D449" s="7"/>
    </row>
    <row r="450" spans="1:4" ht="40" customHeight="1" x14ac:dyDescent="0.25">
      <c r="A450" s="5"/>
      <c r="C450" s="8"/>
      <c r="D450" s="7"/>
    </row>
    <row r="451" spans="1:4" ht="40" customHeight="1" x14ac:dyDescent="0.25">
      <c r="A451" s="5"/>
      <c r="C451" s="8"/>
      <c r="D451" s="7"/>
    </row>
    <row r="452" spans="1:4" ht="40" customHeight="1" x14ac:dyDescent="0.25">
      <c r="A452" s="5"/>
      <c r="C452" s="8"/>
      <c r="D452" s="7"/>
    </row>
    <row r="453" spans="1:4" ht="40" customHeight="1" x14ac:dyDescent="0.25">
      <c r="A453" s="5"/>
      <c r="C453" s="8"/>
      <c r="D453" s="7"/>
    </row>
    <row r="454" spans="1:4" ht="40" customHeight="1" x14ac:dyDescent="0.25">
      <c r="A454" s="5"/>
      <c r="C454" s="8"/>
      <c r="D454" s="7"/>
    </row>
    <row r="455" spans="1:4" ht="40" customHeight="1" x14ac:dyDescent="0.25">
      <c r="A455" s="5"/>
      <c r="C455" s="8"/>
      <c r="D455" s="7"/>
    </row>
    <row r="456" spans="1:4" ht="40" customHeight="1" x14ac:dyDescent="0.25">
      <c r="A456" s="5"/>
      <c r="C456" s="8"/>
      <c r="D456" s="7"/>
    </row>
    <row r="457" spans="1:4" ht="40" customHeight="1" x14ac:dyDescent="0.25">
      <c r="A457" s="5"/>
      <c r="C457" s="8"/>
      <c r="D457" s="7"/>
    </row>
    <row r="458" spans="1:4" ht="40" customHeight="1" x14ac:dyDescent="0.25">
      <c r="A458" s="5"/>
      <c r="C458" s="8"/>
      <c r="D458" s="7"/>
    </row>
    <row r="459" spans="1:4" ht="40" customHeight="1" x14ac:dyDescent="0.25">
      <c r="A459" s="5"/>
      <c r="C459" s="8"/>
      <c r="D459" s="7"/>
    </row>
    <row r="460" spans="1:4" ht="40" customHeight="1" x14ac:dyDescent="0.25">
      <c r="A460" s="5"/>
      <c r="C460" s="8"/>
      <c r="D460" s="7"/>
    </row>
    <row r="461" spans="1:4" ht="40" customHeight="1" x14ac:dyDescent="0.25">
      <c r="A461" s="5"/>
      <c r="C461" s="8"/>
      <c r="D461" s="7"/>
    </row>
    <row r="462" spans="1:4" ht="40" customHeight="1" x14ac:dyDescent="0.25">
      <c r="A462" s="5"/>
      <c r="C462" s="8"/>
      <c r="D462" s="7"/>
    </row>
    <row r="463" spans="1:4" ht="40" customHeight="1" x14ac:dyDescent="0.25">
      <c r="A463" s="5"/>
      <c r="C463" s="8"/>
      <c r="D463" s="7"/>
    </row>
    <row r="464" spans="1:4" ht="40" customHeight="1" x14ac:dyDescent="0.25">
      <c r="A464" s="5"/>
      <c r="C464" s="8"/>
      <c r="D464" s="7"/>
    </row>
    <row r="465" spans="1:4" ht="40" customHeight="1" x14ac:dyDescent="0.25">
      <c r="A465" s="5"/>
      <c r="C465" s="8"/>
      <c r="D465" s="7"/>
    </row>
    <row r="466" spans="1:4" ht="40" customHeight="1" x14ac:dyDescent="0.25">
      <c r="A466" s="5"/>
      <c r="C466" s="8"/>
      <c r="D466" s="7"/>
    </row>
    <row r="467" spans="1:4" ht="40" customHeight="1" x14ac:dyDescent="0.25">
      <c r="A467" s="5"/>
      <c r="C467" s="8"/>
      <c r="D467" s="7"/>
    </row>
    <row r="468" spans="1:4" ht="40" customHeight="1" x14ac:dyDescent="0.25">
      <c r="A468" s="5"/>
      <c r="C468" s="8"/>
      <c r="D468" s="7"/>
    </row>
    <row r="469" spans="1:4" ht="40" customHeight="1" x14ac:dyDescent="0.25">
      <c r="A469" s="5"/>
      <c r="C469" s="8"/>
      <c r="D469" s="7"/>
    </row>
    <row r="470" spans="1:4" ht="40" customHeight="1" x14ac:dyDescent="0.25">
      <c r="A470" s="5"/>
      <c r="C470" s="8"/>
      <c r="D470" s="7"/>
    </row>
    <row r="471" spans="1:4" ht="40" customHeight="1" x14ac:dyDescent="0.25">
      <c r="A471" s="5"/>
      <c r="C471" s="8"/>
      <c r="D471" s="7"/>
    </row>
    <row r="472" spans="1:4" ht="40" customHeight="1" x14ac:dyDescent="0.25">
      <c r="A472" s="5"/>
      <c r="C472" s="8"/>
      <c r="D472" s="7"/>
    </row>
    <row r="473" spans="1:4" ht="40" customHeight="1" x14ac:dyDescent="0.25">
      <c r="A473" s="5"/>
      <c r="C473" s="8"/>
      <c r="D473" s="7"/>
    </row>
    <row r="474" spans="1:4" ht="40" customHeight="1" x14ac:dyDescent="0.25">
      <c r="A474" s="5"/>
      <c r="C474" s="8"/>
      <c r="D474" s="7"/>
    </row>
    <row r="475" spans="1:4" ht="40" customHeight="1" x14ac:dyDescent="0.25">
      <c r="A475" s="5"/>
      <c r="C475" s="8"/>
      <c r="D475" s="7"/>
    </row>
    <row r="476" spans="1:4" ht="40" customHeight="1" x14ac:dyDescent="0.25">
      <c r="A476" s="5"/>
      <c r="C476" s="8"/>
      <c r="D476" s="7"/>
    </row>
    <row r="477" spans="1:4" ht="40" customHeight="1" x14ac:dyDescent="0.25">
      <c r="A477" s="5"/>
      <c r="C477" s="8"/>
      <c r="D477" s="7"/>
    </row>
    <row r="478" spans="1:4" ht="40" customHeight="1" x14ac:dyDescent="0.25">
      <c r="A478" s="5"/>
      <c r="C478" s="8"/>
      <c r="D478" s="7"/>
    </row>
    <row r="479" spans="1:4" ht="40" customHeight="1" x14ac:dyDescent="0.25">
      <c r="A479" s="5"/>
      <c r="C479" s="8"/>
      <c r="D479" s="7"/>
    </row>
    <row r="480" spans="1:4" ht="40" customHeight="1" x14ac:dyDescent="0.25">
      <c r="A480" s="5"/>
      <c r="C480" s="8"/>
      <c r="D480" s="7"/>
    </row>
    <row r="481" spans="1:4" ht="40" customHeight="1" x14ac:dyDescent="0.25">
      <c r="A481" s="5"/>
      <c r="C481" s="8"/>
      <c r="D481" s="7"/>
    </row>
    <row r="482" spans="1:4" ht="40" customHeight="1" x14ac:dyDescent="0.25">
      <c r="A482" s="5"/>
      <c r="C482" s="8"/>
      <c r="D482" s="7"/>
    </row>
    <row r="483" spans="1:4" ht="40" customHeight="1" x14ac:dyDescent="0.25">
      <c r="A483" s="5"/>
      <c r="C483" s="8"/>
      <c r="D483" s="7"/>
    </row>
    <row r="484" spans="1:4" ht="40" customHeight="1" x14ac:dyDescent="0.25">
      <c r="A484" s="5"/>
      <c r="C484" s="8"/>
      <c r="D484" s="7"/>
    </row>
    <row r="485" spans="1:4" ht="40" customHeight="1" x14ac:dyDescent="0.25">
      <c r="A485" s="5"/>
      <c r="C485" s="8"/>
      <c r="D485" s="7"/>
    </row>
    <row r="486" spans="1:4" ht="40" customHeight="1" x14ac:dyDescent="0.25">
      <c r="A486" s="5"/>
      <c r="C486" s="8"/>
      <c r="D486" s="7"/>
    </row>
    <row r="487" spans="1:4" ht="40" customHeight="1" x14ac:dyDescent="0.25">
      <c r="A487" s="5"/>
      <c r="C487" s="8"/>
      <c r="D487" s="7"/>
    </row>
    <row r="488" spans="1:4" ht="40" customHeight="1" x14ac:dyDescent="0.25">
      <c r="A488" s="5"/>
      <c r="C488" s="8"/>
      <c r="D488" s="7"/>
    </row>
    <row r="489" spans="1:4" ht="40" customHeight="1" x14ac:dyDescent="0.25">
      <c r="A489" s="5"/>
      <c r="C489" s="8"/>
      <c r="D489" s="7"/>
    </row>
    <row r="490" spans="1:4" ht="40" customHeight="1" x14ac:dyDescent="0.25">
      <c r="A490" s="5"/>
      <c r="C490" s="8"/>
      <c r="D490" s="7"/>
    </row>
    <row r="491" spans="1:4" ht="40" customHeight="1" x14ac:dyDescent="0.25">
      <c r="A491" s="5"/>
      <c r="C491" s="8"/>
      <c r="D491" s="7"/>
    </row>
    <row r="492" spans="1:4" ht="40" customHeight="1" x14ac:dyDescent="0.25">
      <c r="A492" s="5"/>
      <c r="C492" s="8"/>
      <c r="D492" s="7"/>
    </row>
    <row r="493" spans="1:4" ht="40" customHeight="1" x14ac:dyDescent="0.25">
      <c r="A493" s="5"/>
      <c r="C493" s="8"/>
      <c r="D493" s="7"/>
    </row>
    <row r="494" spans="1:4" ht="40" customHeight="1" x14ac:dyDescent="0.25">
      <c r="A494" s="5"/>
      <c r="C494" s="8"/>
      <c r="D494" s="7"/>
    </row>
    <row r="495" spans="1:4" ht="40" customHeight="1" x14ac:dyDescent="0.25">
      <c r="A495" s="5"/>
      <c r="C495" s="8"/>
      <c r="D495" s="7"/>
    </row>
    <row r="496" spans="1:4" ht="40" customHeight="1" x14ac:dyDescent="0.25">
      <c r="A496" s="5"/>
      <c r="C496" s="8"/>
      <c r="D496" s="7"/>
    </row>
    <row r="497" spans="1:4" ht="40" customHeight="1" x14ac:dyDescent="0.25">
      <c r="A497" s="5"/>
      <c r="C497" s="8"/>
      <c r="D497" s="7"/>
    </row>
    <row r="498" spans="1:4" ht="40" customHeight="1" x14ac:dyDescent="0.25">
      <c r="A498" s="5"/>
      <c r="C498" s="8"/>
      <c r="D498" s="7"/>
    </row>
    <row r="499" spans="1:4" ht="40" customHeight="1" x14ac:dyDescent="0.25">
      <c r="A499" s="5"/>
      <c r="C499" s="8"/>
      <c r="D499" s="7"/>
    </row>
    <row r="500" spans="1:4" ht="40" customHeight="1" x14ac:dyDescent="0.25">
      <c r="A500" s="5"/>
      <c r="C500" s="8"/>
      <c r="D500" s="7"/>
    </row>
    <row r="501" spans="1:4" ht="40" customHeight="1" x14ac:dyDescent="0.25">
      <c r="A501" s="5"/>
      <c r="C501" s="8"/>
      <c r="D501" s="7"/>
    </row>
    <row r="502" spans="1:4" ht="40" customHeight="1" x14ac:dyDescent="0.25">
      <c r="A502" s="5"/>
      <c r="C502" s="8"/>
      <c r="D502" s="7"/>
    </row>
    <row r="503" spans="1:4" ht="40" customHeight="1" x14ac:dyDescent="0.25">
      <c r="A503" s="5"/>
      <c r="C503" s="8"/>
      <c r="D503" s="7"/>
    </row>
    <row r="504" spans="1:4" ht="40" customHeight="1" x14ac:dyDescent="0.25">
      <c r="A504" s="5"/>
      <c r="C504" s="8"/>
      <c r="D504" s="7"/>
    </row>
    <row r="505" spans="1:4" ht="40" customHeight="1" x14ac:dyDescent="0.25">
      <c r="A505" s="5"/>
      <c r="C505" s="8"/>
      <c r="D505" s="7"/>
    </row>
    <row r="506" spans="1:4" ht="40" customHeight="1" x14ac:dyDescent="0.25">
      <c r="A506" s="5"/>
      <c r="C506" s="8"/>
      <c r="D506" s="7"/>
    </row>
    <row r="507" spans="1:4" ht="40" customHeight="1" x14ac:dyDescent="0.25">
      <c r="A507" s="5"/>
      <c r="C507" s="8"/>
      <c r="D507" s="7"/>
    </row>
    <row r="508" spans="1:4" ht="40" customHeight="1" x14ac:dyDescent="0.25">
      <c r="A508" s="5"/>
      <c r="C508" s="8"/>
      <c r="D508" s="7"/>
    </row>
    <row r="509" spans="1:4" ht="40" customHeight="1" x14ac:dyDescent="0.25">
      <c r="A509" s="5"/>
      <c r="C509" s="8"/>
      <c r="D509" s="7"/>
    </row>
    <row r="510" spans="1:4" ht="40" customHeight="1" x14ac:dyDescent="0.25">
      <c r="A510" s="5"/>
      <c r="C510" s="8"/>
      <c r="D510" s="7"/>
    </row>
    <row r="511" spans="1:4" ht="40" customHeight="1" x14ac:dyDescent="0.25">
      <c r="A511" s="5"/>
      <c r="C511" s="8"/>
      <c r="D511" s="7"/>
    </row>
    <row r="512" spans="1:4" ht="40" customHeight="1" x14ac:dyDescent="0.25">
      <c r="A512" s="5"/>
      <c r="C512" s="8"/>
      <c r="D512" s="7"/>
    </row>
    <row r="513" spans="1:4" ht="40" customHeight="1" x14ac:dyDescent="0.25">
      <c r="A513" s="5"/>
      <c r="C513" s="8"/>
      <c r="D513" s="7"/>
    </row>
    <row r="514" spans="1:4" ht="40" customHeight="1" x14ac:dyDescent="0.25">
      <c r="A514" s="5"/>
      <c r="C514" s="8"/>
      <c r="D514" s="7"/>
    </row>
    <row r="515" spans="1:4" ht="40" customHeight="1" x14ac:dyDescent="0.25">
      <c r="A515" s="5"/>
      <c r="C515" s="8"/>
      <c r="D515" s="7"/>
    </row>
    <row r="516" spans="1:4" ht="40" customHeight="1" x14ac:dyDescent="0.25">
      <c r="A516" s="5"/>
      <c r="C516" s="8"/>
      <c r="D516" s="7"/>
    </row>
    <row r="517" spans="1:4" ht="40" customHeight="1" x14ac:dyDescent="0.25">
      <c r="A517" s="5"/>
      <c r="C517" s="8"/>
      <c r="D517" s="7"/>
    </row>
    <row r="518" spans="1:4" ht="40" customHeight="1" x14ac:dyDescent="0.25">
      <c r="A518" s="5"/>
      <c r="C518" s="8"/>
      <c r="D518" s="7"/>
    </row>
    <row r="519" spans="1:4" ht="40" customHeight="1" x14ac:dyDescent="0.25">
      <c r="A519" s="5"/>
      <c r="C519" s="8"/>
      <c r="D519" s="7"/>
    </row>
    <row r="520" spans="1:4" ht="40" customHeight="1" x14ac:dyDescent="0.25">
      <c r="A520" s="5"/>
      <c r="C520" s="8"/>
      <c r="D520" s="7"/>
    </row>
    <row r="521" spans="1:4" ht="40" customHeight="1" x14ac:dyDescent="0.25">
      <c r="A521" s="5"/>
      <c r="C521" s="8"/>
      <c r="D521" s="7"/>
    </row>
    <row r="522" spans="1:4" ht="40" customHeight="1" x14ac:dyDescent="0.25">
      <c r="A522" s="5"/>
      <c r="C522" s="8"/>
      <c r="D522" s="7"/>
    </row>
    <row r="523" spans="1:4" ht="40" customHeight="1" x14ac:dyDescent="0.25">
      <c r="A523" s="5"/>
      <c r="C523" s="8"/>
      <c r="D523" s="7"/>
    </row>
    <row r="524" spans="1:4" ht="40" customHeight="1" x14ac:dyDescent="0.25">
      <c r="A524" s="5"/>
      <c r="C524" s="8"/>
      <c r="D524" s="7"/>
    </row>
    <row r="525" spans="1:4" ht="40" customHeight="1" x14ac:dyDescent="0.25">
      <c r="A525" s="5"/>
      <c r="C525" s="8"/>
      <c r="D525" s="7"/>
    </row>
    <row r="526" spans="1:4" ht="40" customHeight="1" x14ac:dyDescent="0.25">
      <c r="A526" s="5"/>
      <c r="C526" s="8"/>
      <c r="D526" s="7"/>
    </row>
    <row r="527" spans="1:4" ht="40" customHeight="1" x14ac:dyDescent="0.25">
      <c r="A527" s="5"/>
      <c r="C527" s="8"/>
      <c r="D527" s="7"/>
    </row>
    <row r="528" spans="1:4" ht="40" customHeight="1" x14ac:dyDescent="0.25">
      <c r="A528" s="5"/>
      <c r="C528" s="8"/>
      <c r="D528" s="7"/>
    </row>
    <row r="529" spans="1:4" ht="40" customHeight="1" x14ac:dyDescent="0.25">
      <c r="A529" s="5"/>
      <c r="C529" s="8"/>
      <c r="D529" s="7"/>
    </row>
    <row r="530" spans="1:4" ht="40" customHeight="1" x14ac:dyDescent="0.25">
      <c r="A530" s="5"/>
      <c r="C530" s="8"/>
      <c r="D530" s="7"/>
    </row>
    <row r="531" spans="1:4" ht="40" customHeight="1" x14ac:dyDescent="0.25">
      <c r="A531" s="5"/>
      <c r="C531" s="8"/>
      <c r="D531" s="7"/>
    </row>
    <row r="532" spans="1:4" ht="40" customHeight="1" x14ac:dyDescent="0.25">
      <c r="A532" s="5"/>
      <c r="C532" s="8"/>
      <c r="D532" s="7"/>
    </row>
    <row r="533" spans="1:4" ht="40" customHeight="1" x14ac:dyDescent="0.25">
      <c r="A533" s="5"/>
      <c r="C533" s="8"/>
      <c r="D533" s="7"/>
    </row>
    <row r="534" spans="1:4" ht="40" customHeight="1" x14ac:dyDescent="0.25">
      <c r="A534" s="5"/>
      <c r="C534" s="8"/>
      <c r="D534" s="7"/>
    </row>
    <row r="535" spans="1:4" ht="40" customHeight="1" x14ac:dyDescent="0.25">
      <c r="A535" s="5"/>
      <c r="C535" s="8"/>
      <c r="D535" s="7"/>
    </row>
    <row r="536" spans="1:4" ht="40" customHeight="1" x14ac:dyDescent="0.25">
      <c r="A536" s="5"/>
      <c r="C536" s="8"/>
      <c r="D536" s="7"/>
    </row>
    <row r="537" spans="1:4" ht="40" customHeight="1" x14ac:dyDescent="0.25">
      <c r="A537" s="5"/>
      <c r="C537" s="8"/>
      <c r="D537" s="7"/>
    </row>
    <row r="538" spans="1:4" ht="40" customHeight="1" x14ac:dyDescent="0.25">
      <c r="A538" s="5"/>
      <c r="C538" s="8"/>
      <c r="D538" s="7"/>
    </row>
    <row r="539" spans="1:4" ht="40" customHeight="1" x14ac:dyDescent="0.25">
      <c r="A539" s="5"/>
      <c r="C539" s="8"/>
      <c r="D539" s="7"/>
    </row>
    <row r="540" spans="1:4" ht="40" customHeight="1" x14ac:dyDescent="0.25">
      <c r="A540" s="5"/>
      <c r="C540" s="8"/>
      <c r="D540" s="7"/>
    </row>
    <row r="541" spans="1:4" ht="40" customHeight="1" x14ac:dyDescent="0.25">
      <c r="A541" s="5"/>
      <c r="C541" s="8"/>
      <c r="D541" s="7"/>
    </row>
    <row r="542" spans="1:4" ht="40" customHeight="1" x14ac:dyDescent="0.25">
      <c r="A542" s="5"/>
      <c r="C542" s="8"/>
      <c r="D542" s="7"/>
    </row>
    <row r="543" spans="1:4" ht="40" customHeight="1" x14ac:dyDescent="0.25">
      <c r="A543" s="5"/>
      <c r="C543" s="8"/>
      <c r="D543" s="7"/>
    </row>
    <row r="544" spans="1:4" ht="40" customHeight="1" x14ac:dyDescent="0.25">
      <c r="A544" s="5"/>
      <c r="C544" s="8"/>
      <c r="D544" s="7"/>
    </row>
    <row r="545" spans="1:4" ht="40" customHeight="1" x14ac:dyDescent="0.25">
      <c r="A545" s="5"/>
      <c r="C545" s="8"/>
      <c r="D545" s="7"/>
    </row>
    <row r="546" spans="1:4" ht="40" customHeight="1" x14ac:dyDescent="0.25">
      <c r="A546" s="5"/>
      <c r="C546" s="8"/>
      <c r="D546" s="7"/>
    </row>
    <row r="547" spans="1:4" ht="40" customHeight="1" x14ac:dyDescent="0.25">
      <c r="A547" s="5"/>
      <c r="C547" s="8"/>
      <c r="D547" s="7"/>
    </row>
    <row r="548" spans="1:4" ht="40" customHeight="1" x14ac:dyDescent="0.25">
      <c r="A548" s="5"/>
      <c r="C548" s="8"/>
      <c r="D548" s="7"/>
    </row>
    <row r="549" spans="1:4" ht="40" customHeight="1" x14ac:dyDescent="0.25">
      <c r="A549" s="5"/>
      <c r="C549" s="8"/>
      <c r="D549" s="7"/>
    </row>
    <row r="550" spans="1:4" ht="40" customHeight="1" x14ac:dyDescent="0.25">
      <c r="A550" s="5"/>
      <c r="C550" s="8"/>
      <c r="D550" s="7"/>
    </row>
    <row r="551" spans="1:4" ht="40" customHeight="1" x14ac:dyDescent="0.25">
      <c r="A551" s="5"/>
      <c r="C551" s="8"/>
      <c r="D551" s="7"/>
    </row>
    <row r="552" spans="1:4" ht="40" customHeight="1" x14ac:dyDescent="0.25">
      <c r="A552" s="5"/>
      <c r="C552" s="8"/>
      <c r="D552" s="7"/>
    </row>
    <row r="553" spans="1:4" ht="40" customHeight="1" x14ac:dyDescent="0.25">
      <c r="A553" s="5"/>
      <c r="C553" s="8"/>
      <c r="D553" s="7"/>
    </row>
    <row r="554" spans="1:4" ht="40" customHeight="1" x14ac:dyDescent="0.25">
      <c r="A554" s="5"/>
      <c r="C554" s="8"/>
      <c r="D554" s="7"/>
    </row>
    <row r="555" spans="1:4" ht="40" customHeight="1" x14ac:dyDescent="0.25">
      <c r="A555" s="5"/>
      <c r="C555" s="8"/>
      <c r="D555" s="7"/>
    </row>
    <row r="556" spans="1:4" ht="40" customHeight="1" x14ac:dyDescent="0.25">
      <c r="A556" s="5"/>
      <c r="C556" s="8"/>
      <c r="D556" s="7"/>
    </row>
    <row r="557" spans="1:4" ht="40" customHeight="1" x14ac:dyDescent="0.25">
      <c r="A557" s="5"/>
      <c r="C557" s="8"/>
      <c r="D557" s="7"/>
    </row>
    <row r="558" spans="1:4" ht="40" customHeight="1" x14ac:dyDescent="0.25">
      <c r="A558" s="5"/>
      <c r="C558" s="8"/>
      <c r="D558" s="7"/>
    </row>
    <row r="559" spans="1:4" ht="40" customHeight="1" x14ac:dyDescent="0.25">
      <c r="A559" s="5"/>
      <c r="C559" s="8"/>
      <c r="D559" s="7"/>
    </row>
    <row r="560" spans="1:4" ht="40" customHeight="1" x14ac:dyDescent="0.25">
      <c r="A560" s="5"/>
      <c r="C560" s="8"/>
      <c r="D560" s="7"/>
    </row>
    <row r="561" spans="1:4" ht="40" customHeight="1" x14ac:dyDescent="0.25">
      <c r="A561" s="5"/>
      <c r="C561" s="8"/>
      <c r="D561" s="7"/>
    </row>
    <row r="562" spans="1:4" ht="40" customHeight="1" x14ac:dyDescent="0.25">
      <c r="A562" s="5"/>
      <c r="C562" s="8"/>
      <c r="D562" s="7"/>
    </row>
    <row r="563" spans="1:4" ht="40" customHeight="1" x14ac:dyDescent="0.25">
      <c r="A563" s="5"/>
      <c r="C563" s="8"/>
      <c r="D563" s="7"/>
    </row>
    <row r="564" spans="1:4" ht="40" customHeight="1" x14ac:dyDescent="0.25">
      <c r="A564" s="5"/>
      <c r="C564" s="8"/>
      <c r="D564" s="7"/>
    </row>
    <row r="565" spans="1:4" ht="40" customHeight="1" x14ac:dyDescent="0.25">
      <c r="A565" s="5"/>
      <c r="C565" s="8"/>
      <c r="D565" s="7"/>
    </row>
    <row r="566" spans="1:4" ht="40" customHeight="1" x14ac:dyDescent="0.25">
      <c r="A566" s="5"/>
      <c r="C566" s="8"/>
      <c r="D566" s="7"/>
    </row>
    <row r="567" spans="1:4" ht="40" customHeight="1" x14ac:dyDescent="0.25">
      <c r="A567" s="5"/>
      <c r="C567" s="8"/>
      <c r="D567" s="7"/>
    </row>
    <row r="568" spans="1:4" ht="40" customHeight="1" x14ac:dyDescent="0.25">
      <c r="A568" s="5"/>
      <c r="C568" s="8"/>
      <c r="D568" s="7"/>
    </row>
    <row r="569" spans="1:4" ht="40" customHeight="1" x14ac:dyDescent="0.25">
      <c r="A569" s="5"/>
      <c r="C569" s="8"/>
      <c r="D569" s="7"/>
    </row>
    <row r="570" spans="1:4" ht="40" customHeight="1" x14ac:dyDescent="0.25">
      <c r="A570" s="5"/>
      <c r="C570" s="8"/>
      <c r="D570" s="7"/>
    </row>
    <row r="571" spans="1:4" ht="40" customHeight="1" x14ac:dyDescent="0.25">
      <c r="A571" s="5"/>
      <c r="C571" s="8"/>
      <c r="D571" s="7"/>
    </row>
    <row r="572" spans="1:4" ht="40" customHeight="1" x14ac:dyDescent="0.25">
      <c r="A572" s="5"/>
      <c r="C572" s="8"/>
      <c r="D572" s="7"/>
    </row>
    <row r="573" spans="1:4" ht="40" customHeight="1" x14ac:dyDescent="0.25">
      <c r="A573" s="5"/>
      <c r="C573" s="8"/>
      <c r="D573" s="7"/>
    </row>
    <row r="574" spans="1:4" ht="40" customHeight="1" x14ac:dyDescent="0.25">
      <c r="A574" s="5"/>
      <c r="C574" s="8"/>
      <c r="D574" s="7"/>
    </row>
    <row r="575" spans="1:4" ht="40" customHeight="1" x14ac:dyDescent="0.25">
      <c r="A575" s="5"/>
      <c r="C575" s="8"/>
      <c r="D575" s="7"/>
    </row>
    <row r="576" spans="1:4" ht="40" customHeight="1" x14ac:dyDescent="0.25">
      <c r="A576" s="5"/>
      <c r="C576" s="8"/>
      <c r="D576" s="7"/>
    </row>
    <row r="577" spans="1:4" ht="40" customHeight="1" x14ac:dyDescent="0.25">
      <c r="A577" s="5"/>
      <c r="C577" s="8"/>
      <c r="D577" s="7"/>
    </row>
    <row r="578" spans="1:4" ht="40" customHeight="1" x14ac:dyDescent="0.25">
      <c r="A578" s="5"/>
      <c r="C578" s="8"/>
      <c r="D578" s="7"/>
    </row>
    <row r="579" spans="1:4" ht="40" customHeight="1" x14ac:dyDescent="0.25">
      <c r="A579" s="5"/>
      <c r="C579" s="8"/>
      <c r="D579" s="7"/>
    </row>
    <row r="580" spans="1:4" ht="40" customHeight="1" x14ac:dyDescent="0.25">
      <c r="A580" s="5"/>
      <c r="C580" s="8"/>
      <c r="D580" s="7"/>
    </row>
    <row r="581" spans="1:4" ht="40" customHeight="1" x14ac:dyDescent="0.25">
      <c r="A581" s="5"/>
      <c r="C581" s="8"/>
      <c r="D581" s="7"/>
    </row>
    <row r="582" spans="1:4" ht="40" customHeight="1" x14ac:dyDescent="0.25">
      <c r="A582" s="5"/>
      <c r="C582" s="8"/>
      <c r="D582" s="7"/>
    </row>
    <row r="583" spans="1:4" ht="40" customHeight="1" x14ac:dyDescent="0.25">
      <c r="A583" s="5"/>
      <c r="C583" s="8"/>
      <c r="D583" s="7"/>
    </row>
    <row r="584" spans="1:4" ht="40" customHeight="1" x14ac:dyDescent="0.25">
      <c r="A584" s="5"/>
      <c r="C584" s="8"/>
      <c r="D584" s="7"/>
    </row>
    <row r="585" spans="1:4" ht="40" customHeight="1" x14ac:dyDescent="0.25">
      <c r="A585" s="5"/>
      <c r="C585" s="8"/>
      <c r="D585" s="7"/>
    </row>
    <row r="586" spans="1:4" ht="40" customHeight="1" x14ac:dyDescent="0.25">
      <c r="A586" s="5"/>
      <c r="C586" s="8"/>
      <c r="D586" s="7"/>
    </row>
    <row r="587" spans="1:4" ht="40" customHeight="1" x14ac:dyDescent="0.25">
      <c r="A587" s="5"/>
      <c r="C587" s="8"/>
      <c r="D587" s="7"/>
    </row>
    <row r="588" spans="1:4" ht="40" customHeight="1" x14ac:dyDescent="0.25">
      <c r="A588" s="5"/>
      <c r="C588" s="8"/>
      <c r="D588" s="7"/>
    </row>
    <row r="589" spans="1:4" ht="40" customHeight="1" x14ac:dyDescent="0.25">
      <c r="A589" s="5"/>
      <c r="C589" s="8"/>
      <c r="D589" s="7"/>
    </row>
    <row r="590" spans="1:4" ht="40" customHeight="1" x14ac:dyDescent="0.25">
      <c r="A590" s="5"/>
      <c r="C590" s="8"/>
      <c r="D590" s="7"/>
    </row>
    <row r="591" spans="1:4" ht="40" customHeight="1" x14ac:dyDescent="0.25">
      <c r="A591" s="5"/>
      <c r="C591" s="8"/>
      <c r="D591" s="7"/>
    </row>
    <row r="592" spans="1:4" ht="40" customHeight="1" x14ac:dyDescent="0.25">
      <c r="A592" s="5"/>
      <c r="C592" s="8"/>
      <c r="D592" s="7"/>
    </row>
    <row r="593" spans="1:4" ht="40" customHeight="1" x14ac:dyDescent="0.25">
      <c r="A593" s="5"/>
      <c r="C593" s="8"/>
      <c r="D593" s="7"/>
    </row>
    <row r="594" spans="1:4" ht="40" customHeight="1" x14ac:dyDescent="0.25">
      <c r="A594" s="5"/>
      <c r="C594" s="8"/>
      <c r="D594" s="7"/>
    </row>
    <row r="595" spans="1:4" ht="40" customHeight="1" x14ac:dyDescent="0.25">
      <c r="A595" s="5"/>
      <c r="C595" s="8"/>
      <c r="D595" s="7"/>
    </row>
    <row r="596" spans="1:4" ht="40" customHeight="1" x14ac:dyDescent="0.25">
      <c r="A596" s="5"/>
      <c r="C596" s="8"/>
      <c r="D596" s="7"/>
    </row>
    <row r="597" spans="1:4" ht="40" customHeight="1" x14ac:dyDescent="0.25">
      <c r="A597" s="5"/>
      <c r="C597" s="8"/>
      <c r="D597" s="7"/>
    </row>
    <row r="598" spans="1:4" ht="40" customHeight="1" x14ac:dyDescent="0.25">
      <c r="A598" s="5"/>
      <c r="C598" s="8"/>
      <c r="D598" s="7"/>
    </row>
    <row r="599" spans="1:4" ht="40" customHeight="1" x14ac:dyDescent="0.25">
      <c r="A599" s="5"/>
      <c r="C599" s="8"/>
      <c r="D599" s="7"/>
    </row>
    <row r="600" spans="1:4" ht="40" customHeight="1" x14ac:dyDescent="0.25">
      <c r="A600" s="5"/>
      <c r="C600" s="8"/>
      <c r="D600" s="7"/>
    </row>
    <row r="601" spans="1:4" ht="40" customHeight="1" x14ac:dyDescent="0.25">
      <c r="A601" s="5"/>
      <c r="C601" s="8"/>
      <c r="D601" s="7"/>
    </row>
    <row r="602" spans="1:4" ht="40" customHeight="1" x14ac:dyDescent="0.25">
      <c r="A602" s="5"/>
      <c r="C602" s="8"/>
      <c r="D602" s="7"/>
    </row>
  </sheetData>
  <sheetProtection password="C47F" sheet="1"/>
  <mergeCells count="6">
    <mergeCell ref="A3:A4"/>
    <mergeCell ref="P3:P4"/>
    <mergeCell ref="G3:O3"/>
    <mergeCell ref="D3:D4"/>
    <mergeCell ref="C3:C4"/>
    <mergeCell ref="F3:F4"/>
  </mergeCells>
  <phoneticPr fontId="0" type="noConversion"/>
  <dataValidations count="1">
    <dataValidation type="whole" allowBlank="1" showInputMessage="1" showErrorMessage="1" sqref="C268:C65536">
      <formula1>0</formula1>
      <formula2>3</formula2>
    </dataValidation>
  </dataValidations>
  <printOptions horizontalCentered="1"/>
  <pageMargins left="0.39370078740157483" right="0.39370078740157483" top="0.98425196850393704" bottom="0.51181102362204722" header="0.51181102362204722" footer="0.51181102362204722"/>
  <pageSetup paperSize="8" orientation="portrait" horizontalDpi="4294967293" verticalDpi="300" r:id="rId1"/>
  <headerFooter alignWithMargins="0">
    <oddHeader>&amp;C&amp;"Arial,Bold"&amp;14ENNEAGRAM TEST</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C17:T38"/>
  <sheetViews>
    <sheetView workbookViewId="0"/>
  </sheetViews>
  <sheetFormatPr defaultColWidth="9.1796875" defaultRowHeight="12.5" x14ac:dyDescent="0.25"/>
  <cols>
    <col min="1" max="16384" width="9.1796875" style="55"/>
  </cols>
  <sheetData>
    <row r="17" spans="3:20" x14ac:dyDescent="0.25">
      <c r="S17"/>
    </row>
    <row r="19" spans="3:20" x14ac:dyDescent="0.25">
      <c r="T19"/>
    </row>
    <row r="27" spans="3:20" x14ac:dyDescent="0.25">
      <c r="M27" s="81" t="s">
        <v>224</v>
      </c>
      <c r="N27" s="81"/>
      <c r="O27" s="81"/>
      <c r="P27" s="81"/>
      <c r="Q27" s="81"/>
      <c r="R27" s="81"/>
    </row>
    <row r="28" spans="3:20" ht="13" x14ac:dyDescent="0.3">
      <c r="D28" s="56"/>
      <c r="E28" s="56"/>
      <c r="F28" s="57"/>
      <c r="G28" s="57"/>
      <c r="H28" s="57"/>
      <c r="I28" s="57"/>
      <c r="J28" s="57"/>
      <c r="M28" s="81"/>
      <c r="N28" s="81"/>
      <c r="O28" s="81"/>
      <c r="P28" s="81"/>
      <c r="Q28" s="81"/>
      <c r="R28" s="81"/>
    </row>
    <row r="29" spans="3:20" ht="13" x14ac:dyDescent="0.3">
      <c r="C29" s="58"/>
      <c r="D29" s="58"/>
      <c r="E29" s="58"/>
      <c r="F29" s="58"/>
      <c r="G29" s="58"/>
      <c r="H29" s="58"/>
      <c r="I29" s="58"/>
      <c r="J29" s="58"/>
      <c r="M29" s="81"/>
      <c r="N29" s="81"/>
      <c r="O29" s="81"/>
      <c r="P29" s="81"/>
      <c r="Q29" s="81"/>
      <c r="R29" s="81"/>
    </row>
    <row r="30" spans="3:20" ht="13" x14ac:dyDescent="0.3">
      <c r="H30" s="59"/>
    </row>
    <row r="31" spans="3:20" ht="13" x14ac:dyDescent="0.3">
      <c r="H31" s="59"/>
    </row>
    <row r="32" spans="3:20" ht="13" x14ac:dyDescent="0.3">
      <c r="H32" s="59"/>
    </row>
    <row r="33" spans="8:8" ht="13" x14ac:dyDescent="0.3">
      <c r="H33" s="59"/>
    </row>
    <row r="34" spans="8:8" ht="13" x14ac:dyDescent="0.3">
      <c r="H34" s="59"/>
    </row>
    <row r="35" spans="8:8" ht="13" x14ac:dyDescent="0.3">
      <c r="H35" s="59"/>
    </row>
    <row r="36" spans="8:8" ht="13" x14ac:dyDescent="0.3">
      <c r="H36" s="59"/>
    </row>
    <row r="37" spans="8:8" ht="13" x14ac:dyDescent="0.3">
      <c r="H37" s="59"/>
    </row>
    <row r="38" spans="8:8" ht="13" x14ac:dyDescent="0.3">
      <c r="H38" s="59"/>
    </row>
  </sheetData>
  <sheetProtection password="C47F" sheet="1" objects="1"/>
  <mergeCells count="1">
    <mergeCell ref="M27:R29"/>
  </mergeCells>
  <phoneticPr fontId="0" type="noConversion"/>
  <pageMargins left="0.75" right="0.75" top="1" bottom="1" header="0.5" footer="0.5"/>
  <pageSetup paperSize="9" orientation="portrait" horizontalDpi="0" verticalDpi="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1:B45"/>
  <sheetViews>
    <sheetView zoomScaleNormal="100" workbookViewId="0"/>
  </sheetViews>
  <sheetFormatPr defaultColWidth="9.1796875" defaultRowHeight="12.5" x14ac:dyDescent="0.25"/>
  <cols>
    <col min="1" max="1" width="5.54296875" style="12" customWidth="1"/>
    <col min="2" max="2" width="149.453125" style="12" customWidth="1"/>
    <col min="3" max="16384" width="9.1796875" style="12"/>
  </cols>
  <sheetData>
    <row r="1" spans="2:2" ht="77.25" customHeight="1" thickBot="1" x14ac:dyDescent="0.3"/>
    <row r="2" spans="2:2" ht="19" x14ac:dyDescent="0.25">
      <c r="B2" s="13" t="s">
        <v>186</v>
      </c>
    </row>
    <row r="3" spans="2:2" ht="129" customHeight="1" x14ac:dyDescent="0.25">
      <c r="B3" s="14" t="s">
        <v>187</v>
      </c>
    </row>
    <row r="4" spans="2:2" ht="19" x14ac:dyDescent="0.25">
      <c r="B4" s="15" t="s">
        <v>188</v>
      </c>
    </row>
    <row r="5" spans="2:2" ht="74.25" customHeight="1" thickBot="1" x14ac:dyDescent="0.3">
      <c r="B5" s="16" t="s">
        <v>189</v>
      </c>
    </row>
    <row r="7" spans="2:2" ht="19" hidden="1" x14ac:dyDescent="0.25">
      <c r="B7" s="17" t="s">
        <v>190</v>
      </c>
    </row>
    <row r="8" spans="2:2" ht="138.75" hidden="1" customHeight="1" x14ac:dyDescent="0.25">
      <c r="B8" s="14" t="s">
        <v>191</v>
      </c>
    </row>
    <row r="9" spans="2:2" ht="19" hidden="1" x14ac:dyDescent="0.25">
      <c r="B9" s="18" t="s">
        <v>192</v>
      </c>
    </row>
    <row r="10" spans="2:2" ht="117.75" hidden="1" customHeight="1" thickBot="1" x14ac:dyDescent="0.3">
      <c r="B10" s="19" t="s">
        <v>193</v>
      </c>
    </row>
    <row r="11" spans="2:2" ht="13" hidden="1" thickBot="1" x14ac:dyDescent="0.3"/>
    <row r="12" spans="2:2" ht="19" hidden="1" x14ac:dyDescent="0.25">
      <c r="B12" s="20" t="s">
        <v>194</v>
      </c>
    </row>
    <row r="13" spans="2:2" ht="120.75" hidden="1" customHeight="1" x14ac:dyDescent="0.25">
      <c r="B13" s="14" t="s">
        <v>195</v>
      </c>
    </row>
    <row r="14" spans="2:2" ht="19" hidden="1" x14ac:dyDescent="0.25">
      <c r="B14" s="21" t="s">
        <v>196</v>
      </c>
    </row>
    <row r="15" spans="2:2" ht="19.5" hidden="1" thickBot="1" x14ac:dyDescent="0.3">
      <c r="B15" s="22" t="s">
        <v>197</v>
      </c>
    </row>
    <row r="16" spans="2:2" ht="13" hidden="1" thickBot="1" x14ac:dyDescent="0.3"/>
    <row r="17" spans="2:2" ht="19" hidden="1" x14ac:dyDescent="0.25">
      <c r="B17" s="23" t="s">
        <v>198</v>
      </c>
    </row>
    <row r="18" spans="2:2" ht="119.25" hidden="1" customHeight="1" x14ac:dyDescent="0.25">
      <c r="B18" s="14" t="s">
        <v>199</v>
      </c>
    </row>
    <row r="19" spans="2:2" ht="19" hidden="1" x14ac:dyDescent="0.25">
      <c r="B19" s="24" t="s">
        <v>200</v>
      </c>
    </row>
    <row r="20" spans="2:2" ht="19.5" hidden="1" thickBot="1" x14ac:dyDescent="0.3">
      <c r="B20" s="25" t="s">
        <v>201</v>
      </c>
    </row>
    <row r="21" spans="2:2" ht="13" hidden="1" thickBot="1" x14ac:dyDescent="0.3"/>
    <row r="22" spans="2:2" ht="19" hidden="1" x14ac:dyDescent="0.25">
      <c r="B22" s="26" t="s">
        <v>202</v>
      </c>
    </row>
    <row r="23" spans="2:2" ht="138" hidden="1" customHeight="1" x14ac:dyDescent="0.25">
      <c r="B23" s="14" t="s">
        <v>203</v>
      </c>
    </row>
    <row r="24" spans="2:2" ht="19" hidden="1" x14ac:dyDescent="0.25">
      <c r="B24" s="27" t="s">
        <v>204</v>
      </c>
    </row>
    <row r="25" spans="2:2" ht="19.5" hidden="1" thickBot="1" x14ac:dyDescent="0.3">
      <c r="B25" s="28" t="s">
        <v>205</v>
      </c>
    </row>
    <row r="26" spans="2:2" ht="13" hidden="1" thickBot="1" x14ac:dyDescent="0.3"/>
    <row r="27" spans="2:2" ht="19" hidden="1" x14ac:dyDescent="0.25">
      <c r="B27" s="29" t="s">
        <v>206</v>
      </c>
    </row>
    <row r="28" spans="2:2" ht="156" hidden="1" customHeight="1" x14ac:dyDescent="0.25">
      <c r="B28" s="14" t="s">
        <v>207</v>
      </c>
    </row>
    <row r="29" spans="2:2" ht="19" hidden="1" x14ac:dyDescent="0.25">
      <c r="B29" s="30" t="s">
        <v>208</v>
      </c>
    </row>
    <row r="30" spans="2:2" ht="21" hidden="1" customHeight="1" thickBot="1" x14ac:dyDescent="0.3">
      <c r="B30" s="31" t="s">
        <v>209</v>
      </c>
    </row>
    <row r="31" spans="2:2" ht="13" hidden="1" thickBot="1" x14ac:dyDescent="0.3"/>
    <row r="32" spans="2:2" ht="19" hidden="1" x14ac:dyDescent="0.25">
      <c r="B32" s="32" t="s">
        <v>210</v>
      </c>
    </row>
    <row r="33" spans="2:2" ht="117.75" hidden="1" customHeight="1" x14ac:dyDescent="0.25">
      <c r="B33" s="14" t="s">
        <v>211</v>
      </c>
    </row>
    <row r="34" spans="2:2" ht="19" hidden="1" x14ac:dyDescent="0.25">
      <c r="B34" s="33" t="s">
        <v>212</v>
      </c>
    </row>
    <row r="35" spans="2:2" ht="21" hidden="1" customHeight="1" thickBot="1" x14ac:dyDescent="0.3">
      <c r="B35" s="34" t="s">
        <v>213</v>
      </c>
    </row>
    <row r="36" spans="2:2" ht="13" hidden="1" thickBot="1" x14ac:dyDescent="0.3"/>
    <row r="37" spans="2:2" ht="19" hidden="1" x14ac:dyDescent="0.25">
      <c r="B37" s="35" t="s">
        <v>214</v>
      </c>
    </row>
    <row r="38" spans="2:2" ht="196.5" hidden="1" customHeight="1" x14ac:dyDescent="0.25">
      <c r="B38" s="14" t="s">
        <v>215</v>
      </c>
    </row>
    <row r="39" spans="2:2" ht="19" hidden="1" x14ac:dyDescent="0.25">
      <c r="B39" s="36" t="s">
        <v>216</v>
      </c>
    </row>
    <row r="40" spans="2:2" ht="21.75" hidden="1" customHeight="1" thickBot="1" x14ac:dyDescent="0.3">
      <c r="B40" s="37" t="s">
        <v>217</v>
      </c>
    </row>
    <row r="41" spans="2:2" ht="13" hidden="1" thickBot="1" x14ac:dyDescent="0.3"/>
    <row r="42" spans="2:2" ht="19" hidden="1" x14ac:dyDescent="0.25">
      <c r="B42" s="38" t="s">
        <v>218</v>
      </c>
    </row>
    <row r="43" spans="2:2" ht="158.25" hidden="1" customHeight="1" x14ac:dyDescent="0.25">
      <c r="B43" s="14" t="s">
        <v>219</v>
      </c>
    </row>
    <row r="44" spans="2:2" ht="19" hidden="1" x14ac:dyDescent="0.25">
      <c r="B44" s="39" t="s">
        <v>220</v>
      </c>
    </row>
    <row r="45" spans="2:2" ht="28.5" hidden="1" customHeight="1" thickBot="1" x14ac:dyDescent="0.3">
      <c r="B45" s="40" t="s">
        <v>221</v>
      </c>
    </row>
  </sheetData>
  <sheetProtection password="C47F" sheet="1" objects="1"/>
  <pageMargins left="0.70866141732283472" right="0.70866141732283472" top="0.74803149606299213" bottom="0.74803149606299213" header="0.31496062992125984" footer="0.31496062992125984"/>
  <pageSetup paperSize="9"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1:B45"/>
  <sheetViews>
    <sheetView zoomScaleNormal="100" workbookViewId="0"/>
  </sheetViews>
  <sheetFormatPr defaultColWidth="9.1796875" defaultRowHeight="12.5" x14ac:dyDescent="0.25"/>
  <cols>
    <col min="1" max="1" width="5.54296875" style="12" customWidth="1"/>
    <col min="2" max="2" width="149.453125" style="12" customWidth="1"/>
    <col min="3" max="16384" width="9.1796875" style="12"/>
  </cols>
  <sheetData>
    <row r="1" spans="2:2" ht="77.25" customHeight="1" thickBot="1" x14ac:dyDescent="0.3"/>
    <row r="2" spans="2:2" ht="19" hidden="1" x14ac:dyDescent="0.25">
      <c r="B2" s="13" t="s">
        <v>186</v>
      </c>
    </row>
    <row r="3" spans="2:2" ht="118.5" hidden="1" customHeight="1" x14ac:dyDescent="0.25">
      <c r="B3" s="14" t="s">
        <v>187</v>
      </c>
    </row>
    <row r="4" spans="2:2" ht="19" hidden="1" x14ac:dyDescent="0.25">
      <c r="B4" s="15" t="s">
        <v>188</v>
      </c>
    </row>
    <row r="5" spans="2:2" ht="64.5" hidden="1" customHeight="1" thickBot="1" x14ac:dyDescent="0.3">
      <c r="B5" s="16" t="s">
        <v>189</v>
      </c>
    </row>
    <row r="6" spans="2:2" ht="13" hidden="1" thickBot="1" x14ac:dyDescent="0.3"/>
    <row r="7" spans="2:2" ht="19" x14ac:dyDescent="0.25">
      <c r="B7" s="17" t="s">
        <v>190</v>
      </c>
    </row>
    <row r="8" spans="2:2" ht="139.5" customHeight="1" x14ac:dyDescent="0.25">
      <c r="B8" s="14" t="s">
        <v>191</v>
      </c>
    </row>
    <row r="9" spans="2:2" ht="19" x14ac:dyDescent="0.25">
      <c r="B9" s="18" t="s">
        <v>192</v>
      </c>
    </row>
    <row r="10" spans="2:2" ht="121.5" customHeight="1" thickBot="1" x14ac:dyDescent="0.3">
      <c r="B10" s="19" t="s">
        <v>193</v>
      </c>
    </row>
    <row r="11" spans="2:2" ht="13" hidden="1" thickBot="1" x14ac:dyDescent="0.3"/>
    <row r="12" spans="2:2" ht="19" hidden="1" x14ac:dyDescent="0.25">
      <c r="B12" s="20" t="s">
        <v>194</v>
      </c>
    </row>
    <row r="13" spans="2:2" ht="120.75" hidden="1" customHeight="1" x14ac:dyDescent="0.25">
      <c r="B13" s="14" t="s">
        <v>195</v>
      </c>
    </row>
    <row r="14" spans="2:2" ht="19" hidden="1" x14ac:dyDescent="0.25">
      <c r="B14" s="21" t="s">
        <v>196</v>
      </c>
    </row>
    <row r="15" spans="2:2" ht="19.5" hidden="1" thickBot="1" x14ac:dyDescent="0.3">
      <c r="B15" s="22" t="s">
        <v>197</v>
      </c>
    </row>
    <row r="16" spans="2:2" ht="13" hidden="1" thickBot="1" x14ac:dyDescent="0.3"/>
    <row r="17" spans="2:2" ht="19" hidden="1" x14ac:dyDescent="0.25">
      <c r="B17" s="23" t="s">
        <v>198</v>
      </c>
    </row>
    <row r="18" spans="2:2" ht="119.25" hidden="1" customHeight="1" x14ac:dyDescent="0.25">
      <c r="B18" s="14" t="s">
        <v>199</v>
      </c>
    </row>
    <row r="19" spans="2:2" ht="19" hidden="1" x14ac:dyDescent="0.25">
      <c r="B19" s="24" t="s">
        <v>200</v>
      </c>
    </row>
    <row r="20" spans="2:2" ht="19.5" hidden="1" thickBot="1" x14ac:dyDescent="0.3">
      <c r="B20" s="25" t="s">
        <v>201</v>
      </c>
    </row>
    <row r="21" spans="2:2" ht="13" hidden="1" thickBot="1" x14ac:dyDescent="0.3"/>
    <row r="22" spans="2:2" ht="19" hidden="1" x14ac:dyDescent="0.25">
      <c r="B22" s="26" t="s">
        <v>202</v>
      </c>
    </row>
    <row r="23" spans="2:2" ht="138" hidden="1" customHeight="1" x14ac:dyDescent="0.25">
      <c r="B23" s="14" t="s">
        <v>203</v>
      </c>
    </row>
    <row r="24" spans="2:2" ht="19" hidden="1" x14ac:dyDescent="0.25">
      <c r="B24" s="27" t="s">
        <v>204</v>
      </c>
    </row>
    <row r="25" spans="2:2" ht="19.5" hidden="1" thickBot="1" x14ac:dyDescent="0.3">
      <c r="B25" s="28" t="s">
        <v>205</v>
      </c>
    </row>
    <row r="26" spans="2:2" ht="13" hidden="1" thickBot="1" x14ac:dyDescent="0.3"/>
    <row r="27" spans="2:2" ht="19" hidden="1" x14ac:dyDescent="0.25">
      <c r="B27" s="29" t="s">
        <v>206</v>
      </c>
    </row>
    <row r="28" spans="2:2" ht="156" hidden="1" customHeight="1" x14ac:dyDescent="0.25">
      <c r="B28" s="14" t="s">
        <v>207</v>
      </c>
    </row>
    <row r="29" spans="2:2" ht="19" hidden="1" x14ac:dyDescent="0.25">
      <c r="B29" s="30" t="s">
        <v>208</v>
      </c>
    </row>
    <row r="30" spans="2:2" ht="21" hidden="1" customHeight="1" thickBot="1" x14ac:dyDescent="0.3">
      <c r="B30" s="31" t="s">
        <v>209</v>
      </c>
    </row>
    <row r="31" spans="2:2" ht="13" hidden="1" thickBot="1" x14ac:dyDescent="0.3"/>
    <row r="32" spans="2:2" ht="19" hidden="1" x14ac:dyDescent="0.25">
      <c r="B32" s="32" t="s">
        <v>210</v>
      </c>
    </row>
    <row r="33" spans="2:2" ht="117.75" hidden="1" customHeight="1" x14ac:dyDescent="0.25">
      <c r="B33" s="14" t="s">
        <v>211</v>
      </c>
    </row>
    <row r="34" spans="2:2" ht="19" hidden="1" x14ac:dyDescent="0.25">
      <c r="B34" s="33" t="s">
        <v>212</v>
      </c>
    </row>
    <row r="35" spans="2:2" ht="21" hidden="1" customHeight="1" thickBot="1" x14ac:dyDescent="0.3">
      <c r="B35" s="34" t="s">
        <v>213</v>
      </c>
    </row>
    <row r="36" spans="2:2" ht="13" hidden="1" thickBot="1" x14ac:dyDescent="0.3"/>
    <row r="37" spans="2:2" ht="19" hidden="1" x14ac:dyDescent="0.25">
      <c r="B37" s="35" t="s">
        <v>214</v>
      </c>
    </row>
    <row r="38" spans="2:2" ht="196.5" hidden="1" customHeight="1" x14ac:dyDescent="0.25">
      <c r="B38" s="14" t="s">
        <v>215</v>
      </c>
    </row>
    <row r="39" spans="2:2" ht="19" hidden="1" x14ac:dyDescent="0.25">
      <c r="B39" s="36" t="s">
        <v>216</v>
      </c>
    </row>
    <row r="40" spans="2:2" ht="21.75" hidden="1" customHeight="1" thickBot="1" x14ac:dyDescent="0.3">
      <c r="B40" s="37" t="s">
        <v>217</v>
      </c>
    </row>
    <row r="41" spans="2:2" ht="13" hidden="1" thickBot="1" x14ac:dyDescent="0.3"/>
    <row r="42" spans="2:2" ht="19" hidden="1" x14ac:dyDescent="0.25">
      <c r="B42" s="38" t="s">
        <v>218</v>
      </c>
    </row>
    <row r="43" spans="2:2" ht="158.25" hidden="1" customHeight="1" x14ac:dyDescent="0.25">
      <c r="B43" s="14" t="s">
        <v>219</v>
      </c>
    </row>
    <row r="44" spans="2:2" ht="19" hidden="1" x14ac:dyDescent="0.25">
      <c r="B44" s="39" t="s">
        <v>220</v>
      </c>
    </row>
    <row r="45" spans="2:2" ht="28.5" hidden="1" customHeight="1" thickBot="1" x14ac:dyDescent="0.3">
      <c r="B45" s="40" t="s">
        <v>221</v>
      </c>
    </row>
  </sheetData>
  <sheetProtection password="C47F" sheet="1" objects="1"/>
  <pageMargins left="0.70866141732283472" right="0.70866141732283472" top="0.74803149606299213" bottom="0.74803149606299213" header="0.31496062992125984" footer="0.31496062992125984"/>
  <pageSetup paperSize="9" scale="97"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B1:B45"/>
  <sheetViews>
    <sheetView zoomScaleNormal="100" workbookViewId="0"/>
  </sheetViews>
  <sheetFormatPr defaultColWidth="9.1796875" defaultRowHeight="12.5" x14ac:dyDescent="0.25"/>
  <cols>
    <col min="1" max="1" width="5.54296875" style="12" customWidth="1"/>
    <col min="2" max="2" width="149.453125" style="12" customWidth="1"/>
    <col min="3" max="16384" width="9.1796875" style="12"/>
  </cols>
  <sheetData>
    <row r="1" spans="2:2" ht="77.25" customHeight="1" thickBot="1" x14ac:dyDescent="0.3"/>
    <row r="2" spans="2:2" ht="19" hidden="1" x14ac:dyDescent="0.25">
      <c r="B2" s="13" t="s">
        <v>186</v>
      </c>
    </row>
    <row r="3" spans="2:2" ht="118.5" hidden="1" customHeight="1" x14ac:dyDescent="0.25">
      <c r="B3" s="14" t="s">
        <v>187</v>
      </c>
    </row>
    <row r="4" spans="2:2" ht="19" hidden="1" x14ac:dyDescent="0.25">
      <c r="B4" s="15" t="s">
        <v>188</v>
      </c>
    </row>
    <row r="5" spans="2:2" ht="64.5" hidden="1" customHeight="1" thickBot="1" x14ac:dyDescent="0.3">
      <c r="B5" s="16" t="s">
        <v>189</v>
      </c>
    </row>
    <row r="6" spans="2:2" ht="13" hidden="1" thickBot="1" x14ac:dyDescent="0.3"/>
    <row r="7" spans="2:2" ht="19" hidden="1" x14ac:dyDescent="0.25">
      <c r="B7" s="17" t="s">
        <v>190</v>
      </c>
    </row>
    <row r="8" spans="2:2" ht="138.75" hidden="1" customHeight="1" x14ac:dyDescent="0.25">
      <c r="B8" s="14" t="s">
        <v>191</v>
      </c>
    </row>
    <row r="9" spans="2:2" ht="19" hidden="1" x14ac:dyDescent="0.25">
      <c r="B9" s="18" t="s">
        <v>192</v>
      </c>
    </row>
    <row r="10" spans="2:2" ht="117.75" hidden="1" customHeight="1" thickBot="1" x14ac:dyDescent="0.3">
      <c r="B10" s="19" t="s">
        <v>193</v>
      </c>
    </row>
    <row r="11" spans="2:2" ht="13" hidden="1" thickBot="1" x14ac:dyDescent="0.3"/>
    <row r="12" spans="2:2" ht="19" x14ac:dyDescent="0.25">
      <c r="B12" s="20" t="s">
        <v>194</v>
      </c>
    </row>
    <row r="13" spans="2:2" ht="138" customHeight="1" x14ac:dyDescent="0.25">
      <c r="B13" s="14" t="s">
        <v>195</v>
      </c>
    </row>
    <row r="14" spans="2:2" ht="19" x14ac:dyDescent="0.25">
      <c r="B14" s="21" t="s">
        <v>196</v>
      </c>
    </row>
    <row r="15" spans="2:2" ht="19.5" thickBot="1" x14ac:dyDescent="0.3">
      <c r="B15" s="22" t="s">
        <v>197</v>
      </c>
    </row>
    <row r="16" spans="2:2" ht="13" hidden="1" thickBot="1" x14ac:dyDescent="0.3"/>
    <row r="17" spans="2:2" ht="19" hidden="1" x14ac:dyDescent="0.25">
      <c r="B17" s="23" t="s">
        <v>198</v>
      </c>
    </row>
    <row r="18" spans="2:2" ht="119.25" hidden="1" customHeight="1" x14ac:dyDescent="0.25">
      <c r="B18" s="14" t="s">
        <v>199</v>
      </c>
    </row>
    <row r="19" spans="2:2" ht="19" hidden="1" x14ac:dyDescent="0.25">
      <c r="B19" s="24" t="s">
        <v>200</v>
      </c>
    </row>
    <row r="20" spans="2:2" ht="19.5" hidden="1" thickBot="1" x14ac:dyDescent="0.3">
      <c r="B20" s="25" t="s">
        <v>201</v>
      </c>
    </row>
    <row r="21" spans="2:2" ht="13" hidden="1" thickBot="1" x14ac:dyDescent="0.3"/>
    <row r="22" spans="2:2" ht="19" hidden="1" x14ac:dyDescent="0.25">
      <c r="B22" s="26" t="s">
        <v>202</v>
      </c>
    </row>
    <row r="23" spans="2:2" ht="138" hidden="1" customHeight="1" x14ac:dyDescent="0.25">
      <c r="B23" s="14" t="s">
        <v>203</v>
      </c>
    </row>
    <row r="24" spans="2:2" ht="19" hidden="1" x14ac:dyDescent="0.25">
      <c r="B24" s="27" t="s">
        <v>204</v>
      </c>
    </row>
    <row r="25" spans="2:2" ht="19.5" hidden="1" thickBot="1" x14ac:dyDescent="0.3">
      <c r="B25" s="28" t="s">
        <v>205</v>
      </c>
    </row>
    <row r="26" spans="2:2" ht="13" hidden="1" thickBot="1" x14ac:dyDescent="0.3"/>
    <row r="27" spans="2:2" ht="19" hidden="1" x14ac:dyDescent="0.25">
      <c r="B27" s="29" t="s">
        <v>206</v>
      </c>
    </row>
    <row r="28" spans="2:2" ht="156" hidden="1" customHeight="1" x14ac:dyDescent="0.25">
      <c r="B28" s="14" t="s">
        <v>207</v>
      </c>
    </row>
    <row r="29" spans="2:2" ht="19" hidden="1" x14ac:dyDescent="0.25">
      <c r="B29" s="30" t="s">
        <v>208</v>
      </c>
    </row>
    <row r="30" spans="2:2" ht="21" hidden="1" customHeight="1" thickBot="1" x14ac:dyDescent="0.3">
      <c r="B30" s="31" t="s">
        <v>209</v>
      </c>
    </row>
    <row r="31" spans="2:2" ht="13" hidden="1" thickBot="1" x14ac:dyDescent="0.3"/>
    <row r="32" spans="2:2" ht="19" hidden="1" x14ac:dyDescent="0.25">
      <c r="B32" s="32" t="s">
        <v>210</v>
      </c>
    </row>
    <row r="33" spans="2:2" ht="117.75" hidden="1" customHeight="1" x14ac:dyDescent="0.25">
      <c r="B33" s="14" t="s">
        <v>211</v>
      </c>
    </row>
    <row r="34" spans="2:2" ht="19" hidden="1" x14ac:dyDescent="0.25">
      <c r="B34" s="33" t="s">
        <v>212</v>
      </c>
    </row>
    <row r="35" spans="2:2" ht="21" hidden="1" customHeight="1" thickBot="1" x14ac:dyDescent="0.3">
      <c r="B35" s="34" t="s">
        <v>213</v>
      </c>
    </row>
    <row r="36" spans="2:2" ht="13" hidden="1" thickBot="1" x14ac:dyDescent="0.3"/>
    <row r="37" spans="2:2" ht="19" hidden="1" x14ac:dyDescent="0.25">
      <c r="B37" s="35" t="s">
        <v>214</v>
      </c>
    </row>
    <row r="38" spans="2:2" ht="196.5" hidden="1" customHeight="1" x14ac:dyDescent="0.25">
      <c r="B38" s="14" t="s">
        <v>215</v>
      </c>
    </row>
    <row r="39" spans="2:2" ht="19" hidden="1" x14ac:dyDescent="0.25">
      <c r="B39" s="36" t="s">
        <v>216</v>
      </c>
    </row>
    <row r="40" spans="2:2" ht="21.75" hidden="1" customHeight="1" thickBot="1" x14ac:dyDescent="0.3">
      <c r="B40" s="37" t="s">
        <v>217</v>
      </c>
    </row>
    <row r="41" spans="2:2" ht="13" hidden="1" thickBot="1" x14ac:dyDescent="0.3"/>
    <row r="42" spans="2:2" ht="19" hidden="1" x14ac:dyDescent="0.25">
      <c r="B42" s="38" t="s">
        <v>218</v>
      </c>
    </row>
    <row r="43" spans="2:2" ht="158.25" hidden="1" customHeight="1" x14ac:dyDescent="0.25">
      <c r="B43" s="14" t="s">
        <v>219</v>
      </c>
    </row>
    <row r="44" spans="2:2" ht="19" hidden="1" x14ac:dyDescent="0.25">
      <c r="B44" s="39" t="s">
        <v>220</v>
      </c>
    </row>
    <row r="45" spans="2:2" ht="28.5" hidden="1" customHeight="1" thickBot="1" x14ac:dyDescent="0.3">
      <c r="B45" s="40" t="s">
        <v>221</v>
      </c>
    </row>
  </sheetData>
  <sheetProtection password="C47F" sheet="1" objects="1"/>
  <pageMargins left="0.70866141732283472" right="0.70866141732283472" top="0.74803149606299213" bottom="0.74803149606299213" header="0.31496062992125984" footer="0.31496062992125984"/>
  <pageSetup paperSize="9"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B1:B45"/>
  <sheetViews>
    <sheetView zoomScaleNormal="100" workbookViewId="0"/>
  </sheetViews>
  <sheetFormatPr defaultColWidth="9.1796875" defaultRowHeight="12.5" x14ac:dyDescent="0.25"/>
  <cols>
    <col min="1" max="1" width="5.54296875" style="12" customWidth="1"/>
    <col min="2" max="2" width="149.453125" style="12" customWidth="1"/>
    <col min="3" max="16384" width="9.1796875" style="12"/>
  </cols>
  <sheetData>
    <row r="1" spans="2:2" ht="77.25" customHeight="1" thickBot="1" x14ac:dyDescent="0.3"/>
    <row r="2" spans="2:2" ht="19" hidden="1" x14ac:dyDescent="0.25">
      <c r="B2" s="13" t="s">
        <v>186</v>
      </c>
    </row>
    <row r="3" spans="2:2" ht="118.5" hidden="1" customHeight="1" x14ac:dyDescent="0.25">
      <c r="B3" s="14" t="s">
        <v>187</v>
      </c>
    </row>
    <row r="4" spans="2:2" ht="19" hidden="1" x14ac:dyDescent="0.25">
      <c r="B4" s="15" t="s">
        <v>188</v>
      </c>
    </row>
    <row r="5" spans="2:2" ht="64.5" hidden="1" customHeight="1" thickBot="1" x14ac:dyDescent="0.3">
      <c r="B5" s="16" t="s">
        <v>189</v>
      </c>
    </row>
    <row r="6" spans="2:2" ht="13" hidden="1" thickBot="1" x14ac:dyDescent="0.3"/>
    <row r="7" spans="2:2" ht="19" hidden="1" x14ac:dyDescent="0.25">
      <c r="B7" s="17" t="s">
        <v>190</v>
      </c>
    </row>
    <row r="8" spans="2:2" ht="138.75" hidden="1" customHeight="1" x14ac:dyDescent="0.25">
      <c r="B8" s="14" t="s">
        <v>191</v>
      </c>
    </row>
    <row r="9" spans="2:2" ht="19" hidden="1" x14ac:dyDescent="0.25">
      <c r="B9" s="18" t="s">
        <v>192</v>
      </c>
    </row>
    <row r="10" spans="2:2" ht="117.75" hidden="1" customHeight="1" thickBot="1" x14ac:dyDescent="0.3">
      <c r="B10" s="19" t="s">
        <v>193</v>
      </c>
    </row>
    <row r="11" spans="2:2" ht="13" hidden="1" thickBot="1" x14ac:dyDescent="0.3"/>
    <row r="12" spans="2:2" ht="19" hidden="1" x14ac:dyDescent="0.25">
      <c r="B12" s="20" t="s">
        <v>194</v>
      </c>
    </row>
    <row r="13" spans="2:2" ht="120.75" hidden="1" customHeight="1" x14ac:dyDescent="0.25">
      <c r="B13" s="14" t="s">
        <v>195</v>
      </c>
    </row>
    <row r="14" spans="2:2" ht="19" hidden="1" x14ac:dyDescent="0.25">
      <c r="B14" s="21" t="s">
        <v>196</v>
      </c>
    </row>
    <row r="15" spans="2:2" ht="19.5" hidden="1" thickBot="1" x14ac:dyDescent="0.3">
      <c r="B15" s="22" t="s">
        <v>197</v>
      </c>
    </row>
    <row r="16" spans="2:2" ht="13" hidden="1" thickBot="1" x14ac:dyDescent="0.3"/>
    <row r="17" spans="2:2" ht="19" x14ac:dyDescent="0.25">
      <c r="B17" s="23" t="s">
        <v>198</v>
      </c>
    </row>
    <row r="18" spans="2:2" ht="129" customHeight="1" x14ac:dyDescent="0.25">
      <c r="B18" s="14" t="s">
        <v>199</v>
      </c>
    </row>
    <row r="19" spans="2:2" ht="19" x14ac:dyDescent="0.25">
      <c r="B19" s="24" t="s">
        <v>200</v>
      </c>
    </row>
    <row r="20" spans="2:2" ht="19.5" thickBot="1" x14ac:dyDescent="0.3">
      <c r="B20" s="25" t="s">
        <v>201</v>
      </c>
    </row>
    <row r="21" spans="2:2" ht="13" hidden="1" thickBot="1" x14ac:dyDescent="0.3"/>
    <row r="22" spans="2:2" ht="19" hidden="1" x14ac:dyDescent="0.25">
      <c r="B22" s="26" t="s">
        <v>202</v>
      </c>
    </row>
    <row r="23" spans="2:2" ht="138" hidden="1" customHeight="1" x14ac:dyDescent="0.25">
      <c r="B23" s="14" t="s">
        <v>203</v>
      </c>
    </row>
    <row r="24" spans="2:2" ht="19" hidden="1" x14ac:dyDescent="0.25">
      <c r="B24" s="27" t="s">
        <v>204</v>
      </c>
    </row>
    <row r="25" spans="2:2" ht="19.5" hidden="1" thickBot="1" x14ac:dyDescent="0.3">
      <c r="B25" s="28" t="s">
        <v>205</v>
      </c>
    </row>
    <row r="26" spans="2:2" ht="13" hidden="1" thickBot="1" x14ac:dyDescent="0.3"/>
    <row r="27" spans="2:2" ht="19" hidden="1" x14ac:dyDescent="0.25">
      <c r="B27" s="29" t="s">
        <v>206</v>
      </c>
    </row>
    <row r="28" spans="2:2" ht="156" hidden="1" customHeight="1" x14ac:dyDescent="0.25">
      <c r="B28" s="14" t="s">
        <v>207</v>
      </c>
    </row>
    <row r="29" spans="2:2" ht="19" hidden="1" x14ac:dyDescent="0.25">
      <c r="B29" s="30" t="s">
        <v>208</v>
      </c>
    </row>
    <row r="30" spans="2:2" ht="21" hidden="1" customHeight="1" thickBot="1" x14ac:dyDescent="0.3">
      <c r="B30" s="31" t="s">
        <v>209</v>
      </c>
    </row>
    <row r="31" spans="2:2" ht="13" hidden="1" thickBot="1" x14ac:dyDescent="0.3"/>
    <row r="32" spans="2:2" ht="19" hidden="1" x14ac:dyDescent="0.25">
      <c r="B32" s="32" t="s">
        <v>210</v>
      </c>
    </row>
    <row r="33" spans="2:2" ht="117.75" hidden="1" customHeight="1" x14ac:dyDescent="0.25">
      <c r="B33" s="14" t="s">
        <v>211</v>
      </c>
    </row>
    <row r="34" spans="2:2" ht="19" hidden="1" x14ac:dyDescent="0.25">
      <c r="B34" s="33" t="s">
        <v>212</v>
      </c>
    </row>
    <row r="35" spans="2:2" ht="21" hidden="1" customHeight="1" thickBot="1" x14ac:dyDescent="0.3">
      <c r="B35" s="34" t="s">
        <v>213</v>
      </c>
    </row>
    <row r="36" spans="2:2" ht="13" hidden="1" thickBot="1" x14ac:dyDescent="0.3"/>
    <row r="37" spans="2:2" ht="19" hidden="1" x14ac:dyDescent="0.25">
      <c r="B37" s="35" t="s">
        <v>214</v>
      </c>
    </row>
    <row r="38" spans="2:2" ht="196.5" hidden="1" customHeight="1" x14ac:dyDescent="0.25">
      <c r="B38" s="14" t="s">
        <v>215</v>
      </c>
    </row>
    <row r="39" spans="2:2" ht="19" hidden="1" x14ac:dyDescent="0.25">
      <c r="B39" s="36" t="s">
        <v>216</v>
      </c>
    </row>
    <row r="40" spans="2:2" ht="21.75" hidden="1" customHeight="1" thickBot="1" x14ac:dyDescent="0.3">
      <c r="B40" s="37" t="s">
        <v>217</v>
      </c>
    </row>
    <row r="41" spans="2:2" ht="13" hidden="1" thickBot="1" x14ac:dyDescent="0.3"/>
    <row r="42" spans="2:2" ht="19" hidden="1" x14ac:dyDescent="0.25">
      <c r="B42" s="38" t="s">
        <v>218</v>
      </c>
    </row>
    <row r="43" spans="2:2" ht="158.25" hidden="1" customHeight="1" x14ac:dyDescent="0.25">
      <c r="B43" s="14" t="s">
        <v>219</v>
      </c>
    </row>
    <row r="44" spans="2:2" ht="19" hidden="1" x14ac:dyDescent="0.25">
      <c r="B44" s="39" t="s">
        <v>220</v>
      </c>
    </row>
    <row r="45" spans="2:2" ht="28.5" hidden="1" customHeight="1" thickBot="1" x14ac:dyDescent="0.3">
      <c r="B45" s="40" t="s">
        <v>221</v>
      </c>
    </row>
  </sheetData>
  <sheetProtection password="C47F" sheet="1" objects="1"/>
  <pageMargins left="0.70866141732283472" right="0.70866141732283472" top="0.74803149606299213" bottom="0.74803149606299213" header="0.31496062992125984" footer="0.31496062992125984"/>
  <pageSetup paperSize="9"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1:B45"/>
  <sheetViews>
    <sheetView zoomScaleNormal="100" workbookViewId="0"/>
  </sheetViews>
  <sheetFormatPr defaultColWidth="9.1796875" defaultRowHeight="12.5" x14ac:dyDescent="0.25"/>
  <cols>
    <col min="1" max="1" width="5.54296875" style="12" customWidth="1"/>
    <col min="2" max="2" width="149.453125" style="12" customWidth="1"/>
    <col min="3" max="16384" width="9.1796875" style="12"/>
  </cols>
  <sheetData>
    <row r="1" spans="2:2" ht="77.25" customHeight="1" thickBot="1" x14ac:dyDescent="0.3"/>
    <row r="2" spans="2:2" ht="19" hidden="1" x14ac:dyDescent="0.25">
      <c r="B2" s="13" t="s">
        <v>186</v>
      </c>
    </row>
    <row r="3" spans="2:2" ht="118.5" hidden="1" customHeight="1" x14ac:dyDescent="0.25">
      <c r="B3" s="14" t="s">
        <v>187</v>
      </c>
    </row>
    <row r="4" spans="2:2" ht="19" hidden="1" x14ac:dyDescent="0.25">
      <c r="B4" s="15" t="s">
        <v>188</v>
      </c>
    </row>
    <row r="5" spans="2:2" ht="64.5" hidden="1" customHeight="1" thickBot="1" x14ac:dyDescent="0.3">
      <c r="B5" s="16" t="s">
        <v>189</v>
      </c>
    </row>
    <row r="6" spans="2:2" ht="13" hidden="1" thickBot="1" x14ac:dyDescent="0.3"/>
    <row r="7" spans="2:2" ht="19" hidden="1" x14ac:dyDescent="0.25">
      <c r="B7" s="17" t="s">
        <v>190</v>
      </c>
    </row>
    <row r="8" spans="2:2" ht="138.75" hidden="1" customHeight="1" x14ac:dyDescent="0.25">
      <c r="B8" s="14" t="s">
        <v>191</v>
      </c>
    </row>
    <row r="9" spans="2:2" ht="19" hidden="1" x14ac:dyDescent="0.25">
      <c r="B9" s="18" t="s">
        <v>192</v>
      </c>
    </row>
    <row r="10" spans="2:2" ht="117.75" hidden="1" customHeight="1" thickBot="1" x14ac:dyDescent="0.3">
      <c r="B10" s="19" t="s">
        <v>193</v>
      </c>
    </row>
    <row r="11" spans="2:2" ht="13" hidden="1" thickBot="1" x14ac:dyDescent="0.3"/>
    <row r="12" spans="2:2" ht="19" hidden="1" x14ac:dyDescent="0.25">
      <c r="B12" s="20" t="s">
        <v>194</v>
      </c>
    </row>
    <row r="13" spans="2:2" ht="120.75" hidden="1" customHeight="1" x14ac:dyDescent="0.25">
      <c r="B13" s="14" t="s">
        <v>195</v>
      </c>
    </row>
    <row r="14" spans="2:2" ht="19" hidden="1" x14ac:dyDescent="0.25">
      <c r="B14" s="21" t="s">
        <v>196</v>
      </c>
    </row>
    <row r="15" spans="2:2" ht="19.5" hidden="1" thickBot="1" x14ac:dyDescent="0.3">
      <c r="B15" s="22" t="s">
        <v>197</v>
      </c>
    </row>
    <row r="16" spans="2:2" ht="13" hidden="1" thickBot="1" x14ac:dyDescent="0.3"/>
    <row r="17" spans="2:2" ht="19" hidden="1" x14ac:dyDescent="0.25">
      <c r="B17" s="23" t="s">
        <v>198</v>
      </c>
    </row>
    <row r="18" spans="2:2" ht="119.25" hidden="1" customHeight="1" x14ac:dyDescent="0.25">
      <c r="B18" s="14" t="s">
        <v>199</v>
      </c>
    </row>
    <row r="19" spans="2:2" ht="19" hidden="1" x14ac:dyDescent="0.25">
      <c r="B19" s="24" t="s">
        <v>200</v>
      </c>
    </row>
    <row r="20" spans="2:2" ht="19.5" hidden="1" thickBot="1" x14ac:dyDescent="0.3">
      <c r="B20" s="25" t="s">
        <v>201</v>
      </c>
    </row>
    <row r="21" spans="2:2" ht="13" hidden="1" thickBot="1" x14ac:dyDescent="0.3"/>
    <row r="22" spans="2:2" ht="19" x14ac:dyDescent="0.25">
      <c r="B22" s="26" t="s">
        <v>202</v>
      </c>
    </row>
    <row r="23" spans="2:2" ht="153" customHeight="1" x14ac:dyDescent="0.25">
      <c r="B23" s="14" t="s">
        <v>203</v>
      </c>
    </row>
    <row r="24" spans="2:2" ht="19" x14ac:dyDescent="0.25">
      <c r="B24" s="27" t="s">
        <v>204</v>
      </c>
    </row>
    <row r="25" spans="2:2" ht="19.5" thickBot="1" x14ac:dyDescent="0.3">
      <c r="B25" s="28" t="s">
        <v>205</v>
      </c>
    </row>
    <row r="26" spans="2:2" ht="13" hidden="1" thickBot="1" x14ac:dyDescent="0.3"/>
    <row r="27" spans="2:2" ht="19" hidden="1" x14ac:dyDescent="0.25">
      <c r="B27" s="29" t="s">
        <v>206</v>
      </c>
    </row>
    <row r="28" spans="2:2" ht="156" hidden="1" customHeight="1" x14ac:dyDescent="0.25">
      <c r="B28" s="14" t="s">
        <v>207</v>
      </c>
    </row>
    <row r="29" spans="2:2" ht="19" hidden="1" x14ac:dyDescent="0.25">
      <c r="B29" s="30" t="s">
        <v>208</v>
      </c>
    </row>
    <row r="30" spans="2:2" ht="21" hidden="1" customHeight="1" thickBot="1" x14ac:dyDescent="0.3">
      <c r="B30" s="31" t="s">
        <v>209</v>
      </c>
    </row>
    <row r="31" spans="2:2" ht="13" hidden="1" thickBot="1" x14ac:dyDescent="0.3"/>
    <row r="32" spans="2:2" ht="19" hidden="1" x14ac:dyDescent="0.25">
      <c r="B32" s="32" t="s">
        <v>210</v>
      </c>
    </row>
    <row r="33" spans="2:2" ht="117.75" hidden="1" customHeight="1" x14ac:dyDescent="0.25">
      <c r="B33" s="14" t="s">
        <v>211</v>
      </c>
    </row>
    <row r="34" spans="2:2" ht="19" hidden="1" x14ac:dyDescent="0.25">
      <c r="B34" s="33" t="s">
        <v>212</v>
      </c>
    </row>
    <row r="35" spans="2:2" ht="21" hidden="1" customHeight="1" thickBot="1" x14ac:dyDescent="0.3">
      <c r="B35" s="34" t="s">
        <v>213</v>
      </c>
    </row>
    <row r="36" spans="2:2" ht="13" hidden="1" thickBot="1" x14ac:dyDescent="0.3"/>
    <row r="37" spans="2:2" ht="19" hidden="1" x14ac:dyDescent="0.25">
      <c r="B37" s="35" t="s">
        <v>214</v>
      </c>
    </row>
    <row r="38" spans="2:2" ht="196.5" hidden="1" customHeight="1" x14ac:dyDescent="0.25">
      <c r="B38" s="14" t="s">
        <v>215</v>
      </c>
    </row>
    <row r="39" spans="2:2" ht="19" hidden="1" x14ac:dyDescent="0.25">
      <c r="B39" s="36" t="s">
        <v>216</v>
      </c>
    </row>
    <row r="40" spans="2:2" ht="21.75" hidden="1" customHeight="1" thickBot="1" x14ac:dyDescent="0.3">
      <c r="B40" s="37" t="s">
        <v>217</v>
      </c>
    </row>
    <row r="41" spans="2:2" ht="13" hidden="1" thickBot="1" x14ac:dyDescent="0.3"/>
    <row r="42" spans="2:2" ht="19" hidden="1" x14ac:dyDescent="0.25">
      <c r="B42" s="38" t="s">
        <v>218</v>
      </c>
    </row>
    <row r="43" spans="2:2" ht="158.25" hidden="1" customHeight="1" x14ac:dyDescent="0.25">
      <c r="B43" s="14" t="s">
        <v>219</v>
      </c>
    </row>
    <row r="44" spans="2:2" ht="19" hidden="1" x14ac:dyDescent="0.25">
      <c r="B44" s="39" t="s">
        <v>220</v>
      </c>
    </row>
    <row r="45" spans="2:2" ht="28.5" hidden="1" customHeight="1" thickBot="1" x14ac:dyDescent="0.3">
      <c r="B45" s="40" t="s">
        <v>221</v>
      </c>
    </row>
  </sheetData>
  <sheetProtection password="C47F" sheet="1" objects="1"/>
  <pageMargins left="0.70866141732283472" right="0.70866141732283472" top="0.74803149606299213" bottom="0.74803149606299213" header="0.31496062992125984" footer="0.31496062992125984"/>
  <pageSetup paperSize="9"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B1:B45"/>
  <sheetViews>
    <sheetView zoomScaleNormal="100" workbookViewId="0"/>
  </sheetViews>
  <sheetFormatPr defaultColWidth="9.1796875" defaultRowHeight="12.5" x14ac:dyDescent="0.25"/>
  <cols>
    <col min="1" max="1" width="5.54296875" style="12" customWidth="1"/>
    <col min="2" max="2" width="149.453125" style="12" customWidth="1"/>
    <col min="3" max="16384" width="9.1796875" style="12"/>
  </cols>
  <sheetData>
    <row r="1" spans="2:2" ht="77.25" customHeight="1" thickBot="1" x14ac:dyDescent="0.3"/>
    <row r="2" spans="2:2" ht="19" hidden="1" x14ac:dyDescent="0.25">
      <c r="B2" s="13" t="s">
        <v>186</v>
      </c>
    </row>
    <row r="3" spans="2:2" ht="118.5" hidden="1" customHeight="1" x14ac:dyDescent="0.25">
      <c r="B3" s="14" t="s">
        <v>187</v>
      </c>
    </row>
    <row r="4" spans="2:2" ht="19" hidden="1" x14ac:dyDescent="0.25">
      <c r="B4" s="15" t="s">
        <v>188</v>
      </c>
    </row>
    <row r="5" spans="2:2" ht="64.5" hidden="1" customHeight="1" thickBot="1" x14ac:dyDescent="0.3">
      <c r="B5" s="16" t="s">
        <v>189</v>
      </c>
    </row>
    <row r="6" spans="2:2" ht="13" hidden="1" thickBot="1" x14ac:dyDescent="0.3"/>
    <row r="7" spans="2:2" ht="19" hidden="1" x14ac:dyDescent="0.25">
      <c r="B7" s="17" t="s">
        <v>190</v>
      </c>
    </row>
    <row r="8" spans="2:2" ht="138.75" hidden="1" customHeight="1" x14ac:dyDescent="0.25">
      <c r="B8" s="14" t="s">
        <v>191</v>
      </c>
    </row>
    <row r="9" spans="2:2" ht="19" hidden="1" x14ac:dyDescent="0.25">
      <c r="B9" s="18" t="s">
        <v>192</v>
      </c>
    </row>
    <row r="10" spans="2:2" ht="117.75" hidden="1" customHeight="1" thickBot="1" x14ac:dyDescent="0.3">
      <c r="B10" s="19" t="s">
        <v>193</v>
      </c>
    </row>
    <row r="11" spans="2:2" ht="13" hidden="1" thickBot="1" x14ac:dyDescent="0.3"/>
    <row r="12" spans="2:2" ht="19" hidden="1" x14ac:dyDescent="0.25">
      <c r="B12" s="20" t="s">
        <v>194</v>
      </c>
    </row>
    <row r="13" spans="2:2" ht="120.75" hidden="1" customHeight="1" x14ac:dyDescent="0.25">
      <c r="B13" s="14" t="s">
        <v>195</v>
      </c>
    </row>
    <row r="14" spans="2:2" ht="19" hidden="1" x14ac:dyDescent="0.25">
      <c r="B14" s="21" t="s">
        <v>196</v>
      </c>
    </row>
    <row r="15" spans="2:2" ht="19.5" hidden="1" thickBot="1" x14ac:dyDescent="0.3">
      <c r="B15" s="22" t="s">
        <v>197</v>
      </c>
    </row>
    <row r="16" spans="2:2" ht="13" hidden="1" thickBot="1" x14ac:dyDescent="0.3"/>
    <row r="17" spans="2:2" ht="19" hidden="1" x14ac:dyDescent="0.25">
      <c r="B17" s="23" t="s">
        <v>198</v>
      </c>
    </row>
    <row r="18" spans="2:2" ht="119.25" hidden="1" customHeight="1" x14ac:dyDescent="0.25">
      <c r="B18" s="14" t="s">
        <v>199</v>
      </c>
    </row>
    <row r="19" spans="2:2" ht="19" hidden="1" x14ac:dyDescent="0.25">
      <c r="B19" s="24" t="s">
        <v>200</v>
      </c>
    </row>
    <row r="20" spans="2:2" ht="19.5" hidden="1" thickBot="1" x14ac:dyDescent="0.3">
      <c r="B20" s="25" t="s">
        <v>201</v>
      </c>
    </row>
    <row r="21" spans="2:2" ht="13" hidden="1" thickBot="1" x14ac:dyDescent="0.3"/>
    <row r="22" spans="2:2" ht="19" hidden="1" x14ac:dyDescent="0.25">
      <c r="B22" s="26" t="s">
        <v>202</v>
      </c>
    </row>
    <row r="23" spans="2:2" ht="138" hidden="1" customHeight="1" x14ac:dyDescent="0.25">
      <c r="B23" s="14" t="s">
        <v>203</v>
      </c>
    </row>
    <row r="24" spans="2:2" ht="19" hidden="1" x14ac:dyDescent="0.25">
      <c r="B24" s="27" t="s">
        <v>204</v>
      </c>
    </row>
    <row r="25" spans="2:2" ht="19.5" hidden="1" thickBot="1" x14ac:dyDescent="0.3">
      <c r="B25" s="28" t="s">
        <v>205</v>
      </c>
    </row>
    <row r="26" spans="2:2" ht="13" hidden="1" thickBot="1" x14ac:dyDescent="0.3"/>
    <row r="27" spans="2:2" ht="19" x14ac:dyDescent="0.25">
      <c r="B27" s="29" t="s">
        <v>206</v>
      </c>
    </row>
    <row r="28" spans="2:2" ht="170.25" customHeight="1" x14ac:dyDescent="0.25">
      <c r="B28" s="14" t="s">
        <v>207</v>
      </c>
    </row>
    <row r="29" spans="2:2" ht="19" x14ac:dyDescent="0.25">
      <c r="B29" s="30" t="s">
        <v>208</v>
      </c>
    </row>
    <row r="30" spans="2:2" ht="21" customHeight="1" thickBot="1" x14ac:dyDescent="0.3">
      <c r="B30" s="31" t="s">
        <v>209</v>
      </c>
    </row>
    <row r="31" spans="2:2" ht="13" hidden="1" thickBot="1" x14ac:dyDescent="0.3"/>
    <row r="32" spans="2:2" ht="19" hidden="1" x14ac:dyDescent="0.25">
      <c r="B32" s="32" t="s">
        <v>210</v>
      </c>
    </row>
    <row r="33" spans="2:2" ht="117.75" hidden="1" customHeight="1" x14ac:dyDescent="0.25">
      <c r="B33" s="14" t="s">
        <v>211</v>
      </c>
    </row>
    <row r="34" spans="2:2" ht="19" hidden="1" x14ac:dyDescent="0.25">
      <c r="B34" s="33" t="s">
        <v>212</v>
      </c>
    </row>
    <row r="35" spans="2:2" ht="21" hidden="1" customHeight="1" thickBot="1" x14ac:dyDescent="0.3">
      <c r="B35" s="34" t="s">
        <v>213</v>
      </c>
    </row>
    <row r="36" spans="2:2" ht="13" hidden="1" thickBot="1" x14ac:dyDescent="0.3"/>
    <row r="37" spans="2:2" ht="19" hidden="1" x14ac:dyDescent="0.25">
      <c r="B37" s="35" t="s">
        <v>214</v>
      </c>
    </row>
    <row r="38" spans="2:2" ht="196.5" hidden="1" customHeight="1" x14ac:dyDescent="0.25">
      <c r="B38" s="14" t="s">
        <v>215</v>
      </c>
    </row>
    <row r="39" spans="2:2" ht="19" hidden="1" x14ac:dyDescent="0.25">
      <c r="B39" s="36" t="s">
        <v>216</v>
      </c>
    </row>
    <row r="40" spans="2:2" ht="21.75" hidden="1" customHeight="1" thickBot="1" x14ac:dyDescent="0.3">
      <c r="B40" s="37" t="s">
        <v>217</v>
      </c>
    </row>
    <row r="41" spans="2:2" ht="13" hidden="1" thickBot="1" x14ac:dyDescent="0.3"/>
    <row r="42" spans="2:2" ht="19" hidden="1" x14ac:dyDescent="0.25">
      <c r="B42" s="38" t="s">
        <v>218</v>
      </c>
    </row>
    <row r="43" spans="2:2" ht="158.25" hidden="1" customHeight="1" x14ac:dyDescent="0.25">
      <c r="B43" s="14" t="s">
        <v>219</v>
      </c>
    </row>
    <row r="44" spans="2:2" ht="19" hidden="1" x14ac:dyDescent="0.25">
      <c r="B44" s="39" t="s">
        <v>220</v>
      </c>
    </row>
    <row r="45" spans="2:2" ht="28.5" hidden="1" customHeight="1" thickBot="1" x14ac:dyDescent="0.3">
      <c r="B45" s="40" t="s">
        <v>221</v>
      </c>
    </row>
  </sheetData>
  <sheetProtection password="C47F" sheet="1" objects="1"/>
  <pageMargins left="0.70866141732283472" right="0.70866141732283472" top="0.74803149606299213" bottom="0.74803149606299213" header="0.31496062992125984" footer="0.31496062992125984"/>
  <pageSetup paperSize="9"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B1:B45"/>
  <sheetViews>
    <sheetView zoomScaleNormal="100" workbookViewId="0"/>
  </sheetViews>
  <sheetFormatPr defaultColWidth="9.1796875" defaultRowHeight="12.5" x14ac:dyDescent="0.25"/>
  <cols>
    <col min="1" max="1" width="5.54296875" style="12" customWidth="1"/>
    <col min="2" max="2" width="149.453125" style="12" customWidth="1"/>
    <col min="3" max="16384" width="9.1796875" style="12"/>
  </cols>
  <sheetData>
    <row r="1" spans="2:2" ht="77.25" customHeight="1" thickBot="1" x14ac:dyDescent="0.3"/>
    <row r="2" spans="2:2" ht="19" hidden="1" x14ac:dyDescent="0.25">
      <c r="B2" s="13" t="s">
        <v>186</v>
      </c>
    </row>
    <row r="3" spans="2:2" ht="118.5" hidden="1" customHeight="1" x14ac:dyDescent="0.25">
      <c r="B3" s="14" t="s">
        <v>187</v>
      </c>
    </row>
    <row r="4" spans="2:2" ht="19" hidden="1" x14ac:dyDescent="0.25">
      <c r="B4" s="15" t="s">
        <v>188</v>
      </c>
    </row>
    <row r="5" spans="2:2" ht="64.5" hidden="1" customHeight="1" thickBot="1" x14ac:dyDescent="0.3">
      <c r="B5" s="16" t="s">
        <v>189</v>
      </c>
    </row>
    <row r="6" spans="2:2" ht="13" hidden="1" thickBot="1" x14ac:dyDescent="0.3"/>
    <row r="7" spans="2:2" ht="19" hidden="1" x14ac:dyDescent="0.25">
      <c r="B7" s="17" t="s">
        <v>190</v>
      </c>
    </row>
    <row r="8" spans="2:2" ht="138.75" hidden="1" customHeight="1" x14ac:dyDescent="0.25">
      <c r="B8" s="14" t="s">
        <v>191</v>
      </c>
    </row>
    <row r="9" spans="2:2" ht="19" hidden="1" x14ac:dyDescent="0.25">
      <c r="B9" s="18" t="s">
        <v>192</v>
      </c>
    </row>
    <row r="10" spans="2:2" ht="117.75" hidden="1" customHeight="1" thickBot="1" x14ac:dyDescent="0.3">
      <c r="B10" s="19" t="s">
        <v>193</v>
      </c>
    </row>
    <row r="11" spans="2:2" ht="13" hidden="1" thickBot="1" x14ac:dyDescent="0.3"/>
    <row r="12" spans="2:2" ht="19" hidden="1" x14ac:dyDescent="0.25">
      <c r="B12" s="20" t="s">
        <v>194</v>
      </c>
    </row>
    <row r="13" spans="2:2" ht="120.75" hidden="1" customHeight="1" x14ac:dyDescent="0.25">
      <c r="B13" s="14" t="s">
        <v>195</v>
      </c>
    </row>
    <row r="14" spans="2:2" ht="19" hidden="1" x14ac:dyDescent="0.25">
      <c r="B14" s="21" t="s">
        <v>196</v>
      </c>
    </row>
    <row r="15" spans="2:2" ht="19.5" hidden="1" thickBot="1" x14ac:dyDescent="0.3">
      <c r="B15" s="22" t="s">
        <v>197</v>
      </c>
    </row>
    <row r="16" spans="2:2" ht="13" hidden="1" thickBot="1" x14ac:dyDescent="0.3"/>
    <row r="17" spans="2:2" ht="19" hidden="1" x14ac:dyDescent="0.25">
      <c r="B17" s="23" t="s">
        <v>198</v>
      </c>
    </row>
    <row r="18" spans="2:2" ht="119.25" hidden="1" customHeight="1" x14ac:dyDescent="0.25">
      <c r="B18" s="14" t="s">
        <v>199</v>
      </c>
    </row>
    <row r="19" spans="2:2" ht="19" hidden="1" x14ac:dyDescent="0.25">
      <c r="B19" s="24" t="s">
        <v>200</v>
      </c>
    </row>
    <row r="20" spans="2:2" ht="19.5" hidden="1" thickBot="1" x14ac:dyDescent="0.3">
      <c r="B20" s="25" t="s">
        <v>201</v>
      </c>
    </row>
    <row r="21" spans="2:2" ht="13" hidden="1" thickBot="1" x14ac:dyDescent="0.3"/>
    <row r="22" spans="2:2" ht="19" hidden="1" x14ac:dyDescent="0.25">
      <c r="B22" s="26" t="s">
        <v>202</v>
      </c>
    </row>
    <row r="23" spans="2:2" ht="138" hidden="1" customHeight="1" x14ac:dyDescent="0.25">
      <c r="B23" s="14" t="s">
        <v>203</v>
      </c>
    </row>
    <row r="24" spans="2:2" ht="19" hidden="1" x14ac:dyDescent="0.25">
      <c r="B24" s="27" t="s">
        <v>204</v>
      </c>
    </row>
    <row r="25" spans="2:2" ht="19.5" hidden="1" thickBot="1" x14ac:dyDescent="0.3">
      <c r="B25" s="28" t="s">
        <v>205</v>
      </c>
    </row>
    <row r="26" spans="2:2" ht="13" hidden="1" thickBot="1" x14ac:dyDescent="0.3"/>
    <row r="27" spans="2:2" ht="19" hidden="1" x14ac:dyDescent="0.25">
      <c r="B27" s="29" t="s">
        <v>206</v>
      </c>
    </row>
    <row r="28" spans="2:2" ht="156" hidden="1" customHeight="1" x14ac:dyDescent="0.25">
      <c r="B28" s="14" t="s">
        <v>207</v>
      </c>
    </row>
    <row r="29" spans="2:2" ht="19" hidden="1" x14ac:dyDescent="0.25">
      <c r="B29" s="30" t="s">
        <v>208</v>
      </c>
    </row>
    <row r="30" spans="2:2" ht="21" hidden="1" customHeight="1" thickBot="1" x14ac:dyDescent="0.3">
      <c r="B30" s="31" t="s">
        <v>209</v>
      </c>
    </row>
    <row r="31" spans="2:2" ht="13" hidden="1" thickBot="1" x14ac:dyDescent="0.3"/>
    <row r="32" spans="2:2" ht="19" x14ac:dyDescent="0.25">
      <c r="B32" s="32" t="s">
        <v>210</v>
      </c>
    </row>
    <row r="33" spans="2:2" ht="117.75" customHeight="1" x14ac:dyDescent="0.25">
      <c r="B33" s="14" t="s">
        <v>211</v>
      </c>
    </row>
    <row r="34" spans="2:2" ht="19" x14ac:dyDescent="0.25">
      <c r="B34" s="33" t="s">
        <v>212</v>
      </c>
    </row>
    <row r="35" spans="2:2" ht="21" customHeight="1" thickBot="1" x14ac:dyDescent="0.3">
      <c r="B35" s="34" t="s">
        <v>213</v>
      </c>
    </row>
    <row r="36" spans="2:2" ht="13" hidden="1" thickBot="1" x14ac:dyDescent="0.3"/>
    <row r="37" spans="2:2" ht="19" hidden="1" x14ac:dyDescent="0.25">
      <c r="B37" s="35" t="s">
        <v>214</v>
      </c>
    </row>
    <row r="38" spans="2:2" ht="196.5" hidden="1" customHeight="1" x14ac:dyDescent="0.25">
      <c r="B38" s="14" t="s">
        <v>215</v>
      </c>
    </row>
    <row r="39" spans="2:2" ht="19" hidden="1" x14ac:dyDescent="0.25">
      <c r="B39" s="36" t="s">
        <v>216</v>
      </c>
    </row>
    <row r="40" spans="2:2" ht="21.75" hidden="1" customHeight="1" thickBot="1" x14ac:dyDescent="0.3">
      <c r="B40" s="37" t="s">
        <v>217</v>
      </c>
    </row>
    <row r="41" spans="2:2" ht="13" hidden="1" thickBot="1" x14ac:dyDescent="0.3"/>
    <row r="42" spans="2:2" ht="19" hidden="1" x14ac:dyDescent="0.25">
      <c r="B42" s="38" t="s">
        <v>218</v>
      </c>
    </row>
    <row r="43" spans="2:2" ht="158.25" hidden="1" customHeight="1" x14ac:dyDescent="0.25">
      <c r="B43" s="14" t="s">
        <v>219</v>
      </c>
    </row>
    <row r="44" spans="2:2" ht="19" hidden="1" x14ac:dyDescent="0.25">
      <c r="B44" s="39" t="s">
        <v>220</v>
      </c>
    </row>
    <row r="45" spans="2:2" ht="28.5" hidden="1" customHeight="1" thickBot="1" x14ac:dyDescent="0.3">
      <c r="B45" s="40" t="s">
        <v>221</v>
      </c>
    </row>
  </sheetData>
  <sheetProtection password="C47F" sheet="1" objects="1"/>
  <pageMargins left="0.70866141732283472" right="0.70866141732283472" top="0.74803149606299213" bottom="0.74803149606299213" header="0.31496062992125984" footer="0.31496062992125984"/>
  <pageSetup paperSize="9"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B1:B45"/>
  <sheetViews>
    <sheetView zoomScaleNormal="100" workbookViewId="0"/>
  </sheetViews>
  <sheetFormatPr defaultColWidth="9.1796875" defaultRowHeight="12.5" x14ac:dyDescent="0.25"/>
  <cols>
    <col min="1" max="1" width="5.54296875" style="12" customWidth="1"/>
    <col min="2" max="2" width="149.453125" style="12" customWidth="1"/>
    <col min="3" max="16384" width="9.1796875" style="12"/>
  </cols>
  <sheetData>
    <row r="1" spans="2:2" ht="77.25" customHeight="1" thickBot="1" x14ac:dyDescent="0.3"/>
    <row r="2" spans="2:2" ht="19" hidden="1" x14ac:dyDescent="0.25">
      <c r="B2" s="13" t="s">
        <v>186</v>
      </c>
    </row>
    <row r="3" spans="2:2" ht="118.5" hidden="1" customHeight="1" x14ac:dyDescent="0.25">
      <c r="B3" s="14" t="s">
        <v>187</v>
      </c>
    </row>
    <row r="4" spans="2:2" ht="19" hidden="1" x14ac:dyDescent="0.25">
      <c r="B4" s="15" t="s">
        <v>188</v>
      </c>
    </row>
    <row r="5" spans="2:2" ht="64.5" hidden="1" customHeight="1" thickBot="1" x14ac:dyDescent="0.3">
      <c r="B5" s="16" t="s">
        <v>189</v>
      </c>
    </row>
    <row r="6" spans="2:2" ht="13" hidden="1" thickBot="1" x14ac:dyDescent="0.3"/>
    <row r="7" spans="2:2" ht="19" hidden="1" x14ac:dyDescent="0.25">
      <c r="B7" s="17" t="s">
        <v>190</v>
      </c>
    </row>
    <row r="8" spans="2:2" ht="138.75" hidden="1" customHeight="1" x14ac:dyDescent="0.25">
      <c r="B8" s="14" t="s">
        <v>191</v>
      </c>
    </row>
    <row r="9" spans="2:2" ht="19" hidden="1" x14ac:dyDescent="0.25">
      <c r="B9" s="18" t="s">
        <v>192</v>
      </c>
    </row>
    <row r="10" spans="2:2" ht="117.75" hidden="1" customHeight="1" thickBot="1" x14ac:dyDescent="0.3">
      <c r="B10" s="19" t="s">
        <v>193</v>
      </c>
    </row>
    <row r="11" spans="2:2" ht="13" hidden="1" thickBot="1" x14ac:dyDescent="0.3"/>
    <row r="12" spans="2:2" ht="19" hidden="1" x14ac:dyDescent="0.25">
      <c r="B12" s="20" t="s">
        <v>194</v>
      </c>
    </row>
    <row r="13" spans="2:2" ht="120.75" hidden="1" customHeight="1" x14ac:dyDescent="0.25">
      <c r="B13" s="14" t="s">
        <v>195</v>
      </c>
    </row>
    <row r="14" spans="2:2" ht="19" hidden="1" x14ac:dyDescent="0.25">
      <c r="B14" s="21" t="s">
        <v>196</v>
      </c>
    </row>
    <row r="15" spans="2:2" ht="19.5" hidden="1" thickBot="1" x14ac:dyDescent="0.3">
      <c r="B15" s="22" t="s">
        <v>197</v>
      </c>
    </row>
    <row r="16" spans="2:2" ht="13" hidden="1" thickBot="1" x14ac:dyDescent="0.3"/>
    <row r="17" spans="2:2" ht="19" hidden="1" x14ac:dyDescent="0.25">
      <c r="B17" s="23" t="s">
        <v>198</v>
      </c>
    </row>
    <row r="18" spans="2:2" ht="119.25" hidden="1" customHeight="1" x14ac:dyDescent="0.25">
      <c r="B18" s="14" t="s">
        <v>199</v>
      </c>
    </row>
    <row r="19" spans="2:2" ht="19" hidden="1" x14ac:dyDescent="0.25">
      <c r="B19" s="24" t="s">
        <v>200</v>
      </c>
    </row>
    <row r="20" spans="2:2" ht="19.5" hidden="1" thickBot="1" x14ac:dyDescent="0.3">
      <c r="B20" s="25" t="s">
        <v>201</v>
      </c>
    </row>
    <row r="21" spans="2:2" ht="13" hidden="1" thickBot="1" x14ac:dyDescent="0.3"/>
    <row r="22" spans="2:2" ht="19" hidden="1" x14ac:dyDescent="0.25">
      <c r="B22" s="26" t="s">
        <v>202</v>
      </c>
    </row>
    <row r="23" spans="2:2" ht="138" hidden="1" customHeight="1" x14ac:dyDescent="0.25">
      <c r="B23" s="14" t="s">
        <v>203</v>
      </c>
    </row>
    <row r="24" spans="2:2" ht="19" hidden="1" x14ac:dyDescent="0.25">
      <c r="B24" s="27" t="s">
        <v>204</v>
      </c>
    </row>
    <row r="25" spans="2:2" ht="19.5" hidden="1" thickBot="1" x14ac:dyDescent="0.3">
      <c r="B25" s="28" t="s">
        <v>205</v>
      </c>
    </row>
    <row r="26" spans="2:2" ht="13" hidden="1" thickBot="1" x14ac:dyDescent="0.3"/>
    <row r="27" spans="2:2" ht="19" hidden="1" x14ac:dyDescent="0.25">
      <c r="B27" s="29" t="s">
        <v>206</v>
      </c>
    </row>
    <row r="28" spans="2:2" ht="156" hidden="1" customHeight="1" x14ac:dyDescent="0.25">
      <c r="B28" s="14" t="s">
        <v>207</v>
      </c>
    </row>
    <row r="29" spans="2:2" ht="19" hidden="1" x14ac:dyDescent="0.25">
      <c r="B29" s="30" t="s">
        <v>208</v>
      </c>
    </row>
    <row r="30" spans="2:2" ht="21" hidden="1" customHeight="1" thickBot="1" x14ac:dyDescent="0.3">
      <c r="B30" s="31" t="s">
        <v>209</v>
      </c>
    </row>
    <row r="31" spans="2:2" ht="13" hidden="1" thickBot="1" x14ac:dyDescent="0.3"/>
    <row r="32" spans="2:2" ht="19" hidden="1" x14ac:dyDescent="0.25">
      <c r="B32" s="32" t="s">
        <v>210</v>
      </c>
    </row>
    <row r="33" spans="2:2" ht="117.75" hidden="1" customHeight="1" x14ac:dyDescent="0.25">
      <c r="B33" s="14" t="s">
        <v>211</v>
      </c>
    </row>
    <row r="34" spans="2:2" ht="19" hidden="1" x14ac:dyDescent="0.25">
      <c r="B34" s="33" t="s">
        <v>212</v>
      </c>
    </row>
    <row r="35" spans="2:2" ht="21" hidden="1" customHeight="1" thickBot="1" x14ac:dyDescent="0.3">
      <c r="B35" s="34" t="s">
        <v>213</v>
      </c>
    </row>
    <row r="36" spans="2:2" ht="13" hidden="1" thickBot="1" x14ac:dyDescent="0.3"/>
    <row r="37" spans="2:2" ht="19" x14ac:dyDescent="0.25">
      <c r="B37" s="35" t="s">
        <v>214</v>
      </c>
    </row>
    <row r="38" spans="2:2" ht="208.5" customHeight="1" x14ac:dyDescent="0.25">
      <c r="B38" s="14" t="s">
        <v>215</v>
      </c>
    </row>
    <row r="39" spans="2:2" ht="19" x14ac:dyDescent="0.25">
      <c r="B39" s="36" t="s">
        <v>216</v>
      </c>
    </row>
    <row r="40" spans="2:2" ht="21.75" customHeight="1" thickBot="1" x14ac:dyDescent="0.3">
      <c r="B40" s="37" t="s">
        <v>217</v>
      </c>
    </row>
    <row r="41" spans="2:2" ht="13" hidden="1" thickBot="1" x14ac:dyDescent="0.3"/>
    <row r="42" spans="2:2" ht="19" hidden="1" x14ac:dyDescent="0.25">
      <c r="B42" s="38" t="s">
        <v>218</v>
      </c>
    </row>
    <row r="43" spans="2:2" ht="158.25" hidden="1" customHeight="1" x14ac:dyDescent="0.25">
      <c r="B43" s="14" t="s">
        <v>219</v>
      </c>
    </row>
    <row r="44" spans="2:2" ht="19" hidden="1" x14ac:dyDescent="0.25">
      <c r="B44" s="39" t="s">
        <v>220</v>
      </c>
    </row>
    <row r="45" spans="2:2" ht="28.5" hidden="1" customHeight="1" thickBot="1" x14ac:dyDescent="0.3">
      <c r="B45" s="40" t="s">
        <v>221</v>
      </c>
    </row>
  </sheetData>
  <sheetProtection password="C47F" sheet="1" objects="1"/>
  <pageMargins left="0.70866141732283472" right="0.70866141732283472" top="0.74803149606299213" bottom="0.74803149606299213" header="0.31496062992125984" footer="0.31496062992125984"/>
  <pageSetup paperSize="9" orientation="landscape"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B1:B45"/>
  <sheetViews>
    <sheetView zoomScaleNormal="100" workbookViewId="0"/>
  </sheetViews>
  <sheetFormatPr defaultColWidth="9.1796875" defaultRowHeight="12.5" x14ac:dyDescent="0.25"/>
  <cols>
    <col min="1" max="1" width="5.54296875" style="12" customWidth="1"/>
    <col min="2" max="2" width="149.453125" style="12" customWidth="1"/>
    <col min="3" max="16384" width="9.1796875" style="12"/>
  </cols>
  <sheetData>
    <row r="1" spans="2:2" ht="77.25" customHeight="1" thickBot="1" x14ac:dyDescent="0.3"/>
    <row r="2" spans="2:2" ht="19" hidden="1" x14ac:dyDescent="0.25">
      <c r="B2" s="13" t="s">
        <v>186</v>
      </c>
    </row>
    <row r="3" spans="2:2" ht="118.5" hidden="1" customHeight="1" x14ac:dyDescent="0.25">
      <c r="B3" s="14" t="s">
        <v>187</v>
      </c>
    </row>
    <row r="4" spans="2:2" ht="19" hidden="1" x14ac:dyDescent="0.25">
      <c r="B4" s="15" t="s">
        <v>188</v>
      </c>
    </row>
    <row r="5" spans="2:2" ht="64.5" hidden="1" customHeight="1" thickBot="1" x14ac:dyDescent="0.3">
      <c r="B5" s="16" t="s">
        <v>189</v>
      </c>
    </row>
    <row r="6" spans="2:2" ht="13" hidden="1" thickBot="1" x14ac:dyDescent="0.3"/>
    <row r="7" spans="2:2" ht="19" hidden="1" x14ac:dyDescent="0.25">
      <c r="B7" s="17" t="s">
        <v>190</v>
      </c>
    </row>
    <row r="8" spans="2:2" ht="138.75" hidden="1" customHeight="1" x14ac:dyDescent="0.25">
      <c r="B8" s="14" t="s">
        <v>191</v>
      </c>
    </row>
    <row r="9" spans="2:2" ht="19" hidden="1" x14ac:dyDescent="0.25">
      <c r="B9" s="18" t="s">
        <v>192</v>
      </c>
    </row>
    <row r="10" spans="2:2" ht="117.75" hidden="1" customHeight="1" thickBot="1" x14ac:dyDescent="0.3">
      <c r="B10" s="19" t="s">
        <v>193</v>
      </c>
    </row>
    <row r="11" spans="2:2" ht="13" hidden="1" thickBot="1" x14ac:dyDescent="0.3"/>
    <row r="12" spans="2:2" ht="19" hidden="1" x14ac:dyDescent="0.25">
      <c r="B12" s="20" t="s">
        <v>194</v>
      </c>
    </row>
    <row r="13" spans="2:2" ht="120.75" hidden="1" customHeight="1" x14ac:dyDescent="0.25">
      <c r="B13" s="14" t="s">
        <v>195</v>
      </c>
    </row>
    <row r="14" spans="2:2" ht="19" hidden="1" x14ac:dyDescent="0.25">
      <c r="B14" s="21" t="s">
        <v>196</v>
      </c>
    </row>
    <row r="15" spans="2:2" ht="19.5" hidden="1" thickBot="1" x14ac:dyDescent="0.3">
      <c r="B15" s="22" t="s">
        <v>197</v>
      </c>
    </row>
    <row r="16" spans="2:2" ht="13" hidden="1" thickBot="1" x14ac:dyDescent="0.3"/>
    <row r="17" spans="2:2" ht="19" hidden="1" x14ac:dyDescent="0.25">
      <c r="B17" s="23" t="s">
        <v>198</v>
      </c>
    </row>
    <row r="18" spans="2:2" ht="119.25" hidden="1" customHeight="1" x14ac:dyDescent="0.25">
      <c r="B18" s="14" t="s">
        <v>199</v>
      </c>
    </row>
    <row r="19" spans="2:2" ht="19" hidden="1" x14ac:dyDescent="0.25">
      <c r="B19" s="24" t="s">
        <v>200</v>
      </c>
    </row>
    <row r="20" spans="2:2" ht="19.5" hidden="1" thickBot="1" x14ac:dyDescent="0.3">
      <c r="B20" s="25" t="s">
        <v>201</v>
      </c>
    </row>
    <row r="21" spans="2:2" ht="13" hidden="1" thickBot="1" x14ac:dyDescent="0.3"/>
    <row r="22" spans="2:2" ht="19" hidden="1" x14ac:dyDescent="0.25">
      <c r="B22" s="26" t="s">
        <v>202</v>
      </c>
    </row>
    <row r="23" spans="2:2" ht="138" hidden="1" customHeight="1" x14ac:dyDescent="0.25">
      <c r="B23" s="14" t="s">
        <v>203</v>
      </c>
    </row>
    <row r="24" spans="2:2" ht="19" hidden="1" x14ac:dyDescent="0.25">
      <c r="B24" s="27" t="s">
        <v>204</v>
      </c>
    </row>
    <row r="25" spans="2:2" ht="19.5" hidden="1" thickBot="1" x14ac:dyDescent="0.3">
      <c r="B25" s="28" t="s">
        <v>205</v>
      </c>
    </row>
    <row r="26" spans="2:2" ht="13" hidden="1" thickBot="1" x14ac:dyDescent="0.3"/>
    <row r="27" spans="2:2" ht="19" hidden="1" x14ac:dyDescent="0.25">
      <c r="B27" s="29" t="s">
        <v>206</v>
      </c>
    </row>
    <row r="28" spans="2:2" ht="156" hidden="1" customHeight="1" x14ac:dyDescent="0.25">
      <c r="B28" s="14" t="s">
        <v>207</v>
      </c>
    </row>
    <row r="29" spans="2:2" ht="19" hidden="1" x14ac:dyDescent="0.25">
      <c r="B29" s="30" t="s">
        <v>208</v>
      </c>
    </row>
    <row r="30" spans="2:2" ht="21" hidden="1" customHeight="1" thickBot="1" x14ac:dyDescent="0.3">
      <c r="B30" s="31" t="s">
        <v>209</v>
      </c>
    </row>
    <row r="31" spans="2:2" ht="13" hidden="1" thickBot="1" x14ac:dyDescent="0.3"/>
    <row r="32" spans="2:2" ht="19" hidden="1" x14ac:dyDescent="0.25">
      <c r="B32" s="32" t="s">
        <v>210</v>
      </c>
    </row>
    <row r="33" spans="2:2" ht="117.75" hidden="1" customHeight="1" x14ac:dyDescent="0.25">
      <c r="B33" s="14" t="s">
        <v>211</v>
      </c>
    </row>
    <row r="34" spans="2:2" ht="19" hidden="1" x14ac:dyDescent="0.25">
      <c r="B34" s="33" t="s">
        <v>212</v>
      </c>
    </row>
    <row r="35" spans="2:2" ht="21" hidden="1" customHeight="1" thickBot="1" x14ac:dyDescent="0.3">
      <c r="B35" s="34" t="s">
        <v>213</v>
      </c>
    </row>
    <row r="36" spans="2:2" ht="13" hidden="1" thickBot="1" x14ac:dyDescent="0.3"/>
    <row r="37" spans="2:2" ht="19" hidden="1" x14ac:dyDescent="0.25">
      <c r="B37" s="35" t="s">
        <v>214</v>
      </c>
    </row>
    <row r="38" spans="2:2" ht="196.5" hidden="1" customHeight="1" x14ac:dyDescent="0.25">
      <c r="B38" s="14" t="s">
        <v>215</v>
      </c>
    </row>
    <row r="39" spans="2:2" ht="19" hidden="1" x14ac:dyDescent="0.25">
      <c r="B39" s="36" t="s">
        <v>216</v>
      </c>
    </row>
    <row r="40" spans="2:2" ht="21.75" hidden="1" customHeight="1" thickBot="1" x14ac:dyDescent="0.3">
      <c r="B40" s="37" t="s">
        <v>217</v>
      </c>
    </row>
    <row r="41" spans="2:2" ht="13" hidden="1" thickBot="1" x14ac:dyDescent="0.3"/>
    <row r="42" spans="2:2" ht="19" x14ac:dyDescent="0.25">
      <c r="B42" s="38" t="s">
        <v>218</v>
      </c>
    </row>
    <row r="43" spans="2:2" ht="165" customHeight="1" x14ac:dyDescent="0.25">
      <c r="B43" s="14" t="s">
        <v>219</v>
      </c>
    </row>
    <row r="44" spans="2:2" ht="19" x14ac:dyDescent="0.25">
      <c r="B44" s="39" t="s">
        <v>220</v>
      </c>
    </row>
    <row r="45" spans="2:2" ht="26.25" customHeight="1" thickBot="1" x14ac:dyDescent="0.3">
      <c r="B45" s="40" t="s">
        <v>221</v>
      </c>
    </row>
  </sheetData>
  <sheetProtection password="C47F" sheet="1" objects="1"/>
  <pageMargins left="0.70866141732283472" right="0.70866141732283472" top="0.74803149606299213" bottom="0.74803149606299213" header="0.31496062992125984" footer="0.31496062992125984"/>
  <pageSetup paperSize="9"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HOME</vt:lpstr>
      <vt:lpstr>Lembar Tes Enneagram</vt:lpstr>
      <vt:lpstr>Grafik Hasil Tes Enneagram</vt:lpstr>
      <vt:lpstr>Interpretasi (1)</vt:lpstr>
      <vt:lpstr>Interpretasi (2)</vt:lpstr>
      <vt:lpstr>Interpretasi (3)</vt:lpstr>
      <vt:lpstr>Interpretasi (4)</vt:lpstr>
      <vt:lpstr>Interpretasi (5)</vt:lpstr>
      <vt:lpstr>Interpretasi (6)</vt:lpstr>
      <vt:lpstr>Interpretasi (7)</vt:lpstr>
      <vt:lpstr>Interpretasi (8)</vt:lpstr>
      <vt:lpstr>Interpretasi (9)</vt:lpstr>
      <vt:lpstr>'Interpretasi (1)'!Print_Area</vt:lpstr>
      <vt:lpstr>'Interpretasi (2)'!Print_Area</vt:lpstr>
      <vt:lpstr>'Interpretasi (3)'!Print_Area</vt:lpstr>
      <vt:lpstr>'Interpretasi (4)'!Print_Area</vt:lpstr>
      <vt:lpstr>'Interpretasi (5)'!Print_Area</vt:lpstr>
      <vt:lpstr>'Interpretasi (6)'!Print_Area</vt:lpstr>
      <vt:lpstr>'Interpretasi (7)'!Print_Area</vt:lpstr>
      <vt:lpstr>'Interpretasi (8)'!Print_Area</vt:lpstr>
      <vt:lpstr>'Interpretasi (9)'!Print_Area</vt:lpstr>
      <vt:lpstr>'Lembar Tes Enneagram'!Print_Area</vt:lpstr>
      <vt:lpstr>'Lembar Tes Enneagram'!Print_Titles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 Rhodes</dc:creator>
  <cp:lastModifiedBy>aswel</cp:lastModifiedBy>
  <cp:lastPrinted>2021-08-13T03:53:44Z</cp:lastPrinted>
  <dcterms:created xsi:type="dcterms:W3CDTF">2005-10-09T09:31:13Z</dcterms:created>
  <dcterms:modified xsi:type="dcterms:W3CDTF">2021-08-13T03:55:19Z</dcterms:modified>
</cp:coreProperties>
</file>