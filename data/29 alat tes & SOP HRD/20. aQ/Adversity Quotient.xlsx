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/>
  <mc:AlternateContent xmlns:mc="http://schemas.openxmlformats.org/markup-compatibility/2006">
    <mc:Choice Requires="x15">
      <x15ac:absPath xmlns:x15ac="http://schemas.microsoft.com/office/spreadsheetml/2010/11/ac" url="F:\psikotes\"/>
    </mc:Choice>
  </mc:AlternateContent>
  <xr:revisionPtr revIDLastSave="0" documentId="8_{AB9AEEEE-A874-4C64-B176-B08CE1C0E60E}" xr6:coauthVersionLast="38" xr6:coauthVersionMax="38" xr10:uidLastSave="{00000000-0000-0000-0000-000000000000}"/>
  <bookViews>
    <workbookView xWindow="0" yWindow="0" windowWidth="15600" windowHeight="8190" xr2:uid="{00000000-000D-0000-FFFF-FFFF00000000}"/>
  </bookViews>
  <sheets>
    <sheet name="Soal" sheetId="1" r:id="rId1"/>
    <sheet name="Lembar Jwb" sheetId="2" r:id="rId2"/>
    <sheet name="Interpretasi" sheetId="3" r:id="rId3"/>
    <sheet name="Kode" sheetId="4" r:id="rId4"/>
  </sheets>
  <definedNames>
    <definedName name="_xlnm.Print_Area" localSheetId="2">Interpretasi!$A$1:$P$39</definedName>
    <definedName name="_xlnm.Print_Area" localSheetId="1">'Lembar Jwb'!$A$1:$I$32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4" i="3" l="1"/>
  <c r="D14" i="3" s="1"/>
  <c r="E14" i="3"/>
  <c r="C15" i="3"/>
  <c r="D15" i="3" s="1"/>
  <c r="E15" i="3"/>
  <c r="C16" i="3"/>
  <c r="D16" i="3" s="1"/>
  <c r="E16" i="3"/>
  <c r="C17" i="3"/>
  <c r="D17" i="3" s="1"/>
  <c r="E17" i="3"/>
  <c r="C18" i="3"/>
  <c r="D18" i="3" s="1"/>
  <c r="E18" i="3"/>
  <c r="C19" i="3"/>
  <c r="D19" i="3" s="1"/>
  <c r="E19" i="3"/>
  <c r="C20" i="3"/>
  <c r="D20" i="3" s="1"/>
  <c r="E20" i="3"/>
  <c r="C21" i="3"/>
  <c r="D21" i="3" s="1"/>
  <c r="C22" i="3"/>
  <c r="D22" i="3" s="1"/>
  <c r="C23" i="3"/>
  <c r="E23" i="3" s="1"/>
  <c r="C24" i="3"/>
  <c r="D24" i="3" s="1"/>
  <c r="C25" i="3"/>
  <c r="D25" i="3" s="1"/>
  <c r="C26" i="3"/>
  <c r="E26" i="3" s="1"/>
  <c r="C27" i="3"/>
  <c r="D27" i="3" s="1"/>
  <c r="E27" i="3"/>
  <c r="C28" i="3"/>
  <c r="D28" i="3" s="1"/>
  <c r="E24" i="3" l="1"/>
  <c r="E28" i="3"/>
  <c r="E25" i="3"/>
  <c r="E22" i="3"/>
  <c r="E29" i="3" s="1"/>
  <c r="B2" i="4" s="1"/>
  <c r="E21" i="3"/>
  <c r="F28" i="3"/>
  <c r="F27" i="3"/>
  <c r="F26" i="3"/>
  <c r="D26" i="3"/>
  <c r="F25" i="3"/>
  <c r="F24" i="3"/>
  <c r="F23" i="3"/>
  <c r="D23" i="3"/>
  <c r="D29" i="3" s="1"/>
  <c r="B1" i="4" s="1"/>
  <c r="F22" i="3"/>
  <c r="F21" i="3"/>
  <c r="F20" i="3"/>
  <c r="F19" i="3"/>
  <c r="F18" i="3"/>
  <c r="F17" i="3"/>
  <c r="F16" i="3"/>
  <c r="F15" i="3"/>
  <c r="F14" i="3"/>
  <c r="F29" i="3" l="1"/>
  <c r="B3" i="4" s="1"/>
  <c r="E8" i="4"/>
  <c r="E52" i="4"/>
  <c r="E56" i="4"/>
  <c r="E88" i="4"/>
  <c r="E94" i="4"/>
  <c r="E126" i="4"/>
  <c r="E130" i="4"/>
  <c r="E13" i="4"/>
  <c r="E15" i="4"/>
  <c r="E29" i="4"/>
  <c r="E31" i="4"/>
  <c r="E43" i="4"/>
  <c r="E45" i="4"/>
  <c r="E47" i="4"/>
  <c r="E59" i="4"/>
  <c r="E61" i="4"/>
  <c r="E63" i="4"/>
  <c r="E75" i="4"/>
  <c r="E77" i="4"/>
  <c r="E79" i="4"/>
  <c r="E91" i="4"/>
  <c r="E93" i="4"/>
  <c r="E95" i="4"/>
  <c r="E107" i="4"/>
  <c r="E109" i="4"/>
  <c r="E111" i="4"/>
  <c r="E123" i="4"/>
  <c r="E125" i="4"/>
  <c r="E127" i="4"/>
  <c r="E139" i="4"/>
  <c r="E6" i="4"/>
  <c r="E10" i="4"/>
  <c r="E24" i="4"/>
  <c r="E26" i="4"/>
  <c r="E28" i="4"/>
  <c r="E50" i="4"/>
  <c r="E54" i="4"/>
  <c r="E58" i="4"/>
  <c r="E78" i="4"/>
  <c r="E82" i="4"/>
  <c r="E86" i="4"/>
  <c r="E106" i="4"/>
  <c r="E110" i="4"/>
  <c r="E114" i="4"/>
  <c r="E134" i="4"/>
  <c r="E138" i="4"/>
  <c r="E22" i="4" l="1"/>
  <c r="E62" i="4"/>
  <c r="E98" i="4"/>
  <c r="E136" i="4"/>
  <c r="E17" i="4"/>
  <c r="E33" i="4"/>
  <c r="E49" i="4"/>
  <c r="E65" i="4"/>
  <c r="E81" i="4"/>
  <c r="E97" i="4"/>
  <c r="E113" i="4"/>
  <c r="E129" i="4"/>
  <c r="E12" i="4"/>
  <c r="E32" i="4"/>
  <c r="E60" i="4"/>
  <c r="E90" i="4"/>
  <c r="E116" i="4"/>
  <c r="E66" i="4"/>
  <c r="E104" i="4"/>
  <c r="E140" i="4"/>
  <c r="E19" i="4"/>
  <c r="E35" i="4"/>
  <c r="E51" i="4"/>
  <c r="E67" i="4"/>
  <c r="E83" i="4"/>
  <c r="E99" i="4"/>
  <c r="E115" i="4"/>
  <c r="E131" i="4"/>
  <c r="E14" i="4"/>
  <c r="E34" i="4"/>
  <c r="E64" i="4"/>
  <c r="E92" i="4"/>
  <c r="E120" i="4"/>
  <c r="E70" i="4"/>
  <c r="E108" i="4"/>
  <c r="E5" i="4"/>
  <c r="E21" i="4"/>
  <c r="E37" i="4"/>
  <c r="E53" i="4"/>
  <c r="E69" i="4"/>
  <c r="E85" i="4"/>
  <c r="E101" i="4"/>
  <c r="E117" i="4"/>
  <c r="E133" i="4"/>
  <c r="E16" i="4"/>
  <c r="E38" i="4"/>
  <c r="E68" i="4"/>
  <c r="E96" i="4"/>
  <c r="E124" i="4"/>
  <c r="E74" i="4"/>
  <c r="E112" i="4"/>
  <c r="E7" i="4"/>
  <c r="E23" i="4"/>
  <c r="E39" i="4"/>
  <c r="E55" i="4"/>
  <c r="E71" i="4"/>
  <c r="E87" i="4"/>
  <c r="E103" i="4"/>
  <c r="E119" i="4"/>
  <c r="E135" i="4"/>
  <c r="E18" i="4"/>
  <c r="E42" i="4"/>
  <c r="E72" i="4"/>
  <c r="E100" i="4"/>
  <c r="E128" i="4"/>
  <c r="E80" i="4"/>
  <c r="E118" i="4"/>
  <c r="E9" i="4"/>
  <c r="E141" i="4" s="1"/>
  <c r="E25" i="4"/>
  <c r="E41" i="4"/>
  <c r="E57" i="4"/>
  <c r="E73" i="4"/>
  <c r="E89" i="4"/>
  <c r="E105" i="4"/>
  <c r="E121" i="4"/>
  <c r="E137" i="4"/>
  <c r="E20" i="4"/>
  <c r="E46" i="4"/>
  <c r="E76" i="4"/>
  <c r="E102" i="4"/>
  <c r="E132" i="4"/>
  <c r="E84" i="4"/>
  <c r="E122" i="4"/>
  <c r="E11" i="4"/>
  <c r="E27" i="4"/>
  <c r="E30" i="4"/>
  <c r="E36" i="4"/>
  <c r="E40" i="4"/>
  <c r="E44" i="4"/>
  <c r="E48" i="4"/>
  <c r="G13" i="3" l="1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I141" i="4"/>
  <c r="C32" i="3" s="1"/>
  <c r="G21" i="3"/>
  <c r="H21" i="3" s="1"/>
  <c r="G22" i="3"/>
  <c r="H22" i="3" s="1"/>
  <c r="G141" i="4"/>
  <c r="I10" i="3" s="1"/>
</calcChain>
</file>

<file path=xl/sharedStrings.xml><?xml version="1.0" encoding="utf-8"?>
<sst xmlns="http://schemas.openxmlformats.org/spreadsheetml/2006/main" count="353" uniqueCount="147">
  <si>
    <t>KODE : AQ</t>
  </si>
  <si>
    <t>Petunjuk :</t>
  </si>
  <si>
    <t>Isilah lembar jawaban dengan memberi tanda silang pada setiap jawaban yang sesuai dengan diri anda !</t>
  </si>
  <si>
    <t>1. Bagi saya, kesulitan adalah :</t>
  </si>
  <si>
    <t>a. Sesuatu yang harus dihindari</t>
  </si>
  <si>
    <t>b. Sesuatu yang bisa dicoba untuk dihadapi</t>
  </si>
  <si>
    <t>c. Bagian dari hidup. Menghindari kesulitan sama saja dengan menghindari kehidupan</t>
  </si>
  <si>
    <t>2. Keyakinan saya terhadap masa depan adalah :</t>
  </si>
  <si>
    <t>a. Saya tidak berani menjamin, saya akan menunggu dan melihat bagaimana nantinya</t>
  </si>
  <si>
    <t>b. Melihat kemampuan yang sekarang ini, saya cukup  yakin dengan masa depan saya</t>
  </si>
  <si>
    <t>c. Saya belum seberapa yakin, tetapi saya berharap bisa berhasil</t>
  </si>
  <si>
    <t xml:space="preserve">3. Jika saya dihadapkan pada suatu masalah yang menurut saya sangat sulit dicapai keberhasilannya </t>
  </si>
  <si>
    <t xml:space="preserve">    maka tanggapannya saya adalah :</t>
  </si>
  <si>
    <t>a. Saya akan mengerjakannya, tidak peduli betapapun sulitnya</t>
  </si>
  <si>
    <t>b. Saya akan mencoba, namun jika keadaannya bertambah buruk saya akan berhenti</t>
  </si>
  <si>
    <t>c. Saya tidak mau mengerjakannya, karena ini mustahil bisa berhasil</t>
  </si>
  <si>
    <t>4. Saya adalah orang yang :</t>
  </si>
  <si>
    <t>a. Kadang-kadang menyerah tergantung situasi dan kondisi</t>
  </si>
  <si>
    <t>b. Mudah menyerah</t>
  </si>
  <si>
    <t>c. Pantang menyerah</t>
  </si>
  <si>
    <t>5. Bagi saya, pengembangan diri adalah :</t>
  </si>
  <si>
    <t>a. Cukup perlu</t>
  </si>
  <si>
    <t>b. Hal yang tidak seberapa perlu</t>
  </si>
  <si>
    <t>c. Segalanya</t>
  </si>
  <si>
    <t>6. Sikap saya terhadap perubahan adalah :</t>
  </si>
  <si>
    <t>a. Saya selalu menerima perubahan yang ditawarkan kepada saya</t>
  </si>
  <si>
    <t>b. Saya agak sulit menyesuaikan diri dengan perubahan yang terjadi</t>
  </si>
  <si>
    <t>c. Saya akan lihat dulu perubahan yang seperti apa, baru saya bisa memutuskannya</t>
  </si>
  <si>
    <t>7. Saya tergolong sebagai orang yang :</t>
  </si>
  <si>
    <t>a. Menunjukkan beberapa usaha jika memang diperlukan</t>
  </si>
  <si>
    <t>b. Ambisius</t>
  </si>
  <si>
    <t>c. Santai, tidak terlalu berambisi</t>
  </si>
  <si>
    <t>8. Diantara tiga hal dibawah ini, yang paling sesuai dengan keadaan diri saya :</t>
  </si>
  <si>
    <t>a. Saya sudah puas dengan kehidupan saya sekarang ini</t>
  </si>
  <si>
    <t>b. Dalam hal tertentu saya sudah puas</t>
  </si>
  <si>
    <t>c. Masih banyak hal yang perlu saya capai</t>
  </si>
  <si>
    <t>9. Jika menghadapi masalah yang sangat sulit saya cenderung :</t>
  </si>
  <si>
    <t>a. Menghadapi dan menyelesaikan hingga saya berhasil</t>
  </si>
  <si>
    <t>b. Menghindarinya</t>
  </si>
  <si>
    <t>c. Menghadapinya namun jika merasa tidak mampu maka saya akan berhenti</t>
  </si>
  <si>
    <t>10. Saya adalah orang yang :</t>
  </si>
  <si>
    <t>a. Sangat suka tantangan / hal baru</t>
  </si>
  <si>
    <t>b. Suka melakukan hal-hal yang sudah ada/ tersedia/ sebagaimana mestinya</t>
  </si>
  <si>
    <t>c. Mencoba sesuatu yang baru</t>
  </si>
  <si>
    <t>11. Jika lingkungan, menawarkan suatu yang baru bagi saya :</t>
  </si>
  <si>
    <t>a. Saya cenderung menolaknya</t>
  </si>
  <si>
    <t>b. Saya akan mencobanya tetapi tidak menjamin keberhasilannya</t>
  </si>
  <si>
    <t>c. Saya langsung ikut serta dan melakukan segala hal hingga mencapai keberhasilannya</t>
  </si>
  <si>
    <t>12. Slogan yang paling sesuai dengan diri saya adalah :</t>
  </si>
  <si>
    <t>a. Lakukan sekarang atau tidak sama sekali</t>
  </si>
  <si>
    <t>b. Nikmati hidup ini bersama teman selagi masih muda</t>
  </si>
  <si>
    <t>c. Pertimbangkan dulu masak-masak baru mengambil langkah</t>
  </si>
  <si>
    <t>13. Orang yang bertanggung jawab terhadap kemajuan diri saya adalah :</t>
  </si>
  <si>
    <t>a. Lingkungan dan diri saya</t>
  </si>
  <si>
    <t>b. Lingkungan saya (keluarga, saudara, teman, dll)</t>
  </si>
  <si>
    <t>c. Sepenuhnya diri saya</t>
  </si>
  <si>
    <t>14. Saya termotivasi untuk melakukan sesuatu jika :</t>
  </si>
  <si>
    <t>a. Saya merasa mampu</t>
  </si>
  <si>
    <t>b. Saya telah mengevaluasi kemampuan saya</t>
  </si>
  <si>
    <t>c. Walaupun merasa tidak mampu, saya tetap akan melakukannya</t>
  </si>
  <si>
    <t>15. kebanyakan waktu luang, saya gunakan untuk :</t>
  </si>
  <si>
    <t>a. Membaca buku</t>
  </si>
  <si>
    <t>b. Menghadiri seminar/ pelatihan dan mengikuti kegiatan-kegiatan diluar</t>
  </si>
  <si>
    <t>c. Kumpul bersama teman</t>
  </si>
  <si>
    <t>LEMBAR JAWABAN</t>
  </si>
  <si>
    <t>Nama</t>
  </si>
  <si>
    <t>:</t>
  </si>
  <si>
    <t>Jenis Kelamin</t>
  </si>
  <si>
    <t>: L / P</t>
  </si>
  <si>
    <t>Usia</t>
  </si>
  <si>
    <t>Tanggal Tes</t>
  </si>
  <si>
    <t>1.</t>
  </si>
  <si>
    <t>a</t>
  </si>
  <si>
    <t>b</t>
  </si>
  <si>
    <t>c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</si>
  <si>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</si>
  <si>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</si>
  <si>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</si>
  <si>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</si>
  <si>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</si>
  <si>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</si>
  <si>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</si>
  <si>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</si>
  <si>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</si>
  <si>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</si>
  <si>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</si>
  <si>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</si>
  <si>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</si>
  <si>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</si>
  <si>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HASIL TES ADVERSITY QUOTIENT</t>
  </si>
  <si>
    <t>Laki-Laki</t>
  </si>
  <si>
    <t>42 Tahun</t>
  </si>
  <si>
    <t>14 Maret 2012</t>
  </si>
  <si>
    <t>TIPE :</t>
  </si>
  <si>
    <t>NO</t>
  </si>
  <si>
    <t>JAWABAN</t>
  </si>
  <si>
    <t>PENJELASAN :</t>
  </si>
  <si>
    <t>(a / b / c)</t>
  </si>
  <si>
    <t>Q</t>
  </si>
  <si>
    <t>Ca</t>
  </si>
  <si>
    <t>Cl</t>
  </si>
  <si>
    <t>KESIMPULAN :</t>
  </si>
  <si>
    <t xml:space="preserve">  - Kandidat</t>
  </si>
  <si>
    <t xml:space="preserve">untuk posisi pekerjaan di lapangan yang penuh tantangan dan </t>
  </si>
  <si>
    <t xml:space="preserve">    membutuhkan daya tahan serta daya juang yang cukup tinggi.</t>
  </si>
  <si>
    <t>QUITTER</t>
  </si>
  <si>
    <t>CAMPER</t>
  </si>
  <si>
    <t>CLIMBER</t>
  </si>
  <si>
    <t>tidak disarankan</t>
  </si>
  <si>
    <t>kurang disarankan</t>
  </si>
  <si>
    <t>disarankan</t>
  </si>
  <si>
    <t>- Gaya hidup datar dan tidak menyenangkan</t>
  </si>
  <si>
    <t>- Menolak untuk berjuang dan mendaki lebih tinggi lagi</t>
  </si>
  <si>
    <t>- Bekerja sekedar untuk hidup</t>
  </si>
  <si>
    <t>- Cenderung menghindari tantangan yang timbul dari sebuah komitmen</t>
  </si>
  <si>
    <t>- Jarang sekali memiliki persahabatan yang sejati</t>
  </si>
  <si>
    <t>- Cenderung menolak perubahan atau lari dari perubahan</t>
  </si>
  <si>
    <t xml:space="preserve">- Terampil dala menggunakan kata - kata yang sifatnya membatasi, seperti </t>
  </si>
  <si>
    <t xml:space="preserve">  "tidak mau", "mustahil", "konyol", dll</t>
  </si>
  <si>
    <t>- Kemampuan kecil atau bahkan tidak ada sama sekali</t>
  </si>
  <si>
    <t>- Tidak memiliki visi dan keyakinan akan masa depan</t>
  </si>
  <si>
    <t>- Mau berusaha untuk mendaki, namun berhenti pada satu titik tertentu</t>
  </si>
  <si>
    <t>- Cukup puas saat mencapai suatu tahapan tertentu</t>
  </si>
  <si>
    <t xml:space="preserve">- Masih memiliki sejumlah inisiatif, sedikit semangat dan beberapa usaha </t>
  </si>
  <si>
    <t>- Mampu mengorbankan kemampuan pribadinya demi mendapat kepuasan</t>
  </si>
  <si>
    <t>- Mampu membina hubungan dengan camper lainnya</t>
  </si>
  <si>
    <t xml:space="preserve">- Menahan diri terhadap perubahan sekalipun itu adalah perubahan besar </t>
  </si>
  <si>
    <t xml:space="preserve">  karena merasa nyaman dengan kondisi yang ada</t>
  </si>
  <si>
    <t>- Menggunakan kata - kata yang bersifat kompromistis, seperti :</t>
  </si>
  <si>
    <t xml:space="preserve">  "ini cukup bagus", "cukup sampai di sini saja", dll</t>
  </si>
  <si>
    <t>- Prestasi yang tidak tinggi dan kontribusi yang tidak besar juga</t>
  </si>
  <si>
    <t>- Berusaha untuk terus mendaki</t>
  </si>
  <si>
    <t>- Seorang pemikir yang selalu memikirkan kemungkinan - kemungkinan</t>
  </si>
  <si>
    <t xml:space="preserve">- Percaya bahwa melalui langkah - langkah kecil yang diambil sekarang </t>
  </si>
  <si>
    <t xml:space="preserve">  akan menghasilkan sesuatu yang besar di masa yang akan datang</t>
  </si>
  <si>
    <t>- Menyambut baik suatu tantangan dan terus memotivasi diri sendiri</t>
  </si>
  <si>
    <t>- Memiliki semangat yang tinggi dan terus berjuang mendapatkan yang</t>
  </si>
  <si>
    <t xml:space="preserve">  terbaik dalam hidup</t>
  </si>
  <si>
    <t>- Cenderung membuat segala sesuatu terwujud</t>
  </si>
  <si>
    <t>- Bersedia menerima kritik ataupun memahami kondisi yang menyakitkan</t>
  </si>
  <si>
    <t>- Menyambut baik setiap perubahan bahkan mendorong menuju perubahan</t>
  </si>
  <si>
    <t xml:space="preserve">  yang positif</t>
  </si>
  <si>
    <t>- Berbicara dengan tindakan</t>
  </si>
  <si>
    <t>- Memberikan konstribusi yang cukup besar karena bisa mewujudkan</t>
  </si>
  <si>
    <t xml:space="preserve">  potensi yang ada dalam dirinya</t>
  </si>
  <si>
    <t>- Tidak asing dengan kondisi yang sulit karena menganggap kesulitan</t>
  </si>
  <si>
    <t xml:space="preserve">  adalah bagian dari hidup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</si>
</sst>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8" x14ac:knownFonts="1">
    <font>
      <sz val="10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color indexed="53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8"/>
      <color indexed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indexed="9"/>
      <name val="Arial"/>
      <family val="2"/>
    </font>
    <font>
      <sz val="12"/>
      <color indexed="53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sz val="10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Protection="1"/>
    <xf numFmtId="0" fontId="1" fillId="0" borderId="0" xfId="0" applyFont="1" applyAlignment="1" applyProtection="1">
      <alignment vertical="center"/>
    </xf>
    <xf numFmtId="0" fontId="1" fillId="0" borderId="0" xfId="0" applyFont="1" applyProtection="1"/>
    <xf numFmtId="0" fontId="2" fillId="0" borderId="0" xfId="0" applyFont="1" applyBorder="1" applyAlignment="1" applyProtection="1">
      <alignment horizontal="right" vertical="center"/>
    </xf>
    <xf numFmtId="0" fontId="3" fillId="0" borderId="0" xfId="0" applyFont="1" applyProtection="1"/>
    <xf numFmtId="0" fontId="4" fillId="0" borderId="0" xfId="0" applyFont="1" applyProtection="1"/>
    <xf numFmtId="0" fontId="0" fillId="0" borderId="0" xfId="0" applyAlignme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6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9" fillId="0" borderId="0" xfId="0" applyFont="1" applyFill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2" fillId="4" borderId="1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/>
    </xf>
    <xf numFmtId="0" fontId="7" fillId="2" borderId="3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horizontal="left" vertical="center"/>
    </xf>
    <xf numFmtId="0" fontId="5" fillId="0" borderId="0" xfId="0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center" vertical="top"/>
    </xf>
    <xf numFmtId="0" fontId="10" fillId="2" borderId="3" xfId="0" applyFont="1" applyFill="1" applyBorder="1" applyAlignment="1" applyProtection="1">
      <alignment vertical="center"/>
    </xf>
    <xf numFmtId="0" fontId="10" fillId="2" borderId="0" xfId="0" applyFont="1" applyFill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left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</xf>
    <xf numFmtId="0" fontId="11" fillId="0" borderId="0" xfId="0" applyFont="1" applyAlignment="1" applyProtection="1">
      <alignment horizontal="center" vertical="center"/>
    </xf>
    <xf numFmtId="0" fontId="13" fillId="2" borderId="0" xfId="0" applyFont="1" applyFill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center"/>
    </xf>
    <xf numFmtId="0" fontId="14" fillId="2" borderId="0" xfId="0" applyFont="1" applyFill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left" vertical="center"/>
    </xf>
    <xf numFmtId="0" fontId="6" fillId="0" borderId="0" xfId="0" applyFont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left" vertical="center"/>
    </xf>
    <xf numFmtId="0" fontId="15" fillId="2" borderId="0" xfId="0" applyFont="1" applyFill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0" fontId="16" fillId="2" borderId="0" xfId="0" applyFont="1" applyFill="1" applyProtection="1"/>
    <xf numFmtId="0" fontId="16" fillId="2" borderId="0" xfId="0" applyFont="1" applyFill="1" applyAlignment="1" applyProtection="1">
      <alignment horizontal="center"/>
    </xf>
    <xf numFmtId="0" fontId="0" fillId="2" borderId="0" xfId="0" applyFont="1" applyFill="1" applyAlignment="1" applyProtection="1">
      <alignment horizontal="center"/>
    </xf>
    <xf numFmtId="0" fontId="0" fillId="2" borderId="0" xfId="0" applyFont="1" applyFill="1" applyProtection="1"/>
    <xf numFmtId="0" fontId="3" fillId="2" borderId="0" xfId="0" applyFont="1" applyFill="1" applyProtection="1"/>
    <xf numFmtId="0" fontId="17" fillId="2" borderId="0" xfId="0" applyFont="1" applyFill="1" applyProtection="1"/>
    <xf numFmtId="0" fontId="5" fillId="0" borderId="0" xfId="0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9"/>
  <sheetViews>
    <sheetView showGridLines="0" tabSelected="1" view="pageBreakPreview" workbookViewId="0">
      <selection activeCell="C9" sqref="C9"/>
    </sheetView>
  </sheetViews>
  <sheetFormatPr defaultRowHeight="12.75" x14ac:dyDescent="0.2"/>
  <cols>
    <col min="1" max="1" width="5.7109375" style="1" customWidth="1"/>
    <col min="2" max="2" width="10.7109375" style="1" customWidth="1"/>
    <col min="3" max="3" width="43.7109375" style="1" customWidth="1"/>
    <col min="4" max="4" width="15.7109375" style="1" customWidth="1"/>
    <col min="5" max="5" width="18" style="1" customWidth="1"/>
    <col min="6" max="6" width="9.140625" style="1"/>
    <col min="7" max="7" width="11" style="1" customWidth="1"/>
    <col min="8" max="16384" width="9.140625" style="1"/>
  </cols>
  <sheetData>
    <row r="1" spans="1:5" ht="22.5" customHeight="1" x14ac:dyDescent="0.35">
      <c r="B1" s="2"/>
      <c r="C1" s="3"/>
      <c r="E1" s="4" t="s">
        <v>0</v>
      </c>
    </row>
    <row r="2" spans="1:5" x14ac:dyDescent="0.2">
      <c r="A2" s="5" t="s">
        <v>1</v>
      </c>
    </row>
    <row r="3" spans="1:5" x14ac:dyDescent="0.2">
      <c r="A3" s="6" t="s">
        <v>2</v>
      </c>
    </row>
    <row r="5" spans="1:5" x14ac:dyDescent="0.2">
      <c r="A5" s="1" t="s">
        <v>3</v>
      </c>
    </row>
    <row r="6" spans="1:5" x14ac:dyDescent="0.2">
      <c r="B6" s="1" t="s">
        <v>4</v>
      </c>
    </row>
    <row r="7" spans="1:5" x14ac:dyDescent="0.2">
      <c r="B7" s="1" t="s">
        <v>5</v>
      </c>
    </row>
    <row r="8" spans="1:5" x14ac:dyDescent="0.2">
      <c r="B8" s="1" t="s">
        <v>6</v>
      </c>
    </row>
    <row r="10" spans="1:5" x14ac:dyDescent="0.2">
      <c r="A10" s="1" t="s">
        <v>7</v>
      </c>
    </row>
    <row r="11" spans="1:5" x14ac:dyDescent="0.2">
      <c r="B11" s="1" t="s">
        <v>8</v>
      </c>
    </row>
    <row r="12" spans="1:5" x14ac:dyDescent="0.2">
      <c r="B12" s="1" t="s">
        <v>9</v>
      </c>
    </row>
    <row r="13" spans="1:5" x14ac:dyDescent="0.2">
      <c r="B13" s="1" t="s">
        <v>10</v>
      </c>
    </row>
    <row r="15" spans="1:5" x14ac:dyDescent="0.2">
      <c r="A15" s="1" t="s">
        <v>11</v>
      </c>
    </row>
    <row r="16" spans="1:5" x14ac:dyDescent="0.2">
      <c r="A16" s="1" t="s">
        <v>12</v>
      </c>
    </row>
    <row r="17" spans="1:2" x14ac:dyDescent="0.2">
      <c r="B17" s="1" t="s">
        <v>13</v>
      </c>
    </row>
    <row r="18" spans="1:2" x14ac:dyDescent="0.2">
      <c r="B18" s="1" t="s">
        <v>14</v>
      </c>
    </row>
    <row r="19" spans="1:2" x14ac:dyDescent="0.2">
      <c r="B19" s="1" t="s">
        <v>15</v>
      </c>
    </row>
    <row r="21" spans="1:2" x14ac:dyDescent="0.2">
      <c r="A21" s="1" t="s">
        <v>16</v>
      </c>
    </row>
    <row r="22" spans="1:2" x14ac:dyDescent="0.2">
      <c r="B22" s="1" t="s">
        <v>17</v>
      </c>
    </row>
    <row r="23" spans="1:2" x14ac:dyDescent="0.2">
      <c r="B23" s="1" t="s">
        <v>18</v>
      </c>
    </row>
    <row r="24" spans="1:2" x14ac:dyDescent="0.2">
      <c r="B24" s="1" t="s">
        <v>19</v>
      </c>
    </row>
    <row r="26" spans="1:2" x14ac:dyDescent="0.2">
      <c r="A26" s="1" t="s">
        <v>20</v>
      </c>
    </row>
    <row r="27" spans="1:2" x14ac:dyDescent="0.2">
      <c r="B27" s="1" t="s">
        <v>21</v>
      </c>
    </row>
    <row r="28" spans="1:2" x14ac:dyDescent="0.2">
      <c r="B28" s="1" t="s">
        <v>22</v>
      </c>
    </row>
    <row r="29" spans="1:2" x14ac:dyDescent="0.2">
      <c r="B29" s="1" t="s">
        <v>23</v>
      </c>
    </row>
    <row r="31" spans="1:2" x14ac:dyDescent="0.2">
      <c r="A31" s="1" t="s">
        <v>24</v>
      </c>
    </row>
    <row r="32" spans="1:2" x14ac:dyDescent="0.2">
      <c r="B32" s="1" t="s">
        <v>25</v>
      </c>
    </row>
    <row r="33" spans="1:2" x14ac:dyDescent="0.2">
      <c r="B33" s="1" t="s">
        <v>26</v>
      </c>
    </row>
    <row r="34" spans="1:2" x14ac:dyDescent="0.2">
      <c r="B34" s="1" t="s">
        <v>27</v>
      </c>
    </row>
    <row r="36" spans="1:2" x14ac:dyDescent="0.2">
      <c r="A36" s="1" t="s">
        <v>28</v>
      </c>
    </row>
    <row r="37" spans="1:2" x14ac:dyDescent="0.2">
      <c r="B37" s="1" t="s">
        <v>29</v>
      </c>
    </row>
    <row r="38" spans="1:2" x14ac:dyDescent="0.2">
      <c r="B38" s="1" t="s">
        <v>30</v>
      </c>
    </row>
    <row r="39" spans="1:2" x14ac:dyDescent="0.2">
      <c r="B39" s="1" t="s">
        <v>31</v>
      </c>
    </row>
    <row r="41" spans="1:2" x14ac:dyDescent="0.2">
      <c r="A41" s="1" t="s">
        <v>32</v>
      </c>
    </row>
    <row r="42" spans="1:2" x14ac:dyDescent="0.2">
      <c r="B42" s="1" t="s">
        <v>33</v>
      </c>
    </row>
    <row r="43" spans="1:2" x14ac:dyDescent="0.2">
      <c r="B43" s="1" t="s">
        <v>34</v>
      </c>
    </row>
    <row r="44" spans="1:2" x14ac:dyDescent="0.2">
      <c r="B44" s="1" t="s">
        <v>35</v>
      </c>
    </row>
    <row r="46" spans="1:2" x14ac:dyDescent="0.2">
      <c r="A46" s="1" t="s">
        <v>36</v>
      </c>
    </row>
    <row r="47" spans="1:2" x14ac:dyDescent="0.2">
      <c r="B47" s="1" t="s">
        <v>37</v>
      </c>
    </row>
    <row r="48" spans="1:2" x14ac:dyDescent="0.2">
      <c r="B48" s="1" t="s">
        <v>38</v>
      </c>
    </row>
    <row r="49" spans="1:2" x14ac:dyDescent="0.2">
      <c r="B49" s="1" t="s">
        <v>39</v>
      </c>
    </row>
    <row r="51" spans="1:2" x14ac:dyDescent="0.2">
      <c r="A51" s="1" t="s">
        <v>40</v>
      </c>
    </row>
    <row r="52" spans="1:2" x14ac:dyDescent="0.2">
      <c r="B52" s="1" t="s">
        <v>41</v>
      </c>
    </row>
    <row r="53" spans="1:2" x14ac:dyDescent="0.2">
      <c r="B53" s="1" t="s">
        <v>42</v>
      </c>
    </row>
    <row r="54" spans="1:2" x14ac:dyDescent="0.2">
      <c r="B54" s="1" t="s">
        <v>43</v>
      </c>
    </row>
    <row r="56" spans="1:2" x14ac:dyDescent="0.2">
      <c r="A56" s="1" t="s">
        <v>44</v>
      </c>
    </row>
    <row r="57" spans="1:2" x14ac:dyDescent="0.2">
      <c r="B57" s="1" t="s">
        <v>45</v>
      </c>
    </row>
    <row r="58" spans="1:2" x14ac:dyDescent="0.2">
      <c r="B58" s="1" t="s">
        <v>46</v>
      </c>
    </row>
    <row r="59" spans="1:2" x14ac:dyDescent="0.2">
      <c r="B59" s="1" t="s">
        <v>47</v>
      </c>
    </row>
    <row r="61" spans="1:2" x14ac:dyDescent="0.2">
      <c r="A61" s="1" t="s">
        <v>48</v>
      </c>
    </row>
    <row r="62" spans="1:2" x14ac:dyDescent="0.2">
      <c r="B62" s="1" t="s">
        <v>49</v>
      </c>
    </row>
    <row r="63" spans="1:2" x14ac:dyDescent="0.2">
      <c r="B63" s="1" t="s">
        <v>50</v>
      </c>
    </row>
    <row r="64" spans="1:2" x14ac:dyDescent="0.2">
      <c r="B64" s="1" t="s">
        <v>51</v>
      </c>
    </row>
    <row r="66" spans="1:2" x14ac:dyDescent="0.2">
      <c r="A66" s="1" t="s">
        <v>52</v>
      </c>
    </row>
    <row r="67" spans="1:2" x14ac:dyDescent="0.2">
      <c r="B67" s="1" t="s">
        <v>53</v>
      </c>
    </row>
    <row r="68" spans="1:2" x14ac:dyDescent="0.2">
      <c r="B68" s="1" t="s">
        <v>54</v>
      </c>
    </row>
    <row r="69" spans="1:2" x14ac:dyDescent="0.2">
      <c r="B69" s="1" t="s">
        <v>55</v>
      </c>
    </row>
    <row r="71" spans="1:2" x14ac:dyDescent="0.2">
      <c r="A71" s="1" t="s">
        <v>56</v>
      </c>
    </row>
    <row r="72" spans="1:2" x14ac:dyDescent="0.2">
      <c r="B72" s="1" t="s">
        <v>57</v>
      </c>
    </row>
    <row r="73" spans="1:2" x14ac:dyDescent="0.2">
      <c r="B73" s="1" t="s">
        <v>58</v>
      </c>
    </row>
    <row r="74" spans="1:2" x14ac:dyDescent="0.2">
      <c r="B74" s="1" t="s">
        <v>59</v>
      </c>
    </row>
    <row r="76" spans="1:2" x14ac:dyDescent="0.2">
      <c r="A76" s="1" t="s">
        <v>60</v>
      </c>
    </row>
    <row r="77" spans="1:2" x14ac:dyDescent="0.2">
      <c r="B77" s="1" t="s">
        <v>61</v>
      </c>
    </row>
    <row r="78" spans="1:2" x14ac:dyDescent="0.2">
      <c r="B78" s="1" t="s">
        <v>62</v>
      </c>
    </row>
    <row r="79" spans="1:2" x14ac:dyDescent="0.2">
      <c r="B79" s="1" t="s">
        <v>63</v>
      </c>
    </row>
  </sheetData>
  <sheetProtection sheet="1"/>
  <pageMargins left="0.77986111111111112" right="0.69027777777777777" top="0.44027777777777777" bottom="0.67986111111111114" header="0.51180555555555551" footer="0.51180555555555551"/>
  <pageSetup scale="72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view="pageBreakPreview" workbookViewId="0">
      <selection activeCell="D22" sqref="D22"/>
    </sheetView>
  </sheetViews>
  <sheetFormatPr defaultRowHeight="12.75" x14ac:dyDescent="0.2"/>
  <cols>
    <col min="1" max="1" width="6.5703125" style="7" customWidth="1"/>
    <col min="2" max="2" width="9.140625" style="7"/>
    <col min="3" max="5" width="10.7109375" style="7" customWidth="1"/>
    <col min="6" max="6" width="9.140625" style="7"/>
    <col min="7" max="7" width="8.5703125" style="7" customWidth="1"/>
    <col min="8" max="16384" width="9.140625" style="7"/>
  </cols>
  <sheetData>
    <row r="1" spans="1:10" ht="27" customHeight="1" x14ac:dyDescent="0.2">
      <c r="I1" s="8" t="s">
        <v>0</v>
      </c>
    </row>
    <row r="2" spans="1:10" ht="20.25" x14ac:dyDescent="0.2">
      <c r="A2" s="49" t="s">
        <v>64</v>
      </c>
      <c r="B2" s="49"/>
      <c r="C2" s="49"/>
      <c r="D2" s="49"/>
      <c r="E2" s="49"/>
      <c r="F2" s="49"/>
      <c r="G2" s="49"/>
      <c r="H2" s="49"/>
      <c r="I2" s="49"/>
      <c r="J2" s="9"/>
    </row>
    <row r="4" spans="1:10" s="10" customFormat="1" ht="20.100000000000001" customHeight="1" x14ac:dyDescent="0.2">
      <c r="A4" s="10" t="s">
        <v>65</v>
      </c>
      <c r="C4" s="10" t="s">
        <v>66</v>
      </c>
      <c r="E4" s="10" t="s">
        <v>67</v>
      </c>
      <c r="G4" s="10" t="s">
        <v>68</v>
      </c>
    </row>
    <row r="5" spans="1:10" s="10" customFormat="1" ht="20.100000000000001" customHeight="1" x14ac:dyDescent="0.2">
      <c r="A5" s="10" t="s">
        <v>69</v>
      </c>
      <c r="C5" s="10" t="s">
        <v>66</v>
      </c>
      <c r="E5" s="10" t="s">
        <v>70</v>
      </c>
      <c r="G5" s="10" t="s">
        <v>66</v>
      </c>
    </row>
    <row r="9" spans="1:10" s="10" customFormat="1" ht="20.100000000000001" customHeight="1" x14ac:dyDescent="0.2">
      <c r="A9" s="11" t="s">
        <v>71</v>
      </c>
      <c r="C9" s="12" t="s">
        <v>72</v>
      </c>
      <c r="D9" s="12" t="s">
        <v>73</v>
      </c>
      <c r="E9" s="12" t="s">
        <v>74</v>
      </c>
    </row>
    <row r="10" spans="1:10" s="10" customFormat="1" ht="20.100000000000001" customHeight="1" x14ac:dyDescent="0.2">
      <c r="A10" s="11" t="s">
        <v>75</v>
      </c>
      <c r="C10" s="12" t="s">
        <v>72</v>
      </c>
      <c r="D10" s="12" t="s">
        <v>73</v>
      </c>
      <c r="E10" s="12" t="s">
        <v>74</v>
      </c>
    </row>
    <row r="11" spans="1:10" s="10" customFormat="1" ht="20.100000000000001" customHeight="1" x14ac:dyDescent="0.2">
      <c r="A11" s="11" t="s">
        <v>76</v>
      </c>
      <c r="C11" s="12" t="s">
        <v>72</v>
      </c>
      <c r="D11" s="12" t="s">
        <v>73</v>
      </c>
      <c r="E11" s="12" t="s">
        <v>74</v>
      </c>
    </row>
    <row r="12" spans="1:10" s="10" customFormat="1" ht="20.100000000000001" customHeight="1" x14ac:dyDescent="0.2">
      <c r="A12" s="11" t="s">
        <v>77</v>
      </c>
      <c r="C12" s="12" t="s">
        <v>72</v>
      </c>
      <c r="D12" s="12" t="s">
        <v>73</v>
      </c>
      <c r="E12" s="12" t="s">
        <v>74</v>
      </c>
    </row>
    <row r="13" spans="1:10" s="10" customFormat="1" ht="20.100000000000001" customHeight="1" x14ac:dyDescent="0.2">
      <c r="A13" s="11" t="s">
        <v>78</v>
      </c>
      <c r="C13" s="12" t="s">
        <v>72</v>
      </c>
      <c r="D13" s="12" t="s">
        <v>73</v>
      </c>
      <c r="E13" s="12" t="s">
        <v>74</v>
      </c>
    </row>
    <row r="14" spans="1:10" s="10" customFormat="1" ht="20.100000000000001" customHeight="1" x14ac:dyDescent="0.2">
      <c r="A14" s="11" t="s">
        <v>79</v>
      </c>
      <c r="C14" s="12" t="s">
        <v>72</v>
      </c>
      <c r="D14" s="12" t="s">
        <v>73</v>
      </c>
      <c r="E14" s="12" t="s">
        <v>74</v>
      </c>
    </row>
    <row r="15" spans="1:10" s="10" customFormat="1" ht="20.100000000000001" customHeight="1" x14ac:dyDescent="0.2">
      <c r="A15" s="11" t="s">
        <v>80</v>
      </c>
      <c r="C15" s="12" t="s">
        <v>72</v>
      </c>
      <c r="D15" s="12" t="s">
        <v>73</v>
      </c>
      <c r="E15" s="12" t="s">
        <v>74</v>
      </c>
    </row>
    <row r="16" spans="1:10" s="10" customFormat="1" ht="20.100000000000001" customHeight="1" x14ac:dyDescent="0.2">
      <c r="A16" s="11" t="s">
        <v>81</v>
      </c>
      <c r="C16" s="12" t="s">
        <v>72</v>
      </c>
      <c r="D16" s="12" t="s">
        <v>73</v>
      </c>
      <c r="E16" s="12" t="s">
        <v>74</v>
      </c>
    </row>
    <row r="17" spans="1:5" s="10" customFormat="1" ht="20.100000000000001" customHeight="1" x14ac:dyDescent="0.2">
      <c r="A17" s="11" t="s">
        <v>82</v>
      </c>
      <c r="C17" s="12" t="s">
        <v>72</v>
      </c>
      <c r="D17" s="12" t="s">
        <v>73</v>
      </c>
      <c r="E17" s="12" t="s">
        <v>74</v>
      </c>
    </row>
    <row r="18" spans="1:5" s="10" customFormat="1" ht="20.100000000000001" customHeight="1" x14ac:dyDescent="0.2">
      <c r="A18" s="11" t="s">
        <v>83</v>
      </c>
      <c r="C18" s="12" t="s">
        <v>72</v>
      </c>
      <c r="D18" s="12" t="s">
        <v>73</v>
      </c>
      <c r="E18" s="12" t="s">
        <v>74</v>
      </c>
    </row>
    <row r="19" spans="1:5" s="10" customFormat="1" ht="20.100000000000001" customHeight="1" x14ac:dyDescent="0.2">
      <c r="A19" s="11" t="s">
        <v>84</v>
      </c>
      <c r="C19" s="12" t="s">
        <v>72</v>
      </c>
      <c r="D19" s="12" t="s">
        <v>73</v>
      </c>
      <c r="E19" s="12" t="s">
        <v>74</v>
      </c>
    </row>
    <row r="20" spans="1:5" s="10" customFormat="1" ht="20.100000000000001" customHeight="1" x14ac:dyDescent="0.2">
      <c r="A20" s="11" t="s">
        <v>85</v>
      </c>
      <c r="C20" s="12" t="s">
        <v>72</v>
      </c>
      <c r="D20" s="12" t="s">
        <v>73</v>
      </c>
      <c r="E20" s="12" t="s">
        <v>74</v>
      </c>
    </row>
    <row r="21" spans="1:5" s="10" customFormat="1" ht="20.100000000000001" customHeight="1" x14ac:dyDescent="0.2">
      <c r="A21" s="11" t="s">
        <v>86</v>
      </c>
      <c r="C21" s="12" t="s">
        <v>72</v>
      </c>
      <c r="D21" s="12" t="s">
        <v>73</v>
      </c>
      <c r="E21" s="12" t="s">
        <v>74</v>
      </c>
    </row>
    <row r="22" spans="1:5" s="10" customFormat="1" ht="20.100000000000001" customHeight="1" x14ac:dyDescent="0.2">
      <c r="A22" s="11" t="s">
        <v>87</v>
      </c>
      <c r="C22" s="12" t="s">
        <v>72</v>
      </c>
      <c r="D22" s="12" t="s">
        <v>73</v>
      </c>
      <c r="E22" s="12" t="s">
        <v>74</v>
      </c>
    </row>
    <row r="23" spans="1:5" s="10" customFormat="1" ht="20.100000000000001" customHeight="1" x14ac:dyDescent="0.2">
      <c r="A23" s="11" t="s">
        <v>88</v>
      </c>
      <c r="C23" s="12" t="s">
        <v>72</v>
      </c>
      <c r="D23" s="12" t="s">
        <v>73</v>
      </c>
      <c r="E23" s="12" t="s">
        <v>74</v>
      </c>
    </row>
  </sheetData>
  <sheetProtection sheet="1"/>
  <mergeCells count="1">
    <mergeCell ref="A2:I2"/>
  </mergeCells>
  <pageMargins left="0.74791666666666667" right="0.74791666666666667" top="0.69027777777777777" bottom="0.98402777777777772" header="0.51180555555555551" footer="0.51180555555555551"/>
  <pageSetup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9"/>
  <sheetViews>
    <sheetView showGridLines="0" view="pageBreakPreview" workbookViewId="0">
      <selection activeCell="C4" sqref="C4:I4"/>
    </sheetView>
  </sheetViews>
  <sheetFormatPr defaultRowHeight="15.75" x14ac:dyDescent="0.2"/>
  <cols>
    <col min="1" max="1" width="6.28515625" style="13" customWidth="1"/>
    <col min="2" max="2" width="15.85546875" style="14" customWidth="1"/>
    <col min="3" max="5" width="2.7109375" style="15" customWidth="1"/>
    <col min="6" max="6" width="4.140625" style="15" customWidth="1"/>
    <col min="7" max="7" width="2.85546875" style="7" customWidth="1"/>
    <col min="8" max="8" width="5.140625" style="7" customWidth="1"/>
    <col min="9" max="9" width="16.7109375" style="7" customWidth="1"/>
    <col min="10" max="10" width="5.85546875" style="7" customWidth="1"/>
    <col min="11" max="15" width="9.140625" style="7"/>
    <col min="16" max="16" width="10.42578125" style="7" customWidth="1"/>
    <col min="17" max="16384" width="9.140625" style="7"/>
  </cols>
  <sheetData>
    <row r="1" spans="1:16" ht="23.25" x14ac:dyDescent="0.2">
      <c r="A1" s="50" t="s">
        <v>89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 ht="31.5" customHeight="1" x14ac:dyDescent="0.2">
      <c r="A2" s="16"/>
    </row>
    <row r="3" spans="1:16" ht="31.5" customHeight="1" x14ac:dyDescent="0.2">
      <c r="A3" s="16"/>
    </row>
    <row r="4" spans="1:16" x14ac:dyDescent="0.2">
      <c r="A4" s="16" t="s">
        <v>65</v>
      </c>
      <c r="C4" s="51"/>
      <c r="D4" s="51"/>
      <c r="E4" s="51"/>
      <c r="F4" s="51"/>
      <c r="G4" s="51"/>
      <c r="H4" s="51"/>
      <c r="I4" s="51"/>
      <c r="K4" s="17" t="s">
        <v>67</v>
      </c>
      <c r="M4" s="51" t="s">
        <v>90</v>
      </c>
      <c r="N4" s="51"/>
      <c r="O4" s="51"/>
      <c r="P4" s="51"/>
    </row>
    <row r="5" spans="1:16" x14ac:dyDescent="0.2">
      <c r="A5" s="16" t="s">
        <v>69</v>
      </c>
      <c r="C5" s="51" t="s">
        <v>91</v>
      </c>
      <c r="D5" s="51"/>
      <c r="E5" s="51"/>
      <c r="F5" s="51"/>
      <c r="G5" s="51"/>
      <c r="H5" s="51"/>
      <c r="I5" s="51"/>
      <c r="K5" s="17" t="s">
        <v>70</v>
      </c>
      <c r="M5" s="52" t="s">
        <v>92</v>
      </c>
      <c r="N5" s="52"/>
      <c r="O5" s="52"/>
      <c r="P5" s="52"/>
    </row>
    <row r="10" spans="1:16" ht="20.25" customHeight="1" x14ac:dyDescent="0.2">
      <c r="G10" s="18" t="s">
        <v>93</v>
      </c>
      <c r="H10" s="18"/>
      <c r="I10" s="19" t="str">
        <f>Kode!G141</f>
        <v>CAMPER</v>
      </c>
      <c r="J10" s="19"/>
      <c r="K10" s="20"/>
      <c r="L10" s="20"/>
    </row>
    <row r="11" spans="1:16" ht="18" customHeight="1" x14ac:dyDescent="0.2">
      <c r="G11" s="18"/>
      <c r="H11" s="18"/>
      <c r="I11" s="19"/>
      <c r="J11" s="19"/>
      <c r="K11" s="20"/>
      <c r="L11" s="20"/>
    </row>
    <row r="12" spans="1:16" ht="24.95" customHeight="1" x14ac:dyDescent="0.25">
      <c r="A12" s="53" t="s">
        <v>94</v>
      </c>
      <c r="B12" s="22" t="s">
        <v>95</v>
      </c>
      <c r="C12" s="23"/>
      <c r="G12" s="24" t="s">
        <v>96</v>
      </c>
      <c r="H12" s="24"/>
      <c r="I12" s="25"/>
      <c r="J12" s="25"/>
      <c r="K12" s="20"/>
      <c r="L12" s="20"/>
    </row>
    <row r="13" spans="1:16" ht="24.95" customHeight="1" x14ac:dyDescent="0.2">
      <c r="A13" s="53"/>
      <c r="B13" s="26" t="s">
        <v>97</v>
      </c>
      <c r="C13" s="27"/>
      <c r="D13" s="28" t="s">
        <v>98</v>
      </c>
      <c r="E13" s="28" t="s">
        <v>99</v>
      </c>
      <c r="F13" s="28" t="s">
        <v>100</v>
      </c>
      <c r="G13" s="29">
        <f>IF(Kode!$E$141=1,Kode!F$1,IF(Kode!$E$141=2,Kode!F$2,IF(Kode!$E$141=3,Kode!F$3,"")))</f>
        <v>201</v>
      </c>
      <c r="H13" s="30" t="str">
        <f>IF(((VLOOKUP(G13,Kode!$A$144:$B$194,2,0))=0),"",(VLOOKUP(G13,Kode!$A$144:$B$194,2,0)))</f>
        <v>- Mau berusaha untuk mendaki, namun berhenti pada satu titik tertentu</v>
      </c>
      <c r="J13" s="30"/>
      <c r="K13" s="20"/>
      <c r="L13" s="20"/>
    </row>
    <row r="14" spans="1:16" ht="24.95" customHeight="1" x14ac:dyDescent="0.2">
      <c r="A14" s="21">
        <v>1</v>
      </c>
      <c r="B14" s="31" t="s">
        <v>73</v>
      </c>
      <c r="C14" s="28" t="str">
        <f>IF(B14="a","Q",IF(B14="b","Ca",IF(B14="c","Cl","")))</f>
        <v>Ca</v>
      </c>
      <c r="D14" s="28" t="str">
        <f t="shared" ref="D14:D28" si="0">IF(($C14="Q"),1,"")</f>
        <v/>
      </c>
      <c r="E14" s="28">
        <f t="shared" ref="E14:E28" si="1">IF(($C14="Ca"),1,"")</f>
        <v>1</v>
      </c>
      <c r="F14" s="28" t="str">
        <f t="shared" ref="F14:F28" si="2">IF(($C14="Cl"),1,"")</f>
        <v/>
      </c>
      <c r="G14" s="29">
        <f>IF(Kode!$E$141=1,Kode!G$1,IF(Kode!$E$141=2,Kode!G$2,IF(Kode!$E$141=3,Kode!G$3,"")))</f>
        <v>202</v>
      </c>
      <c r="H14" s="30" t="str">
        <f>IF(((VLOOKUP(G14,Kode!$A$144:$B$194,2,0))=0),"",(VLOOKUP(G14,Kode!$A$144:$B$194,2,0)))</f>
        <v>- Cukup puas saat mencapai suatu tahapan tertentu</v>
      </c>
      <c r="J14" s="30"/>
      <c r="K14" s="20"/>
      <c r="L14" s="20"/>
    </row>
    <row r="15" spans="1:16" ht="24.95" customHeight="1" x14ac:dyDescent="0.2">
      <c r="A15" s="21">
        <v>2</v>
      </c>
      <c r="B15" s="31" t="s">
        <v>73</v>
      </c>
      <c r="C15" s="28" t="str">
        <f>IF(B15="a","Q",IF(B15="b","Cl",IF(B15="c","Ca","")))</f>
        <v>Cl</v>
      </c>
      <c r="D15" s="28" t="str">
        <f t="shared" si="0"/>
        <v/>
      </c>
      <c r="E15" s="28" t="str">
        <f t="shared" si="1"/>
        <v/>
      </c>
      <c r="F15" s="28">
        <f t="shared" si="2"/>
        <v>1</v>
      </c>
      <c r="G15" s="29">
        <f>IF(Kode!$E$141=1,Kode!H$1,IF(Kode!$E$141=2,Kode!H$2,IF(Kode!$E$141=3,Kode!H$3,"")))</f>
        <v>203</v>
      </c>
      <c r="H15" s="30" t="str">
        <f>IF(((VLOOKUP(G15,Kode!$A$144:$B$194,2,0))=0),"",(VLOOKUP(G15,Kode!$A$144:$B$194,2,0)))</f>
        <v xml:space="preserve">- Masih memiliki sejumlah inisiatif, sedikit semangat dan beberapa usaha </v>
      </c>
      <c r="J15" s="30"/>
      <c r="K15" s="20"/>
      <c r="L15" s="20"/>
    </row>
    <row r="16" spans="1:16" ht="24.95" customHeight="1" x14ac:dyDescent="0.2">
      <c r="A16" s="21">
        <v>3</v>
      </c>
      <c r="B16" s="31" t="s">
        <v>72</v>
      </c>
      <c r="C16" s="28" t="str">
        <f>IF(B16="a","Cl",IF(B16="b","Ca",IF(B16="c","Q","")))</f>
        <v>Cl</v>
      </c>
      <c r="D16" s="28" t="str">
        <f t="shared" si="0"/>
        <v/>
      </c>
      <c r="E16" s="28" t="str">
        <f t="shared" si="1"/>
        <v/>
      </c>
      <c r="F16" s="28">
        <f t="shared" si="2"/>
        <v>1</v>
      </c>
      <c r="G16" s="29">
        <f>IF(Kode!$E$141=1,Kode!I$1,IF(Kode!$E$141=2,Kode!I$2,IF(Kode!$E$141=3,Kode!I$3,"")))</f>
        <v>204</v>
      </c>
      <c r="H16" s="30" t="str">
        <f>IF(((VLOOKUP(G16,Kode!$A$144:$B$194,2,0))=0),"",(VLOOKUP(G16,Kode!$A$144:$B$194,2,0)))</f>
        <v>- Mampu mengorbankan kemampuan pribadinya demi mendapat kepuasan</v>
      </c>
      <c r="J16" s="30"/>
      <c r="K16" s="25"/>
      <c r="L16" s="20"/>
    </row>
    <row r="17" spans="1:12" ht="24.95" customHeight="1" x14ac:dyDescent="0.2">
      <c r="A17" s="21">
        <v>4</v>
      </c>
      <c r="B17" s="31" t="s">
        <v>74</v>
      </c>
      <c r="C17" s="28" t="str">
        <f>IF(B17="a","Ca",IF(B17="b","Q",IF(B17="c","Cl","")))</f>
        <v>Cl</v>
      </c>
      <c r="D17" s="28" t="str">
        <f t="shared" si="0"/>
        <v/>
      </c>
      <c r="E17" s="28" t="str">
        <f t="shared" si="1"/>
        <v/>
      </c>
      <c r="F17" s="28">
        <f t="shared" si="2"/>
        <v>1</v>
      </c>
      <c r="G17" s="29">
        <f>IF(Kode!$E$141=1,Kode!J$1,IF(Kode!$E$141=2,Kode!J$2,IF(Kode!$E$141=3,Kode!J$3,"")))</f>
        <v>205</v>
      </c>
      <c r="H17" s="30" t="str">
        <f>IF(((VLOOKUP(G17,Kode!$A$144:$B$194,2,0))=0),"",(VLOOKUP(G17,Kode!$A$144:$B$194,2,0)))</f>
        <v>- Mampu membina hubungan dengan camper lainnya</v>
      </c>
      <c r="J17" s="30"/>
      <c r="K17" s="20"/>
      <c r="L17" s="20"/>
    </row>
    <row r="18" spans="1:12" ht="24.95" customHeight="1" x14ac:dyDescent="0.2">
      <c r="A18" s="21">
        <v>5</v>
      </c>
      <c r="B18" s="31" t="s">
        <v>72</v>
      </c>
      <c r="C18" s="28" t="str">
        <f>IF(B18="a","Ca",IF(B18="b","Q",IF(B18="c","Cl","")))</f>
        <v>Ca</v>
      </c>
      <c r="D18" s="28" t="str">
        <f t="shared" si="0"/>
        <v/>
      </c>
      <c r="E18" s="28">
        <f t="shared" si="1"/>
        <v>1</v>
      </c>
      <c r="F18" s="28" t="str">
        <f t="shared" si="2"/>
        <v/>
      </c>
      <c r="G18" s="29">
        <f>IF(Kode!$E$141=1,Kode!K$1,IF(Kode!$E$141=2,Kode!K$2,IF(Kode!$E$141=3,Kode!K$3,"")))</f>
        <v>206</v>
      </c>
      <c r="H18" s="30" t="str">
        <f>IF(((VLOOKUP(G18,Kode!$A$144:$B$194,2,0))=0),"",(VLOOKUP(G18,Kode!$A$144:$B$194,2,0)))</f>
        <v xml:space="preserve">- Menahan diri terhadap perubahan sekalipun itu adalah perubahan besar </v>
      </c>
      <c r="J18" s="30"/>
      <c r="K18" s="20"/>
      <c r="L18" s="20"/>
    </row>
    <row r="19" spans="1:12" ht="24.95" customHeight="1" x14ac:dyDescent="0.2">
      <c r="A19" s="21">
        <v>6</v>
      </c>
      <c r="B19" s="31" t="s">
        <v>74</v>
      </c>
      <c r="C19" s="28" t="str">
        <f>IF(B19="a","Cl",IF(B19="b","Q",IF(B19="c","Ca","")))</f>
        <v>Ca</v>
      </c>
      <c r="D19" s="28" t="str">
        <f t="shared" si="0"/>
        <v/>
      </c>
      <c r="E19" s="28">
        <f t="shared" si="1"/>
        <v>1</v>
      </c>
      <c r="F19" s="28" t="str">
        <f t="shared" si="2"/>
        <v/>
      </c>
      <c r="G19" s="29">
        <f>IF(Kode!$E$141=1,Kode!L$1,IF(Kode!$E$141=2,Kode!L$2,IF(Kode!$E$141=3,Kode!L$3,"")))</f>
        <v>207</v>
      </c>
      <c r="H19" s="30" t="str">
        <f>IF(((VLOOKUP(G19,Kode!$A$144:$B$194,2,0))=0),"",(VLOOKUP(G19,Kode!$A$144:$B$194,2,0)))</f>
        <v xml:space="preserve">  karena merasa nyaman dengan kondisi yang ada</v>
      </c>
      <c r="J19" s="30"/>
      <c r="K19" s="20"/>
      <c r="L19" s="20"/>
    </row>
    <row r="20" spans="1:12" ht="24.95" customHeight="1" x14ac:dyDescent="0.2">
      <c r="A20" s="21">
        <v>7</v>
      </c>
      <c r="B20" s="31" t="s">
        <v>72</v>
      </c>
      <c r="C20" s="28" t="str">
        <f>IF(B20="a","Ca",IF(B20="b","Cl",IF(B20="c","Q","")))</f>
        <v>Ca</v>
      </c>
      <c r="D20" s="28" t="str">
        <f t="shared" si="0"/>
        <v/>
      </c>
      <c r="E20" s="28">
        <f t="shared" si="1"/>
        <v>1</v>
      </c>
      <c r="F20" s="28" t="str">
        <f t="shared" si="2"/>
        <v/>
      </c>
      <c r="G20" s="29">
        <f>IF(Kode!$E$141=1,Kode!M$1,IF(Kode!$E$141=2,Kode!M$2,IF(Kode!$E$141=3,Kode!M$3,"")))</f>
        <v>208</v>
      </c>
      <c r="H20" s="30" t="str">
        <f>IF(((VLOOKUP(G20,Kode!$A$144:$B$194,2,0))=0),"",(VLOOKUP(G20,Kode!$A$144:$B$194,2,0)))</f>
        <v>- Menggunakan kata - kata yang bersifat kompromistis, seperti :</v>
      </c>
      <c r="J20" s="30"/>
    </row>
    <row r="21" spans="1:12" ht="24.95" customHeight="1" x14ac:dyDescent="0.2">
      <c r="A21" s="21">
        <v>8</v>
      </c>
      <c r="B21" s="31" t="s">
        <v>73</v>
      </c>
      <c r="C21" s="28" t="str">
        <f>IF(B21="a","Q",IF(B21="b","Ca",IF(B21="c","Cl","")))</f>
        <v>Ca</v>
      </c>
      <c r="D21" s="28" t="str">
        <f t="shared" si="0"/>
        <v/>
      </c>
      <c r="E21" s="28">
        <f t="shared" si="1"/>
        <v>1</v>
      </c>
      <c r="F21" s="28" t="str">
        <f t="shared" si="2"/>
        <v/>
      </c>
      <c r="G21" s="29">
        <f>IF(Kode!$E$141=1,Kode!N$1,IF(Kode!$E$141=2,Kode!N$2,IF(Kode!$E$141=3,Kode!N$3,"")))</f>
        <v>209</v>
      </c>
      <c r="H21" s="30" t="str">
        <f>IF(((VLOOKUP(G21,Kode!$A$144:$B$194,2,0))=0),"",(VLOOKUP(G21,Kode!$A$144:$B$194,2,0)))</f>
        <v xml:space="preserve">  "ini cukup bagus", "cukup sampai di sini saja", dll</v>
      </c>
      <c r="J21" s="30"/>
    </row>
    <row r="22" spans="1:12" ht="24.95" customHeight="1" x14ac:dyDescent="0.2">
      <c r="A22" s="21">
        <v>9</v>
      </c>
      <c r="B22" s="31" t="s">
        <v>72</v>
      </c>
      <c r="C22" s="28" t="str">
        <f>IF(B22="a","Cl",IF(B22="b","Q",IF(B22="c","Ca","")))</f>
        <v>Cl</v>
      </c>
      <c r="D22" s="28" t="str">
        <f t="shared" si="0"/>
        <v/>
      </c>
      <c r="E22" s="28" t="str">
        <f t="shared" si="1"/>
        <v/>
      </c>
      <c r="F22" s="28">
        <f t="shared" si="2"/>
        <v>1</v>
      </c>
      <c r="G22" s="29">
        <f>IF(Kode!$E$141=1,Kode!O$1,IF(Kode!$E$141=2,Kode!O$2,IF(Kode!$E$141=3,Kode!O$3,"")))</f>
        <v>210</v>
      </c>
      <c r="H22" s="30" t="str">
        <f>IF(((VLOOKUP(G22,Kode!$A$144:$B$194,2,0))=0),"",(VLOOKUP(G22,Kode!$A$144:$B$194,2,0)))</f>
        <v>- Prestasi yang tidak tinggi dan kontribusi yang tidak besar juga</v>
      </c>
      <c r="J22" s="30"/>
    </row>
    <row r="23" spans="1:12" ht="24.95" customHeight="1" x14ac:dyDescent="0.2">
      <c r="A23" s="21">
        <v>10</v>
      </c>
      <c r="B23" s="31" t="s">
        <v>72</v>
      </c>
      <c r="C23" s="28" t="str">
        <f>IF(B23="a","Cl",IF(B23="b","Q",IF(B23="c","Ca","")))</f>
        <v>Cl</v>
      </c>
      <c r="D23" s="28" t="str">
        <f t="shared" si="0"/>
        <v/>
      </c>
      <c r="E23" s="28" t="str">
        <f t="shared" si="1"/>
        <v/>
      </c>
      <c r="F23" s="28">
        <f t="shared" si="2"/>
        <v>1</v>
      </c>
      <c r="G23" s="29">
        <f>IF(Kode!$E$141=1,Kode!P$1,IF(Kode!$E$141=2,Kode!P$2,IF(Kode!$E$141=3,Kode!P$3,"")))</f>
        <v>211</v>
      </c>
      <c r="H23" s="30" t="str">
        <f>IF(((VLOOKUP(G23,Kode!$A$144:$B$194,2,0))=0),"",(VLOOKUP(G23,Kode!$A$144:$B$194,2,0)))</f>
        <v/>
      </c>
      <c r="J23" s="30"/>
    </row>
    <row r="24" spans="1:12" ht="24.95" customHeight="1" x14ac:dyDescent="0.2">
      <c r="A24" s="21">
        <v>11</v>
      </c>
      <c r="B24" s="31" t="s">
        <v>74</v>
      </c>
      <c r="C24" s="28" t="str">
        <f>IF(B24="a","Q",IF(B24="b","Ca",IF(B24="c","Cl","")))</f>
        <v>Cl</v>
      </c>
      <c r="D24" s="28" t="str">
        <f t="shared" si="0"/>
        <v/>
      </c>
      <c r="E24" s="28" t="str">
        <f t="shared" si="1"/>
        <v/>
      </c>
      <c r="F24" s="28">
        <f t="shared" si="2"/>
        <v>1</v>
      </c>
      <c r="G24" s="29">
        <f>IF(Kode!$E$141=1,Kode!Q$1,IF(Kode!$E$141=2,Kode!Q$2,IF(Kode!$E$141=3,Kode!Q$3,"")))</f>
        <v>212</v>
      </c>
      <c r="H24" s="30" t="str">
        <f>IF(((VLOOKUP(G24,Kode!$A$144:$B$194,2,0))=0),"",(VLOOKUP(G24,Kode!$A$144:$B$194,2,0)))</f>
        <v/>
      </c>
      <c r="J24" s="30"/>
    </row>
    <row r="25" spans="1:12" ht="24.95" customHeight="1" x14ac:dyDescent="0.2">
      <c r="A25" s="21">
        <v>12</v>
      </c>
      <c r="B25" s="31" t="s">
        <v>74</v>
      </c>
      <c r="C25" s="28" t="str">
        <f>IF(B25="a","Cl",IF(B25="b","Q",IF(B25="c","Ca","")))</f>
        <v>Ca</v>
      </c>
      <c r="D25" s="28" t="str">
        <f t="shared" si="0"/>
        <v/>
      </c>
      <c r="E25" s="28">
        <f t="shared" si="1"/>
        <v>1</v>
      </c>
      <c r="F25" s="28" t="str">
        <f t="shared" si="2"/>
        <v/>
      </c>
      <c r="G25" s="29">
        <f>IF(Kode!$E$141=1,Kode!R$1,IF(Kode!$E$141=2,Kode!R$2,IF(Kode!$E$141=3,Kode!R$3,"")))</f>
        <v>213</v>
      </c>
      <c r="H25" s="30" t="str">
        <f>IF(((VLOOKUP(G25,Kode!$A$144:$B$194,2,0))=0),"",(VLOOKUP(G25,Kode!$A$144:$B$194,2,0)))</f>
        <v/>
      </c>
      <c r="J25" s="30"/>
    </row>
    <row r="26" spans="1:12" ht="24.95" customHeight="1" x14ac:dyDescent="0.2">
      <c r="A26" s="21">
        <v>13</v>
      </c>
      <c r="B26" s="31" t="s">
        <v>74</v>
      </c>
      <c r="C26" s="28" t="str">
        <f>IF(B26="a","Ca",IF(B26="b","Q",IF(B26="c","Cl","")))</f>
        <v>Cl</v>
      </c>
      <c r="D26" s="28" t="str">
        <f t="shared" si="0"/>
        <v/>
      </c>
      <c r="E26" s="28" t="str">
        <f t="shared" si="1"/>
        <v/>
      </c>
      <c r="F26" s="28">
        <f t="shared" si="2"/>
        <v>1</v>
      </c>
      <c r="G26" s="29">
        <f>IF(Kode!$E$141=1,Kode!S$1,IF(Kode!$E$141=2,Kode!S$2,IF(Kode!$E$141=3,Kode!S$3,"")))</f>
        <v>214</v>
      </c>
      <c r="H26" s="30" t="str">
        <f>IF(((VLOOKUP(G26,Kode!$A$144:$B$194,2,0))=0),"",(VLOOKUP(G26,Kode!$A$144:$B$194,2,0)))</f>
        <v/>
      </c>
      <c r="J26" s="30"/>
    </row>
    <row r="27" spans="1:12" s="32" customFormat="1" ht="24.95" customHeight="1" x14ac:dyDescent="0.2">
      <c r="A27" s="21">
        <v>14</v>
      </c>
      <c r="B27" s="31" t="s">
        <v>72</v>
      </c>
      <c r="C27" s="28" t="str">
        <f>IF(B27="a","Q",IF(B27="b","Ca",IF(B27="c","Cl","")))</f>
        <v>Q</v>
      </c>
      <c r="D27" s="28">
        <f t="shared" si="0"/>
        <v>1</v>
      </c>
      <c r="E27" s="28" t="str">
        <f t="shared" si="1"/>
        <v/>
      </c>
      <c r="F27" s="28" t="str">
        <f t="shared" si="2"/>
        <v/>
      </c>
      <c r="G27" s="29">
        <f>IF(Kode!$E$141=1,Kode!T$1,IF(Kode!$E$141=2,Kode!T$2,IF(Kode!$E$141=3,Kode!T$3,"")))</f>
        <v>215</v>
      </c>
      <c r="H27" s="30" t="str">
        <f>IF(((VLOOKUP(G27,Kode!$A$144:$B$194,2,0))=0),"",(VLOOKUP(G27,Kode!$A$144:$B$194,2,0)))</f>
        <v/>
      </c>
      <c r="J27" s="30"/>
    </row>
    <row r="28" spans="1:12" ht="24.95" customHeight="1" x14ac:dyDescent="0.2">
      <c r="A28" s="21">
        <v>15</v>
      </c>
      <c r="B28" s="31" t="s">
        <v>72</v>
      </c>
      <c r="C28" s="28" t="str">
        <f>IF(B28="a","Ca",IF(B28="b","Cl",IF(B28="c","Q","")))</f>
        <v>Ca</v>
      </c>
      <c r="D28" s="28" t="str">
        <f t="shared" si="0"/>
        <v/>
      </c>
      <c r="E28" s="28">
        <f t="shared" si="1"/>
        <v>1</v>
      </c>
      <c r="F28" s="28" t="str">
        <f t="shared" si="2"/>
        <v/>
      </c>
      <c r="G28" s="29">
        <f>IF(Kode!$E$141=1,Kode!U$1,IF(Kode!$E$141=2,Kode!U$2,IF(Kode!$E$141=3,Kode!U$3,"")))</f>
        <v>216</v>
      </c>
      <c r="H28" s="30" t="str">
        <f>IF(((VLOOKUP(G28,Kode!$A$144:$B$194,2,0))=0),"",(VLOOKUP(G28,Kode!$A$144:$B$194,2,0)))</f>
        <v/>
      </c>
      <c r="J28" s="30"/>
    </row>
    <row r="29" spans="1:12" ht="24.95" customHeight="1" x14ac:dyDescent="0.2">
      <c r="B29" s="33"/>
      <c r="C29" s="34"/>
      <c r="D29" s="28">
        <f>SUM(D14:D28)</f>
        <v>1</v>
      </c>
      <c r="E29" s="28">
        <f>SUM(E14:E28)</f>
        <v>7</v>
      </c>
      <c r="F29" s="28">
        <f>SUM(F14:F28)</f>
        <v>7</v>
      </c>
      <c r="G29" s="29"/>
      <c r="H29" s="29"/>
      <c r="I29" s="30"/>
      <c r="J29" s="35"/>
    </row>
    <row r="30" spans="1:12" ht="24.95" customHeight="1" x14ac:dyDescent="0.2">
      <c r="B30" s="33"/>
      <c r="C30" s="34"/>
      <c r="D30" s="34"/>
      <c r="E30" s="28"/>
      <c r="F30" s="28"/>
      <c r="G30" s="29"/>
      <c r="H30" s="29"/>
      <c r="I30" s="30"/>
      <c r="J30" s="35"/>
    </row>
    <row r="31" spans="1:12" ht="24.95" customHeight="1" x14ac:dyDescent="0.2">
      <c r="A31" s="16" t="s">
        <v>101</v>
      </c>
      <c r="B31" s="33"/>
      <c r="C31" s="36"/>
      <c r="D31" s="36"/>
      <c r="G31" s="37"/>
      <c r="H31" s="37"/>
      <c r="I31" s="30"/>
      <c r="J31" s="35"/>
    </row>
    <row r="32" spans="1:12" ht="20.100000000000001" customHeight="1" x14ac:dyDescent="0.2">
      <c r="A32" s="38" t="s">
        <v>102</v>
      </c>
      <c r="B32" s="13"/>
      <c r="C32" s="39" t="str">
        <f>Kode!I141</f>
        <v>kurang disarankan</v>
      </c>
      <c r="D32" s="40"/>
      <c r="E32" s="41"/>
      <c r="F32" s="41"/>
      <c r="G32" s="30" t="s">
        <v>103</v>
      </c>
      <c r="H32" s="30"/>
      <c r="I32" s="30"/>
      <c r="J32" s="35"/>
    </row>
    <row r="33" spans="1:8" ht="20.100000000000001" customHeight="1" x14ac:dyDescent="0.2">
      <c r="A33" s="38" t="s">
        <v>104</v>
      </c>
      <c r="C33" s="36"/>
      <c r="D33" s="36"/>
      <c r="G33" s="42"/>
      <c r="H33" s="42"/>
    </row>
    <row r="34" spans="1:8" ht="24.95" customHeight="1" x14ac:dyDescent="0.2">
      <c r="C34" s="36"/>
      <c r="D34" s="36"/>
      <c r="G34" s="42"/>
      <c r="H34" s="42"/>
    </row>
    <row r="35" spans="1:8" ht="24.95" customHeight="1" x14ac:dyDescent="0.2">
      <c r="C35" s="36"/>
      <c r="D35" s="36"/>
      <c r="G35" s="42"/>
      <c r="H35" s="42"/>
    </row>
    <row r="36" spans="1:8" ht="24.95" customHeight="1" x14ac:dyDescent="0.2">
      <c r="C36" s="36"/>
      <c r="D36" s="36"/>
      <c r="G36" s="42"/>
      <c r="H36" s="42"/>
    </row>
    <row r="37" spans="1:8" ht="24.95" customHeight="1" x14ac:dyDescent="0.2">
      <c r="C37" s="36"/>
      <c r="D37" s="36"/>
      <c r="G37" s="42"/>
      <c r="H37" s="42"/>
    </row>
    <row r="38" spans="1:8" ht="24.95" customHeight="1" x14ac:dyDescent="0.2">
      <c r="C38" s="36"/>
      <c r="D38" s="36"/>
      <c r="G38" s="42"/>
      <c r="H38" s="42"/>
    </row>
    <row r="39" spans="1:8" ht="24.95" customHeight="1" x14ac:dyDescent="0.2">
      <c r="C39" s="36"/>
      <c r="D39" s="36"/>
      <c r="G39" s="42"/>
      <c r="H39" s="42"/>
    </row>
    <row r="40" spans="1:8" ht="24.95" customHeight="1" x14ac:dyDescent="0.2">
      <c r="C40" s="36"/>
      <c r="D40" s="36"/>
      <c r="G40" s="42"/>
      <c r="H40" s="42"/>
    </row>
    <row r="41" spans="1:8" ht="24.95" customHeight="1" x14ac:dyDescent="0.2">
      <c r="C41" s="36"/>
      <c r="D41" s="36"/>
      <c r="G41" s="42"/>
      <c r="H41" s="42"/>
    </row>
    <row r="42" spans="1:8" ht="24.95" customHeight="1" x14ac:dyDescent="0.2">
      <c r="C42" s="36"/>
      <c r="D42" s="36"/>
      <c r="G42" s="42"/>
      <c r="H42" s="42"/>
    </row>
    <row r="43" spans="1:8" ht="24.95" customHeight="1" x14ac:dyDescent="0.2">
      <c r="C43" s="36"/>
      <c r="D43" s="36"/>
      <c r="G43" s="42"/>
      <c r="H43" s="42"/>
    </row>
    <row r="44" spans="1:8" ht="24.95" customHeight="1" x14ac:dyDescent="0.2">
      <c r="C44" s="36"/>
      <c r="D44" s="36"/>
      <c r="G44" s="42"/>
      <c r="H44" s="42"/>
    </row>
    <row r="45" spans="1:8" ht="24.95" customHeight="1" x14ac:dyDescent="0.2">
      <c r="C45" s="36"/>
      <c r="D45" s="36"/>
      <c r="G45" s="42"/>
      <c r="H45" s="42"/>
    </row>
    <row r="46" spans="1:8" ht="24.95" customHeight="1" x14ac:dyDescent="0.2">
      <c r="C46" s="36"/>
      <c r="D46" s="36"/>
      <c r="G46" s="42"/>
      <c r="H46" s="42"/>
    </row>
    <row r="47" spans="1:8" ht="24.95" customHeight="1" x14ac:dyDescent="0.2">
      <c r="C47" s="36"/>
      <c r="D47" s="36"/>
      <c r="G47" s="42"/>
      <c r="H47" s="42"/>
    </row>
    <row r="48" spans="1:8" x14ac:dyDescent="0.2">
      <c r="C48" s="36"/>
      <c r="D48" s="36"/>
      <c r="G48" s="42"/>
      <c r="H48" s="42"/>
    </row>
    <row r="49" spans="3:8" x14ac:dyDescent="0.2">
      <c r="C49" s="36"/>
      <c r="D49" s="36"/>
      <c r="G49" s="42"/>
      <c r="H49" s="42"/>
    </row>
    <row r="50" spans="3:8" x14ac:dyDescent="0.2">
      <c r="C50" s="36"/>
      <c r="D50" s="36"/>
      <c r="G50" s="42"/>
      <c r="H50" s="42"/>
    </row>
    <row r="51" spans="3:8" x14ac:dyDescent="0.2">
      <c r="C51" s="36"/>
      <c r="D51" s="36"/>
      <c r="G51" s="42"/>
      <c r="H51" s="42"/>
    </row>
    <row r="52" spans="3:8" x14ac:dyDescent="0.2">
      <c r="C52" s="36"/>
      <c r="D52" s="36"/>
      <c r="G52" s="42"/>
      <c r="H52" s="42"/>
    </row>
    <row r="53" spans="3:8" x14ac:dyDescent="0.2">
      <c r="C53" s="36"/>
      <c r="D53" s="36"/>
      <c r="G53" s="42"/>
      <c r="H53" s="42"/>
    </row>
    <row r="54" spans="3:8" x14ac:dyDescent="0.2">
      <c r="C54" s="36"/>
      <c r="D54" s="36"/>
      <c r="G54" s="42"/>
      <c r="H54" s="42"/>
    </row>
    <row r="55" spans="3:8" x14ac:dyDescent="0.2">
      <c r="C55" s="36"/>
      <c r="D55" s="36"/>
      <c r="G55" s="42"/>
      <c r="H55" s="42"/>
    </row>
    <row r="56" spans="3:8" x14ac:dyDescent="0.2">
      <c r="C56" s="36"/>
      <c r="D56" s="36"/>
      <c r="G56" s="42"/>
      <c r="H56" s="42"/>
    </row>
    <row r="57" spans="3:8" x14ac:dyDescent="0.2">
      <c r="C57" s="36"/>
      <c r="D57" s="36"/>
      <c r="G57" s="42"/>
      <c r="H57" s="42"/>
    </row>
    <row r="58" spans="3:8" x14ac:dyDescent="0.2">
      <c r="C58" s="36"/>
      <c r="D58" s="36"/>
      <c r="G58" s="42"/>
      <c r="H58" s="42"/>
    </row>
    <row r="59" spans="3:8" x14ac:dyDescent="0.2">
      <c r="C59" s="36"/>
      <c r="D59" s="36"/>
      <c r="G59" s="42"/>
      <c r="H59" s="42"/>
    </row>
    <row r="60" spans="3:8" x14ac:dyDescent="0.2">
      <c r="C60" s="36"/>
      <c r="D60" s="36"/>
      <c r="G60" s="42"/>
      <c r="H60" s="42"/>
    </row>
    <row r="61" spans="3:8" x14ac:dyDescent="0.2">
      <c r="C61" s="36"/>
      <c r="D61" s="36"/>
      <c r="G61" s="42"/>
      <c r="H61" s="42"/>
    </row>
    <row r="62" spans="3:8" x14ac:dyDescent="0.2">
      <c r="C62" s="36"/>
      <c r="D62" s="36"/>
      <c r="G62" s="42"/>
      <c r="H62" s="42"/>
    </row>
    <row r="63" spans="3:8" x14ac:dyDescent="0.2">
      <c r="C63" s="36"/>
      <c r="D63" s="36"/>
    </row>
    <row r="64" spans="3:8" x14ac:dyDescent="0.2">
      <c r="C64" s="36"/>
      <c r="D64" s="36"/>
    </row>
    <row r="65" spans="3:4" x14ac:dyDescent="0.2">
      <c r="C65" s="36"/>
      <c r="D65" s="36"/>
    </row>
    <row r="66" spans="3:4" x14ac:dyDescent="0.2">
      <c r="C66" s="36"/>
      <c r="D66" s="36"/>
    </row>
    <row r="67" spans="3:4" x14ac:dyDescent="0.2">
      <c r="C67" s="36"/>
      <c r="D67" s="36"/>
    </row>
    <row r="68" spans="3:4" x14ac:dyDescent="0.2">
      <c r="C68" s="36"/>
      <c r="D68" s="36"/>
    </row>
    <row r="69" spans="3:4" x14ac:dyDescent="0.2">
      <c r="C69" s="36"/>
      <c r="D69" s="36"/>
    </row>
    <row r="70" spans="3:4" x14ac:dyDescent="0.2">
      <c r="C70" s="36"/>
      <c r="D70" s="36"/>
    </row>
    <row r="71" spans="3:4" x14ac:dyDescent="0.2">
      <c r="C71" s="36"/>
      <c r="D71" s="36"/>
    </row>
    <row r="72" spans="3:4" x14ac:dyDescent="0.2">
      <c r="C72" s="36"/>
      <c r="D72" s="36"/>
    </row>
    <row r="73" spans="3:4" x14ac:dyDescent="0.2">
      <c r="C73" s="36"/>
      <c r="D73" s="36"/>
    </row>
    <row r="74" spans="3:4" x14ac:dyDescent="0.2">
      <c r="C74" s="36"/>
      <c r="D74" s="36"/>
    </row>
    <row r="75" spans="3:4" x14ac:dyDescent="0.2">
      <c r="C75" s="36"/>
      <c r="D75" s="36"/>
    </row>
    <row r="76" spans="3:4" x14ac:dyDescent="0.2">
      <c r="C76" s="36"/>
      <c r="D76" s="36"/>
    </row>
    <row r="77" spans="3:4" x14ac:dyDescent="0.2">
      <c r="C77" s="36"/>
      <c r="D77" s="36"/>
    </row>
    <row r="78" spans="3:4" x14ac:dyDescent="0.2">
      <c r="C78" s="36"/>
      <c r="D78" s="36"/>
    </row>
    <row r="79" spans="3:4" x14ac:dyDescent="0.2">
      <c r="C79" s="36"/>
      <c r="D79" s="36"/>
    </row>
  </sheetData>
  <sheetProtection sheet="1"/>
  <mergeCells count="6">
    <mergeCell ref="A12:A13"/>
    <mergeCell ref="A1:P1"/>
    <mergeCell ref="C4:I4"/>
    <mergeCell ref="M4:P4"/>
    <mergeCell ref="C5:I5"/>
    <mergeCell ref="M5:P5"/>
  </mergeCells>
  <pageMargins left="0.8" right="0.55000000000000004" top="0.65972222222222221" bottom="0.98402777777777772" header="0.51180555555555551" footer="0.51180555555555551"/>
  <pageSetup scale="75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4"/>
  <sheetViews>
    <sheetView showGridLines="0" view="pageBreakPreview" topLeftCell="H1" workbookViewId="0">
      <selection activeCell="O5" sqref="O5"/>
    </sheetView>
  </sheetViews>
  <sheetFormatPr defaultRowHeight="12.75" x14ac:dyDescent="0.2"/>
  <cols>
    <col min="1" max="1" width="9.28515625" style="43" customWidth="1"/>
    <col min="2" max="4" width="4.7109375" style="43" customWidth="1"/>
    <col min="5" max="5" width="9.140625" style="44"/>
    <col min="6" max="16384" width="9.140625" style="43"/>
  </cols>
  <sheetData>
    <row r="1" spans="1:21" x14ac:dyDescent="0.2">
      <c r="A1" s="45" t="s">
        <v>105</v>
      </c>
      <c r="B1" s="46">
        <f>Interpretasi!D29</f>
        <v>1</v>
      </c>
      <c r="C1" s="46"/>
      <c r="D1" s="46"/>
      <c r="E1" s="45" t="s">
        <v>105</v>
      </c>
      <c r="F1" s="46">
        <v>101</v>
      </c>
      <c r="G1" s="46">
        <v>102</v>
      </c>
      <c r="H1" s="46">
        <v>103</v>
      </c>
      <c r="I1" s="46">
        <v>104</v>
      </c>
      <c r="J1" s="46">
        <v>105</v>
      </c>
      <c r="K1" s="46">
        <v>106</v>
      </c>
      <c r="L1" s="46">
        <v>107</v>
      </c>
      <c r="M1" s="46">
        <v>108</v>
      </c>
      <c r="N1" s="46">
        <v>109</v>
      </c>
      <c r="O1" s="46">
        <v>110</v>
      </c>
      <c r="P1" s="46">
        <v>111</v>
      </c>
      <c r="Q1" s="46">
        <v>112</v>
      </c>
      <c r="R1" s="46">
        <v>113</v>
      </c>
      <c r="S1" s="46">
        <v>114</v>
      </c>
      <c r="T1" s="46">
        <v>115</v>
      </c>
      <c r="U1" s="46">
        <v>116</v>
      </c>
    </row>
    <row r="2" spans="1:21" x14ac:dyDescent="0.2">
      <c r="A2" s="45" t="s">
        <v>106</v>
      </c>
      <c r="B2" s="46">
        <f>Interpretasi!E29</f>
        <v>7</v>
      </c>
      <c r="C2" s="46"/>
      <c r="D2" s="46"/>
      <c r="E2" s="45" t="s">
        <v>106</v>
      </c>
      <c r="F2" s="46">
        <v>201</v>
      </c>
      <c r="G2" s="46">
        <v>202</v>
      </c>
      <c r="H2" s="46">
        <v>203</v>
      </c>
      <c r="I2" s="46">
        <v>204</v>
      </c>
      <c r="J2" s="46">
        <v>205</v>
      </c>
      <c r="K2" s="46">
        <v>206</v>
      </c>
      <c r="L2" s="46">
        <v>207</v>
      </c>
      <c r="M2" s="46">
        <v>208</v>
      </c>
      <c r="N2" s="46">
        <v>209</v>
      </c>
      <c r="O2" s="46">
        <v>210</v>
      </c>
      <c r="P2" s="46">
        <v>211</v>
      </c>
      <c r="Q2" s="46">
        <v>212</v>
      </c>
      <c r="R2" s="46">
        <v>213</v>
      </c>
      <c r="S2" s="46">
        <v>214</v>
      </c>
      <c r="T2" s="46">
        <v>215</v>
      </c>
      <c r="U2" s="46">
        <v>216</v>
      </c>
    </row>
    <row r="3" spans="1:21" x14ac:dyDescent="0.2">
      <c r="A3" s="45" t="s">
        <v>107</v>
      </c>
      <c r="B3" s="46">
        <f>Interpretasi!F29</f>
        <v>7</v>
      </c>
      <c r="C3" s="46"/>
      <c r="D3" s="46"/>
      <c r="E3" s="45" t="s">
        <v>107</v>
      </c>
      <c r="F3" s="46">
        <v>301</v>
      </c>
      <c r="G3" s="46">
        <v>302</v>
      </c>
      <c r="H3" s="46">
        <v>303</v>
      </c>
      <c r="I3" s="46">
        <v>304</v>
      </c>
      <c r="J3" s="46">
        <v>305</v>
      </c>
      <c r="K3" s="46">
        <v>306</v>
      </c>
      <c r="L3" s="46">
        <v>307</v>
      </c>
      <c r="M3" s="46">
        <v>308</v>
      </c>
      <c r="N3" s="46">
        <v>309</v>
      </c>
      <c r="O3" s="46">
        <v>310</v>
      </c>
      <c r="P3" s="46">
        <v>311</v>
      </c>
      <c r="Q3" s="46">
        <v>312</v>
      </c>
      <c r="R3" s="46">
        <v>313</v>
      </c>
      <c r="S3" s="46">
        <v>314</v>
      </c>
      <c r="T3" s="46">
        <v>315</v>
      </c>
      <c r="U3" s="46">
        <v>316</v>
      </c>
    </row>
    <row r="4" spans="1:21" x14ac:dyDescent="0.2">
      <c r="A4" s="46"/>
      <c r="B4" s="46"/>
      <c r="C4" s="46"/>
      <c r="D4" s="46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</row>
    <row r="5" spans="1:21" x14ac:dyDescent="0.2">
      <c r="A5" s="46">
        <v>7</v>
      </c>
      <c r="B5" s="46">
        <v>1</v>
      </c>
      <c r="C5" s="46">
        <v>7</v>
      </c>
      <c r="D5" s="46"/>
      <c r="E5" s="45" t="str">
        <f>IF(AND($B$1=A5,($B$2=B5),($B$3=C5)),2,"")</f>
        <v/>
      </c>
      <c r="F5" s="46" t="s">
        <v>106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1" x14ac:dyDescent="0.2">
      <c r="A6" s="46">
        <v>6</v>
      </c>
      <c r="B6" s="46">
        <v>3</v>
      </c>
      <c r="C6" s="46">
        <v>6</v>
      </c>
      <c r="D6" s="46"/>
      <c r="E6" s="45" t="str">
        <f>IF(AND($B$1=A6,($B$2=B6),($B$3=C6)),2,"")</f>
        <v/>
      </c>
      <c r="F6" s="46" t="s">
        <v>106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</row>
    <row r="7" spans="1:21" x14ac:dyDescent="0.2">
      <c r="A7" s="46">
        <v>5</v>
      </c>
      <c r="B7" s="46">
        <v>5</v>
      </c>
      <c r="C7" s="46">
        <v>5</v>
      </c>
      <c r="D7" s="46"/>
      <c r="E7" s="45" t="str">
        <f t="shared" ref="E7:E52" si="0">IF(AND($B$1=A7,($B$2=B7),($B$3=C7)),2,"")</f>
        <v/>
      </c>
      <c r="F7" s="46" t="s">
        <v>106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</row>
    <row r="8" spans="1:21" x14ac:dyDescent="0.2">
      <c r="A8" s="46">
        <v>4</v>
      </c>
      <c r="B8" s="46">
        <v>6</v>
      </c>
      <c r="C8" s="46">
        <v>5</v>
      </c>
      <c r="D8" s="46"/>
      <c r="E8" s="45" t="str">
        <f t="shared" si="0"/>
        <v/>
      </c>
      <c r="F8" s="46" t="s">
        <v>106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</row>
    <row r="9" spans="1:21" x14ac:dyDescent="0.2">
      <c r="A9" s="46">
        <v>5</v>
      </c>
      <c r="B9" s="46">
        <v>6</v>
      </c>
      <c r="C9" s="46">
        <v>4</v>
      </c>
      <c r="D9" s="46"/>
      <c r="E9" s="45" t="str">
        <f t="shared" si="0"/>
        <v/>
      </c>
      <c r="F9" s="46" t="s">
        <v>106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</row>
    <row r="10" spans="1:21" x14ac:dyDescent="0.2">
      <c r="A10" s="46">
        <v>6</v>
      </c>
      <c r="B10" s="46">
        <v>6</v>
      </c>
      <c r="C10" s="46">
        <v>3</v>
      </c>
      <c r="D10" s="46"/>
      <c r="E10" s="45" t="str">
        <f t="shared" si="0"/>
        <v/>
      </c>
      <c r="F10" s="46" t="s">
        <v>106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</row>
    <row r="11" spans="1:21" x14ac:dyDescent="0.2">
      <c r="A11" s="46">
        <v>2</v>
      </c>
      <c r="B11" s="46">
        <v>7</v>
      </c>
      <c r="C11" s="46">
        <v>6</v>
      </c>
      <c r="D11" s="46"/>
      <c r="E11" s="45" t="str">
        <f t="shared" si="0"/>
        <v/>
      </c>
      <c r="F11" s="46" t="s">
        <v>106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 spans="1:21" x14ac:dyDescent="0.2">
      <c r="A12" s="46">
        <v>3</v>
      </c>
      <c r="B12" s="46">
        <v>7</v>
      </c>
      <c r="C12" s="46">
        <v>5</v>
      </c>
      <c r="D12" s="46"/>
      <c r="E12" s="45" t="str">
        <f t="shared" si="0"/>
        <v/>
      </c>
      <c r="F12" s="46" t="s">
        <v>106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</row>
    <row r="13" spans="1:21" x14ac:dyDescent="0.2">
      <c r="A13" s="46">
        <v>4</v>
      </c>
      <c r="B13" s="46">
        <v>7</v>
      </c>
      <c r="C13" s="46">
        <v>4</v>
      </c>
      <c r="D13" s="46"/>
      <c r="E13" s="45" t="str">
        <f t="shared" si="0"/>
        <v/>
      </c>
      <c r="F13" s="46" t="s">
        <v>106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</row>
    <row r="14" spans="1:21" x14ac:dyDescent="0.2">
      <c r="A14" s="46">
        <v>5</v>
      </c>
      <c r="B14" s="46">
        <v>7</v>
      </c>
      <c r="C14" s="46">
        <v>3</v>
      </c>
      <c r="D14" s="46"/>
      <c r="E14" s="45" t="str">
        <f t="shared" si="0"/>
        <v/>
      </c>
      <c r="F14" s="46" t="s">
        <v>106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</row>
    <row r="15" spans="1:21" x14ac:dyDescent="0.2">
      <c r="A15" s="46">
        <v>6</v>
      </c>
      <c r="B15" s="46">
        <v>7</v>
      </c>
      <c r="C15" s="46">
        <v>2</v>
      </c>
      <c r="D15" s="46"/>
      <c r="E15" s="45" t="str">
        <f t="shared" si="0"/>
        <v/>
      </c>
      <c r="F15" s="46" t="s">
        <v>106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</row>
    <row r="16" spans="1:21" x14ac:dyDescent="0.2">
      <c r="A16" s="46">
        <v>7</v>
      </c>
      <c r="B16" s="46">
        <v>7</v>
      </c>
      <c r="C16" s="46">
        <v>1</v>
      </c>
      <c r="D16" s="46"/>
      <c r="E16" s="45" t="str">
        <f t="shared" si="0"/>
        <v/>
      </c>
      <c r="F16" s="46" t="s">
        <v>106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</row>
    <row r="17" spans="1:21" x14ac:dyDescent="0.2">
      <c r="A17" s="46">
        <v>0</v>
      </c>
      <c r="B17" s="46">
        <v>8</v>
      </c>
      <c r="C17" s="46">
        <v>7</v>
      </c>
      <c r="D17" s="46"/>
      <c r="E17" s="45" t="str">
        <f t="shared" si="0"/>
        <v/>
      </c>
      <c r="F17" s="46" t="s">
        <v>106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</row>
    <row r="18" spans="1:21" x14ac:dyDescent="0.2">
      <c r="A18" s="46">
        <v>1</v>
      </c>
      <c r="B18" s="46">
        <v>8</v>
      </c>
      <c r="C18" s="46">
        <v>6</v>
      </c>
      <c r="D18" s="46"/>
      <c r="E18" s="45" t="str">
        <f t="shared" si="0"/>
        <v/>
      </c>
      <c r="F18" s="46" t="s">
        <v>106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</row>
    <row r="19" spans="1:21" x14ac:dyDescent="0.2">
      <c r="A19" s="46">
        <v>2</v>
      </c>
      <c r="B19" s="46">
        <v>8</v>
      </c>
      <c r="C19" s="46">
        <v>5</v>
      </c>
      <c r="D19" s="46"/>
      <c r="E19" s="45" t="str">
        <f t="shared" si="0"/>
        <v/>
      </c>
      <c r="F19" s="46" t="s">
        <v>106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</row>
    <row r="20" spans="1:21" x14ac:dyDescent="0.2">
      <c r="A20" s="46">
        <v>3</v>
      </c>
      <c r="B20" s="46">
        <v>8</v>
      </c>
      <c r="C20" s="46">
        <v>4</v>
      </c>
      <c r="D20" s="46"/>
      <c r="E20" s="45" t="str">
        <f t="shared" si="0"/>
        <v/>
      </c>
      <c r="F20" s="46" t="s">
        <v>106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</row>
    <row r="21" spans="1:21" x14ac:dyDescent="0.2">
      <c r="A21" s="46">
        <v>4</v>
      </c>
      <c r="B21" s="46">
        <v>8</v>
      </c>
      <c r="C21" s="46">
        <v>3</v>
      </c>
      <c r="D21" s="46"/>
      <c r="E21" s="45" t="str">
        <f t="shared" si="0"/>
        <v/>
      </c>
      <c r="F21" s="46" t="s">
        <v>106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</row>
    <row r="22" spans="1:21" x14ac:dyDescent="0.2">
      <c r="A22" s="46">
        <v>5</v>
      </c>
      <c r="B22" s="46">
        <v>8</v>
      </c>
      <c r="C22" s="46">
        <v>2</v>
      </c>
      <c r="D22" s="46"/>
      <c r="E22" s="45" t="str">
        <f t="shared" si="0"/>
        <v/>
      </c>
      <c r="F22" s="46" t="s">
        <v>106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</row>
    <row r="23" spans="1:21" x14ac:dyDescent="0.2">
      <c r="A23" s="46">
        <v>6</v>
      </c>
      <c r="B23" s="46">
        <v>8</v>
      </c>
      <c r="C23" s="46">
        <v>1</v>
      </c>
      <c r="D23" s="46"/>
      <c r="E23" s="45" t="str">
        <f t="shared" si="0"/>
        <v/>
      </c>
      <c r="F23" s="46" t="s">
        <v>106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 spans="1:21" x14ac:dyDescent="0.2">
      <c r="A24" s="46">
        <v>7</v>
      </c>
      <c r="B24" s="46">
        <v>8</v>
      </c>
      <c r="C24" s="46">
        <v>0</v>
      </c>
      <c r="D24" s="46"/>
      <c r="E24" s="45" t="str">
        <f t="shared" si="0"/>
        <v/>
      </c>
      <c r="F24" s="46" t="s">
        <v>106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</row>
    <row r="25" spans="1:21" x14ac:dyDescent="0.2">
      <c r="A25" s="46">
        <v>0</v>
      </c>
      <c r="B25" s="46">
        <v>9</v>
      </c>
      <c r="C25" s="46">
        <v>6</v>
      </c>
      <c r="D25" s="46"/>
      <c r="E25" s="45" t="str">
        <f t="shared" si="0"/>
        <v/>
      </c>
      <c r="F25" s="46" t="s">
        <v>106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</row>
    <row r="26" spans="1:21" x14ac:dyDescent="0.2">
      <c r="A26" s="46">
        <v>1</v>
      </c>
      <c r="B26" s="46">
        <v>9</v>
      </c>
      <c r="C26" s="46">
        <v>5</v>
      </c>
      <c r="D26" s="46"/>
      <c r="E26" s="45" t="str">
        <f t="shared" si="0"/>
        <v/>
      </c>
      <c r="F26" s="46" t="s">
        <v>106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</row>
    <row r="27" spans="1:21" x14ac:dyDescent="0.2">
      <c r="A27" s="46">
        <v>2</v>
      </c>
      <c r="B27" s="46">
        <v>9</v>
      </c>
      <c r="C27" s="46">
        <v>4</v>
      </c>
      <c r="D27" s="46"/>
      <c r="E27" s="45" t="str">
        <f t="shared" si="0"/>
        <v/>
      </c>
      <c r="F27" s="46" t="s">
        <v>106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</row>
    <row r="28" spans="1:21" x14ac:dyDescent="0.2">
      <c r="A28" s="46">
        <v>3</v>
      </c>
      <c r="B28" s="46">
        <v>9</v>
      </c>
      <c r="C28" s="46">
        <v>3</v>
      </c>
      <c r="D28" s="46"/>
      <c r="E28" s="45" t="str">
        <f t="shared" si="0"/>
        <v/>
      </c>
      <c r="F28" s="46" t="s">
        <v>106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</row>
    <row r="29" spans="1:21" x14ac:dyDescent="0.2">
      <c r="A29" s="46">
        <v>4</v>
      </c>
      <c r="B29" s="46">
        <v>9</v>
      </c>
      <c r="C29" s="46">
        <v>2</v>
      </c>
      <c r="D29" s="46"/>
      <c r="E29" s="45" t="str">
        <f t="shared" si="0"/>
        <v/>
      </c>
      <c r="F29" s="46" t="s">
        <v>106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spans="1:21" x14ac:dyDescent="0.2">
      <c r="A30" s="46">
        <v>5</v>
      </c>
      <c r="B30" s="46">
        <v>9</v>
      </c>
      <c r="C30" s="46">
        <v>1</v>
      </c>
      <c r="D30" s="46"/>
      <c r="E30" s="45" t="str">
        <f t="shared" si="0"/>
        <v/>
      </c>
      <c r="F30" s="46" t="s">
        <v>106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spans="1:21" x14ac:dyDescent="0.2">
      <c r="A31" s="46">
        <v>6</v>
      </c>
      <c r="B31" s="46">
        <v>9</v>
      </c>
      <c r="C31" s="46">
        <v>0</v>
      </c>
      <c r="D31" s="46"/>
      <c r="E31" s="45" t="str">
        <f t="shared" si="0"/>
        <v/>
      </c>
      <c r="F31" s="46" t="s">
        <v>106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 spans="1:21" x14ac:dyDescent="0.2">
      <c r="A32" s="46">
        <v>0</v>
      </c>
      <c r="B32" s="46">
        <v>10</v>
      </c>
      <c r="C32" s="46">
        <v>5</v>
      </c>
      <c r="D32" s="46"/>
      <c r="E32" s="45" t="str">
        <f t="shared" si="0"/>
        <v/>
      </c>
      <c r="F32" s="46" t="s">
        <v>106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</row>
    <row r="33" spans="1:21" x14ac:dyDescent="0.2">
      <c r="A33" s="46">
        <v>1</v>
      </c>
      <c r="B33" s="46">
        <v>10</v>
      </c>
      <c r="C33" s="46">
        <v>4</v>
      </c>
      <c r="D33" s="46"/>
      <c r="E33" s="45" t="str">
        <f t="shared" si="0"/>
        <v/>
      </c>
      <c r="F33" s="46" t="s">
        <v>106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</row>
    <row r="34" spans="1:21" x14ac:dyDescent="0.2">
      <c r="A34" s="46">
        <v>2</v>
      </c>
      <c r="B34" s="46">
        <v>10</v>
      </c>
      <c r="C34" s="46">
        <v>3</v>
      </c>
      <c r="D34" s="46"/>
      <c r="E34" s="45" t="str">
        <f t="shared" si="0"/>
        <v/>
      </c>
      <c r="F34" s="46" t="s">
        <v>106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</row>
    <row r="35" spans="1:21" x14ac:dyDescent="0.2">
      <c r="A35" s="46">
        <v>3</v>
      </c>
      <c r="B35" s="46">
        <v>10</v>
      </c>
      <c r="C35" s="46">
        <v>2</v>
      </c>
      <c r="D35" s="46"/>
      <c r="E35" s="45" t="str">
        <f t="shared" si="0"/>
        <v/>
      </c>
      <c r="F35" s="46" t="s">
        <v>106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spans="1:21" x14ac:dyDescent="0.2">
      <c r="A36" s="46">
        <v>4</v>
      </c>
      <c r="B36" s="46">
        <v>10</v>
      </c>
      <c r="C36" s="46">
        <v>1</v>
      </c>
      <c r="D36" s="46"/>
      <c r="E36" s="45" t="str">
        <f t="shared" si="0"/>
        <v/>
      </c>
      <c r="F36" s="46" t="s">
        <v>106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spans="1:21" x14ac:dyDescent="0.2">
      <c r="A37" s="46">
        <v>5</v>
      </c>
      <c r="B37" s="46">
        <v>10</v>
      </c>
      <c r="C37" s="46">
        <v>0</v>
      </c>
      <c r="D37" s="46"/>
      <c r="E37" s="45" t="str">
        <f t="shared" si="0"/>
        <v/>
      </c>
      <c r="F37" s="46" t="s">
        <v>106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 spans="1:21" x14ac:dyDescent="0.2">
      <c r="A38" s="46">
        <v>0</v>
      </c>
      <c r="B38" s="46">
        <v>11</v>
      </c>
      <c r="C38" s="46">
        <v>4</v>
      </c>
      <c r="D38" s="46"/>
      <c r="E38" s="45" t="str">
        <f t="shared" si="0"/>
        <v/>
      </c>
      <c r="F38" s="46" t="s">
        <v>106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</row>
    <row r="39" spans="1:21" x14ac:dyDescent="0.2">
      <c r="A39" s="46">
        <v>1</v>
      </c>
      <c r="B39" s="46">
        <v>11</v>
      </c>
      <c r="C39" s="46">
        <v>3</v>
      </c>
      <c r="D39" s="46"/>
      <c r="E39" s="45" t="str">
        <f t="shared" si="0"/>
        <v/>
      </c>
      <c r="F39" s="46" t="s">
        <v>106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</row>
    <row r="40" spans="1:21" x14ac:dyDescent="0.2">
      <c r="A40" s="46">
        <v>2</v>
      </c>
      <c r="B40" s="46">
        <v>11</v>
      </c>
      <c r="C40" s="46">
        <v>2</v>
      </c>
      <c r="D40" s="46"/>
      <c r="E40" s="45" t="str">
        <f t="shared" si="0"/>
        <v/>
      </c>
      <c r="F40" s="46" t="s">
        <v>106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</row>
    <row r="41" spans="1:21" x14ac:dyDescent="0.2">
      <c r="A41" s="46">
        <v>3</v>
      </c>
      <c r="B41" s="46">
        <v>11</v>
      </c>
      <c r="C41" s="46">
        <v>1</v>
      </c>
      <c r="D41" s="46"/>
      <c r="E41" s="45" t="str">
        <f t="shared" si="0"/>
        <v/>
      </c>
      <c r="F41" s="46" t="s">
        <v>106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spans="1:21" x14ac:dyDescent="0.2">
      <c r="A42" s="46">
        <v>4</v>
      </c>
      <c r="B42" s="46">
        <v>11</v>
      </c>
      <c r="C42" s="46">
        <v>0</v>
      </c>
      <c r="D42" s="46"/>
      <c r="E42" s="45" t="str">
        <f t="shared" si="0"/>
        <v/>
      </c>
      <c r="F42" s="46" t="s">
        <v>106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 spans="1:21" x14ac:dyDescent="0.2">
      <c r="A43" s="46">
        <v>0</v>
      </c>
      <c r="B43" s="46">
        <v>12</v>
      </c>
      <c r="C43" s="46">
        <v>3</v>
      </c>
      <c r="D43" s="46"/>
      <c r="E43" s="45" t="str">
        <f t="shared" si="0"/>
        <v/>
      </c>
      <c r="F43" s="46" t="s">
        <v>106</v>
      </c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</row>
    <row r="44" spans="1:21" x14ac:dyDescent="0.2">
      <c r="A44" s="46">
        <v>1</v>
      </c>
      <c r="B44" s="46">
        <v>12</v>
      </c>
      <c r="C44" s="46">
        <v>2</v>
      </c>
      <c r="D44" s="46"/>
      <c r="E44" s="45" t="str">
        <f t="shared" si="0"/>
        <v/>
      </c>
      <c r="F44" s="46" t="s">
        <v>106</v>
      </c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</row>
    <row r="45" spans="1:21" x14ac:dyDescent="0.2">
      <c r="A45" s="46">
        <v>2</v>
      </c>
      <c r="B45" s="46">
        <v>12</v>
      </c>
      <c r="C45" s="46">
        <v>1</v>
      </c>
      <c r="D45" s="46"/>
      <c r="E45" s="45" t="str">
        <f t="shared" si="0"/>
        <v/>
      </c>
      <c r="F45" s="46" t="s">
        <v>106</v>
      </c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</row>
    <row r="46" spans="1:21" x14ac:dyDescent="0.2">
      <c r="A46" s="46">
        <v>3</v>
      </c>
      <c r="B46" s="46">
        <v>12</v>
      </c>
      <c r="C46" s="46">
        <v>0</v>
      </c>
      <c r="D46" s="46"/>
      <c r="E46" s="45" t="str">
        <f t="shared" si="0"/>
        <v/>
      </c>
      <c r="F46" s="46" t="s">
        <v>106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</row>
    <row r="47" spans="1:21" x14ac:dyDescent="0.2">
      <c r="A47" s="46">
        <v>0</v>
      </c>
      <c r="B47" s="46">
        <v>13</v>
      </c>
      <c r="C47" s="46">
        <v>2</v>
      </c>
      <c r="D47" s="46"/>
      <c r="E47" s="45" t="str">
        <f t="shared" si="0"/>
        <v/>
      </c>
      <c r="F47" s="46" t="s">
        <v>106</v>
      </c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 spans="1:21" x14ac:dyDescent="0.2">
      <c r="A48" s="46">
        <v>1</v>
      </c>
      <c r="B48" s="46">
        <v>13</v>
      </c>
      <c r="C48" s="46">
        <v>1</v>
      </c>
      <c r="D48" s="46"/>
      <c r="E48" s="45" t="str">
        <f t="shared" si="0"/>
        <v/>
      </c>
      <c r="F48" s="46" t="s">
        <v>106</v>
      </c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</row>
    <row r="49" spans="1:21" x14ac:dyDescent="0.2">
      <c r="A49" s="46">
        <v>2</v>
      </c>
      <c r="B49" s="46">
        <v>13</v>
      </c>
      <c r="C49" s="46">
        <v>0</v>
      </c>
      <c r="D49" s="46"/>
      <c r="E49" s="45" t="str">
        <f t="shared" si="0"/>
        <v/>
      </c>
      <c r="F49" s="46" t="s">
        <v>106</v>
      </c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</row>
    <row r="50" spans="1:21" x14ac:dyDescent="0.2">
      <c r="A50" s="46">
        <v>0</v>
      </c>
      <c r="B50" s="46">
        <v>14</v>
      </c>
      <c r="C50" s="46">
        <v>1</v>
      </c>
      <c r="D50" s="46"/>
      <c r="E50" s="45" t="str">
        <f t="shared" si="0"/>
        <v/>
      </c>
      <c r="F50" s="46" t="s">
        <v>106</v>
      </c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</row>
    <row r="51" spans="1:21" x14ac:dyDescent="0.2">
      <c r="A51" s="46">
        <v>1</v>
      </c>
      <c r="B51" s="46">
        <v>14</v>
      </c>
      <c r="C51" s="46">
        <v>0</v>
      </c>
      <c r="D51" s="46"/>
      <c r="E51" s="45" t="str">
        <f t="shared" si="0"/>
        <v/>
      </c>
      <c r="F51" s="46" t="s">
        <v>106</v>
      </c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</row>
    <row r="52" spans="1:21" x14ac:dyDescent="0.2">
      <c r="A52" s="46">
        <v>0</v>
      </c>
      <c r="B52" s="46">
        <v>15</v>
      </c>
      <c r="C52" s="46">
        <v>0</v>
      </c>
      <c r="D52" s="46"/>
      <c r="E52" s="45" t="str">
        <f t="shared" si="0"/>
        <v/>
      </c>
      <c r="F52" s="46" t="s">
        <v>106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</row>
    <row r="53" spans="1:21" x14ac:dyDescent="0.2">
      <c r="A53" s="46">
        <v>3</v>
      </c>
      <c r="B53" s="46">
        <v>6</v>
      </c>
      <c r="C53" s="46">
        <v>6</v>
      </c>
      <c r="D53" s="46"/>
      <c r="E53" s="45" t="str">
        <f>IF(AND($B$1=A53,($B$2=B53),($B$3=C53)),2,"")</f>
        <v/>
      </c>
      <c r="F53" s="46" t="s">
        <v>106</v>
      </c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</row>
    <row r="54" spans="1:21" x14ac:dyDescent="0.2">
      <c r="A54" s="46">
        <v>4</v>
      </c>
      <c r="B54" s="46">
        <v>5</v>
      </c>
      <c r="C54" s="46">
        <v>6</v>
      </c>
      <c r="D54" s="46"/>
      <c r="E54" s="45" t="str">
        <f t="shared" ref="E54:E97" si="1">IF(AND($B$1=A54,($B$2=B54),($B$3=C54)),3,"")</f>
        <v/>
      </c>
      <c r="F54" s="46" t="s">
        <v>107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</row>
    <row r="55" spans="1:21" x14ac:dyDescent="0.2">
      <c r="A55" s="46">
        <v>5</v>
      </c>
      <c r="B55" s="46">
        <v>4</v>
      </c>
      <c r="C55" s="46">
        <v>6</v>
      </c>
      <c r="D55" s="46"/>
      <c r="E55" s="45" t="str">
        <f t="shared" si="1"/>
        <v/>
      </c>
      <c r="F55" s="46" t="s">
        <v>107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</row>
    <row r="56" spans="1:21" x14ac:dyDescent="0.2">
      <c r="A56" s="46">
        <v>1</v>
      </c>
      <c r="B56" s="46">
        <v>7</v>
      </c>
      <c r="C56" s="46">
        <v>7</v>
      </c>
      <c r="D56" s="46"/>
      <c r="E56" s="45">
        <f>IF(AND($B$1=A56,($B$2=B56),($B$3=C56)),2,"")</f>
        <v>2</v>
      </c>
      <c r="F56" s="46" t="s">
        <v>106</v>
      </c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</row>
    <row r="57" spans="1:21" x14ac:dyDescent="0.2">
      <c r="A57" s="46">
        <v>2</v>
      </c>
      <c r="B57" s="46">
        <v>6</v>
      </c>
      <c r="C57" s="46">
        <v>7</v>
      </c>
      <c r="D57" s="46"/>
      <c r="E57" s="45" t="str">
        <f t="shared" si="1"/>
        <v/>
      </c>
      <c r="F57" s="46" t="s">
        <v>107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</row>
    <row r="58" spans="1:21" x14ac:dyDescent="0.2">
      <c r="A58" s="46">
        <v>3</v>
      </c>
      <c r="B58" s="46">
        <v>5</v>
      </c>
      <c r="C58" s="46">
        <v>7</v>
      </c>
      <c r="D58" s="46"/>
      <c r="E58" s="45" t="str">
        <f t="shared" si="1"/>
        <v/>
      </c>
      <c r="F58" s="46" t="s">
        <v>107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</row>
    <row r="59" spans="1:21" x14ac:dyDescent="0.2">
      <c r="A59" s="46">
        <v>4</v>
      </c>
      <c r="B59" s="46">
        <v>4</v>
      </c>
      <c r="C59" s="46">
        <v>7</v>
      </c>
      <c r="D59" s="46"/>
      <c r="E59" s="45" t="str">
        <f t="shared" si="1"/>
        <v/>
      </c>
      <c r="F59" s="46" t="s">
        <v>107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</row>
    <row r="60" spans="1:21" x14ac:dyDescent="0.2">
      <c r="A60" s="46">
        <v>5</v>
      </c>
      <c r="B60" s="46">
        <v>3</v>
      </c>
      <c r="C60" s="46">
        <v>7</v>
      </c>
      <c r="D60" s="46"/>
      <c r="E60" s="45" t="str">
        <f t="shared" si="1"/>
        <v/>
      </c>
      <c r="F60" s="46" t="s">
        <v>107</v>
      </c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</row>
    <row r="61" spans="1:21" x14ac:dyDescent="0.2">
      <c r="A61" s="46">
        <v>6</v>
      </c>
      <c r="B61" s="46">
        <v>2</v>
      </c>
      <c r="C61" s="46">
        <v>7</v>
      </c>
      <c r="D61" s="46"/>
      <c r="E61" s="45" t="str">
        <f t="shared" si="1"/>
        <v/>
      </c>
      <c r="F61" s="46" t="s">
        <v>107</v>
      </c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</row>
    <row r="62" spans="1:21" x14ac:dyDescent="0.2">
      <c r="A62" s="46">
        <v>0</v>
      </c>
      <c r="B62" s="46">
        <v>7</v>
      </c>
      <c r="C62" s="46">
        <v>8</v>
      </c>
      <c r="D62" s="46"/>
      <c r="E62" s="45" t="str">
        <f t="shared" si="1"/>
        <v/>
      </c>
      <c r="F62" s="46" t="s">
        <v>107</v>
      </c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</row>
    <row r="63" spans="1:21" x14ac:dyDescent="0.2">
      <c r="A63" s="46">
        <v>1</v>
      </c>
      <c r="B63" s="46">
        <v>6</v>
      </c>
      <c r="C63" s="46">
        <v>8</v>
      </c>
      <c r="D63" s="46"/>
      <c r="E63" s="45" t="str">
        <f t="shared" si="1"/>
        <v/>
      </c>
      <c r="F63" s="46" t="s">
        <v>107</v>
      </c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</row>
    <row r="64" spans="1:21" x14ac:dyDescent="0.2">
      <c r="A64" s="46">
        <v>2</v>
      </c>
      <c r="B64" s="46">
        <v>5</v>
      </c>
      <c r="C64" s="46">
        <v>8</v>
      </c>
      <c r="D64" s="46"/>
      <c r="E64" s="45" t="str">
        <f t="shared" si="1"/>
        <v/>
      </c>
      <c r="F64" s="46" t="s">
        <v>107</v>
      </c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</row>
    <row r="65" spans="1:21" x14ac:dyDescent="0.2">
      <c r="A65" s="46">
        <v>3</v>
      </c>
      <c r="B65" s="46">
        <v>4</v>
      </c>
      <c r="C65" s="46">
        <v>8</v>
      </c>
      <c r="D65" s="46"/>
      <c r="E65" s="45" t="str">
        <f t="shared" si="1"/>
        <v/>
      </c>
      <c r="F65" s="46" t="s">
        <v>107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</row>
    <row r="66" spans="1:21" x14ac:dyDescent="0.2">
      <c r="A66" s="46">
        <v>4</v>
      </c>
      <c r="B66" s="46">
        <v>3</v>
      </c>
      <c r="C66" s="46">
        <v>8</v>
      </c>
      <c r="D66" s="46"/>
      <c r="E66" s="45" t="str">
        <f t="shared" si="1"/>
        <v/>
      </c>
      <c r="F66" s="46" t="s">
        <v>107</v>
      </c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</row>
    <row r="67" spans="1:21" x14ac:dyDescent="0.2">
      <c r="A67" s="46">
        <v>5</v>
      </c>
      <c r="B67" s="46">
        <v>2</v>
      </c>
      <c r="C67" s="46">
        <v>8</v>
      </c>
      <c r="D67" s="46"/>
      <c r="E67" s="45" t="str">
        <f t="shared" si="1"/>
        <v/>
      </c>
      <c r="F67" s="46" t="s">
        <v>107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</row>
    <row r="68" spans="1:21" x14ac:dyDescent="0.2">
      <c r="A68" s="46">
        <v>6</v>
      </c>
      <c r="B68" s="46">
        <v>1</v>
      </c>
      <c r="C68" s="46">
        <v>8</v>
      </c>
      <c r="D68" s="46"/>
      <c r="E68" s="45" t="str">
        <f t="shared" si="1"/>
        <v/>
      </c>
      <c r="F68" s="46" t="s">
        <v>107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</row>
    <row r="69" spans="1:21" x14ac:dyDescent="0.2">
      <c r="A69" s="46">
        <v>7</v>
      </c>
      <c r="B69" s="46">
        <v>0</v>
      </c>
      <c r="C69" s="46">
        <v>8</v>
      </c>
      <c r="D69" s="46"/>
      <c r="E69" s="45" t="str">
        <f t="shared" si="1"/>
        <v/>
      </c>
      <c r="F69" s="46" t="s">
        <v>107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</row>
    <row r="70" spans="1:21" x14ac:dyDescent="0.2">
      <c r="A70" s="46">
        <v>0</v>
      </c>
      <c r="B70" s="46">
        <v>6</v>
      </c>
      <c r="C70" s="46">
        <v>9</v>
      </c>
      <c r="D70" s="46"/>
      <c r="E70" s="45" t="str">
        <f t="shared" si="1"/>
        <v/>
      </c>
      <c r="F70" s="46" t="s">
        <v>107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</row>
    <row r="71" spans="1:21" x14ac:dyDescent="0.2">
      <c r="A71" s="46">
        <v>1</v>
      </c>
      <c r="B71" s="46">
        <v>5</v>
      </c>
      <c r="C71" s="46">
        <v>9</v>
      </c>
      <c r="D71" s="46"/>
      <c r="E71" s="45" t="str">
        <f t="shared" si="1"/>
        <v/>
      </c>
      <c r="F71" s="46" t="s">
        <v>107</v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</row>
    <row r="72" spans="1:21" x14ac:dyDescent="0.2">
      <c r="A72" s="46">
        <v>2</v>
      </c>
      <c r="B72" s="46">
        <v>4</v>
      </c>
      <c r="C72" s="46">
        <v>9</v>
      </c>
      <c r="D72" s="46"/>
      <c r="E72" s="45" t="str">
        <f t="shared" si="1"/>
        <v/>
      </c>
      <c r="F72" s="46" t="s">
        <v>107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</row>
    <row r="73" spans="1:21" x14ac:dyDescent="0.2">
      <c r="A73" s="46">
        <v>3</v>
      </c>
      <c r="B73" s="46">
        <v>3</v>
      </c>
      <c r="C73" s="46">
        <v>9</v>
      </c>
      <c r="D73" s="46"/>
      <c r="E73" s="45" t="str">
        <f t="shared" si="1"/>
        <v/>
      </c>
      <c r="F73" s="46" t="s">
        <v>107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</row>
    <row r="74" spans="1:21" x14ac:dyDescent="0.2">
      <c r="A74" s="46">
        <v>4</v>
      </c>
      <c r="B74" s="46">
        <v>2</v>
      </c>
      <c r="C74" s="46">
        <v>9</v>
      </c>
      <c r="D74" s="46"/>
      <c r="E74" s="45" t="str">
        <f t="shared" si="1"/>
        <v/>
      </c>
      <c r="F74" s="46" t="s">
        <v>107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</row>
    <row r="75" spans="1:21" x14ac:dyDescent="0.2">
      <c r="A75" s="46">
        <v>5</v>
      </c>
      <c r="B75" s="46">
        <v>1</v>
      </c>
      <c r="C75" s="46">
        <v>9</v>
      </c>
      <c r="D75" s="46"/>
      <c r="E75" s="45" t="str">
        <f t="shared" si="1"/>
        <v/>
      </c>
      <c r="F75" s="46" t="s">
        <v>107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</row>
    <row r="76" spans="1:21" x14ac:dyDescent="0.2">
      <c r="A76" s="46">
        <v>6</v>
      </c>
      <c r="B76" s="46">
        <v>0</v>
      </c>
      <c r="C76" s="46">
        <v>9</v>
      </c>
      <c r="D76" s="46"/>
      <c r="E76" s="45" t="str">
        <f t="shared" si="1"/>
        <v/>
      </c>
      <c r="F76" s="46" t="s">
        <v>107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</row>
    <row r="77" spans="1:21" x14ac:dyDescent="0.2">
      <c r="A77" s="46">
        <v>0</v>
      </c>
      <c r="B77" s="46">
        <v>5</v>
      </c>
      <c r="C77" s="46">
        <v>10</v>
      </c>
      <c r="D77" s="46"/>
      <c r="E77" s="45" t="str">
        <f t="shared" si="1"/>
        <v/>
      </c>
      <c r="F77" s="46" t="s">
        <v>107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</row>
    <row r="78" spans="1:21" x14ac:dyDescent="0.2">
      <c r="A78" s="46">
        <v>1</v>
      </c>
      <c r="B78" s="46">
        <v>4</v>
      </c>
      <c r="C78" s="46">
        <v>10</v>
      </c>
      <c r="D78" s="46"/>
      <c r="E78" s="45" t="str">
        <f t="shared" si="1"/>
        <v/>
      </c>
      <c r="F78" s="46" t="s">
        <v>107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</row>
    <row r="79" spans="1:21" x14ac:dyDescent="0.2">
      <c r="A79" s="46">
        <v>2</v>
      </c>
      <c r="B79" s="46">
        <v>3</v>
      </c>
      <c r="C79" s="46">
        <v>10</v>
      </c>
      <c r="D79" s="46"/>
      <c r="E79" s="45" t="str">
        <f t="shared" si="1"/>
        <v/>
      </c>
      <c r="F79" s="46" t="s">
        <v>107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</row>
    <row r="80" spans="1:21" x14ac:dyDescent="0.2">
      <c r="A80" s="46">
        <v>3</v>
      </c>
      <c r="B80" s="46">
        <v>2</v>
      </c>
      <c r="C80" s="46">
        <v>10</v>
      </c>
      <c r="D80" s="46"/>
      <c r="E80" s="45" t="str">
        <f t="shared" si="1"/>
        <v/>
      </c>
      <c r="F80" s="46" t="s">
        <v>107</v>
      </c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</row>
    <row r="81" spans="1:21" x14ac:dyDescent="0.2">
      <c r="A81" s="46">
        <v>4</v>
      </c>
      <c r="B81" s="46">
        <v>1</v>
      </c>
      <c r="C81" s="46">
        <v>10</v>
      </c>
      <c r="D81" s="46"/>
      <c r="E81" s="45" t="str">
        <f t="shared" si="1"/>
        <v/>
      </c>
      <c r="F81" s="46" t="s">
        <v>107</v>
      </c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</row>
    <row r="82" spans="1:21" x14ac:dyDescent="0.2">
      <c r="A82" s="46">
        <v>5</v>
      </c>
      <c r="B82" s="46">
        <v>0</v>
      </c>
      <c r="C82" s="46">
        <v>10</v>
      </c>
      <c r="D82" s="46"/>
      <c r="E82" s="45" t="str">
        <f t="shared" si="1"/>
        <v/>
      </c>
      <c r="F82" s="46" t="s">
        <v>107</v>
      </c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</row>
    <row r="83" spans="1:21" x14ac:dyDescent="0.2">
      <c r="A83" s="46">
        <v>0</v>
      </c>
      <c r="B83" s="46">
        <v>4</v>
      </c>
      <c r="C83" s="46">
        <v>11</v>
      </c>
      <c r="D83" s="46"/>
      <c r="E83" s="45" t="str">
        <f t="shared" si="1"/>
        <v/>
      </c>
      <c r="F83" s="46" t="s">
        <v>107</v>
      </c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</row>
    <row r="84" spans="1:21" x14ac:dyDescent="0.2">
      <c r="A84" s="46">
        <v>1</v>
      </c>
      <c r="B84" s="46">
        <v>3</v>
      </c>
      <c r="C84" s="46">
        <v>11</v>
      </c>
      <c r="D84" s="46"/>
      <c r="E84" s="45" t="str">
        <f t="shared" si="1"/>
        <v/>
      </c>
      <c r="F84" s="46" t="s">
        <v>107</v>
      </c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</row>
    <row r="85" spans="1:21" x14ac:dyDescent="0.2">
      <c r="A85" s="46">
        <v>2</v>
      </c>
      <c r="B85" s="46">
        <v>2</v>
      </c>
      <c r="C85" s="46">
        <v>11</v>
      </c>
      <c r="D85" s="46"/>
      <c r="E85" s="45" t="str">
        <f t="shared" si="1"/>
        <v/>
      </c>
      <c r="F85" s="46" t="s">
        <v>107</v>
      </c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</row>
    <row r="86" spans="1:21" x14ac:dyDescent="0.2">
      <c r="A86" s="46">
        <v>3</v>
      </c>
      <c r="B86" s="46">
        <v>1</v>
      </c>
      <c r="C86" s="46">
        <v>11</v>
      </c>
      <c r="D86" s="46"/>
      <c r="E86" s="45" t="str">
        <f t="shared" si="1"/>
        <v/>
      </c>
      <c r="F86" s="46" t="s">
        <v>107</v>
      </c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</row>
    <row r="87" spans="1:21" x14ac:dyDescent="0.2">
      <c r="A87" s="46">
        <v>4</v>
      </c>
      <c r="B87" s="46">
        <v>0</v>
      </c>
      <c r="C87" s="46">
        <v>11</v>
      </c>
      <c r="D87" s="46"/>
      <c r="E87" s="45" t="str">
        <f t="shared" si="1"/>
        <v/>
      </c>
      <c r="F87" s="46" t="s">
        <v>107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</row>
    <row r="88" spans="1:21" x14ac:dyDescent="0.2">
      <c r="A88" s="46">
        <v>0</v>
      </c>
      <c r="B88" s="46">
        <v>3</v>
      </c>
      <c r="C88" s="46">
        <v>12</v>
      </c>
      <c r="D88" s="46"/>
      <c r="E88" s="45" t="str">
        <f t="shared" si="1"/>
        <v/>
      </c>
      <c r="F88" s="46" t="s">
        <v>107</v>
      </c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</row>
    <row r="89" spans="1:21" x14ac:dyDescent="0.2">
      <c r="A89" s="46">
        <v>1</v>
      </c>
      <c r="B89" s="46">
        <v>2</v>
      </c>
      <c r="C89" s="46">
        <v>12</v>
      </c>
      <c r="D89" s="46"/>
      <c r="E89" s="45" t="str">
        <f t="shared" si="1"/>
        <v/>
      </c>
      <c r="F89" s="46" t="s">
        <v>107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</row>
    <row r="90" spans="1:21" x14ac:dyDescent="0.2">
      <c r="A90" s="46">
        <v>2</v>
      </c>
      <c r="B90" s="46">
        <v>1</v>
      </c>
      <c r="C90" s="46">
        <v>12</v>
      </c>
      <c r="D90" s="46"/>
      <c r="E90" s="45" t="str">
        <f t="shared" si="1"/>
        <v/>
      </c>
      <c r="F90" s="46" t="s">
        <v>107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</row>
    <row r="91" spans="1:21" x14ac:dyDescent="0.2">
      <c r="A91" s="46">
        <v>3</v>
      </c>
      <c r="B91" s="46">
        <v>0</v>
      </c>
      <c r="C91" s="46">
        <v>12</v>
      </c>
      <c r="D91" s="46"/>
      <c r="E91" s="45" t="str">
        <f t="shared" si="1"/>
        <v/>
      </c>
      <c r="F91" s="46" t="s">
        <v>107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</row>
    <row r="92" spans="1:21" x14ac:dyDescent="0.2">
      <c r="A92" s="46">
        <v>0</v>
      </c>
      <c r="B92" s="46">
        <v>2</v>
      </c>
      <c r="C92" s="46">
        <v>13</v>
      </c>
      <c r="D92" s="46"/>
      <c r="E92" s="45" t="str">
        <f t="shared" si="1"/>
        <v/>
      </c>
      <c r="F92" s="46" t="s">
        <v>107</v>
      </c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</row>
    <row r="93" spans="1:21" x14ac:dyDescent="0.2">
      <c r="A93" s="46">
        <v>1</v>
      </c>
      <c r="B93" s="46">
        <v>1</v>
      </c>
      <c r="C93" s="46">
        <v>13</v>
      </c>
      <c r="D93" s="46"/>
      <c r="E93" s="45" t="str">
        <f t="shared" si="1"/>
        <v/>
      </c>
      <c r="F93" s="46" t="s">
        <v>107</v>
      </c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</row>
    <row r="94" spans="1:21" x14ac:dyDescent="0.2">
      <c r="A94" s="46">
        <v>2</v>
      </c>
      <c r="B94" s="46">
        <v>0</v>
      </c>
      <c r="C94" s="46">
        <v>13</v>
      </c>
      <c r="D94" s="46"/>
      <c r="E94" s="45" t="str">
        <f t="shared" si="1"/>
        <v/>
      </c>
      <c r="F94" s="46" t="s">
        <v>107</v>
      </c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</row>
    <row r="95" spans="1:21" x14ac:dyDescent="0.2">
      <c r="A95" s="46">
        <v>0</v>
      </c>
      <c r="B95" s="46">
        <v>1</v>
      </c>
      <c r="C95" s="46">
        <v>14</v>
      </c>
      <c r="D95" s="46"/>
      <c r="E95" s="45" t="str">
        <f t="shared" si="1"/>
        <v/>
      </c>
      <c r="F95" s="46" t="s">
        <v>107</v>
      </c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</row>
    <row r="96" spans="1:21" x14ac:dyDescent="0.2">
      <c r="A96" s="46">
        <v>1</v>
      </c>
      <c r="B96" s="46">
        <v>0</v>
      </c>
      <c r="C96" s="46">
        <v>14</v>
      </c>
      <c r="D96" s="46"/>
      <c r="E96" s="45" t="str">
        <f t="shared" si="1"/>
        <v/>
      </c>
      <c r="F96" s="46" t="s">
        <v>107</v>
      </c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</row>
    <row r="97" spans="1:21" x14ac:dyDescent="0.2">
      <c r="A97" s="46">
        <v>0</v>
      </c>
      <c r="B97" s="46">
        <v>0</v>
      </c>
      <c r="C97" s="46">
        <v>15</v>
      </c>
      <c r="D97" s="46"/>
      <c r="E97" s="45" t="str">
        <f t="shared" si="1"/>
        <v/>
      </c>
      <c r="F97" s="46" t="s">
        <v>107</v>
      </c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</row>
    <row r="98" spans="1:21" x14ac:dyDescent="0.2">
      <c r="A98" s="46">
        <v>6</v>
      </c>
      <c r="B98" s="46">
        <v>4</v>
      </c>
      <c r="C98" s="46">
        <v>5</v>
      </c>
      <c r="D98" s="46"/>
      <c r="E98" s="45" t="str">
        <f>IF(AND($B$1=A98,($B$2=B98),($B$3=C98)),1,"")</f>
        <v/>
      </c>
      <c r="F98" s="46" t="s">
        <v>105</v>
      </c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</row>
    <row r="99" spans="1:21" x14ac:dyDescent="0.2">
      <c r="A99" s="46">
        <v>6</v>
      </c>
      <c r="B99" s="46">
        <v>5</v>
      </c>
      <c r="C99" s="46">
        <v>4</v>
      </c>
      <c r="D99" s="46"/>
      <c r="E99" s="45" t="str">
        <f t="shared" ref="E99:E140" si="2">IF(AND($B$1=A99,($B$2=B99),($B$3=C99)),1,"")</f>
        <v/>
      </c>
      <c r="F99" s="46" t="s">
        <v>105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</row>
    <row r="100" spans="1:21" x14ac:dyDescent="0.2">
      <c r="A100" s="46">
        <v>7</v>
      </c>
      <c r="B100" s="46">
        <v>2</v>
      </c>
      <c r="C100" s="46">
        <v>6</v>
      </c>
      <c r="D100" s="46"/>
      <c r="E100" s="45" t="str">
        <f t="shared" si="2"/>
        <v/>
      </c>
      <c r="F100" s="46" t="s">
        <v>105</v>
      </c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</row>
    <row r="101" spans="1:21" x14ac:dyDescent="0.2">
      <c r="A101" s="46">
        <v>7</v>
      </c>
      <c r="B101" s="46">
        <v>3</v>
      </c>
      <c r="C101" s="46">
        <v>5</v>
      </c>
      <c r="D101" s="46"/>
      <c r="E101" s="45" t="str">
        <f t="shared" si="2"/>
        <v/>
      </c>
      <c r="F101" s="46" t="s">
        <v>105</v>
      </c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</row>
    <row r="102" spans="1:21" x14ac:dyDescent="0.2">
      <c r="A102" s="46">
        <v>7</v>
      </c>
      <c r="B102" s="46">
        <v>4</v>
      </c>
      <c r="C102" s="46">
        <v>4</v>
      </c>
      <c r="D102" s="46"/>
      <c r="E102" s="45" t="str">
        <f t="shared" si="2"/>
        <v/>
      </c>
      <c r="F102" s="46" t="s">
        <v>105</v>
      </c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</row>
    <row r="103" spans="1:21" x14ac:dyDescent="0.2">
      <c r="A103" s="46">
        <v>7</v>
      </c>
      <c r="B103" s="46">
        <v>5</v>
      </c>
      <c r="C103" s="46">
        <v>3</v>
      </c>
      <c r="D103" s="46"/>
      <c r="E103" s="45" t="str">
        <f t="shared" si="2"/>
        <v/>
      </c>
      <c r="F103" s="46" t="s">
        <v>105</v>
      </c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</row>
    <row r="104" spans="1:21" x14ac:dyDescent="0.2">
      <c r="A104" s="46">
        <v>7</v>
      </c>
      <c r="B104" s="46">
        <v>6</v>
      </c>
      <c r="C104" s="46">
        <v>2</v>
      </c>
      <c r="D104" s="46"/>
      <c r="E104" s="45" t="str">
        <f t="shared" si="2"/>
        <v/>
      </c>
      <c r="F104" s="46" t="s">
        <v>105</v>
      </c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</row>
    <row r="105" spans="1:21" x14ac:dyDescent="0.2">
      <c r="A105" s="46">
        <v>8</v>
      </c>
      <c r="B105" s="46">
        <v>0</v>
      </c>
      <c r="C105" s="46">
        <v>7</v>
      </c>
      <c r="D105" s="46"/>
      <c r="E105" s="45" t="str">
        <f t="shared" si="2"/>
        <v/>
      </c>
      <c r="F105" s="46" t="s">
        <v>105</v>
      </c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</row>
    <row r="106" spans="1:21" x14ac:dyDescent="0.2">
      <c r="A106" s="46">
        <v>8</v>
      </c>
      <c r="B106" s="46">
        <v>1</v>
      </c>
      <c r="C106" s="46">
        <v>6</v>
      </c>
      <c r="D106" s="46"/>
      <c r="E106" s="45" t="str">
        <f t="shared" si="2"/>
        <v/>
      </c>
      <c r="F106" s="46" t="s">
        <v>105</v>
      </c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</row>
    <row r="107" spans="1:21" x14ac:dyDescent="0.2">
      <c r="A107" s="46">
        <v>8</v>
      </c>
      <c r="B107" s="46">
        <v>2</v>
      </c>
      <c r="C107" s="46">
        <v>5</v>
      </c>
      <c r="D107" s="46"/>
      <c r="E107" s="45" t="str">
        <f t="shared" si="2"/>
        <v/>
      </c>
      <c r="F107" s="46" t="s">
        <v>105</v>
      </c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</row>
    <row r="108" spans="1:21" x14ac:dyDescent="0.2">
      <c r="A108" s="46">
        <v>8</v>
      </c>
      <c r="B108" s="46">
        <v>3</v>
      </c>
      <c r="C108" s="46">
        <v>4</v>
      </c>
      <c r="D108" s="46"/>
      <c r="E108" s="45" t="str">
        <f t="shared" si="2"/>
        <v/>
      </c>
      <c r="F108" s="46" t="s">
        <v>105</v>
      </c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</row>
    <row r="109" spans="1:21" x14ac:dyDescent="0.2">
      <c r="A109" s="46">
        <v>8</v>
      </c>
      <c r="B109" s="46">
        <v>4</v>
      </c>
      <c r="C109" s="46">
        <v>3</v>
      </c>
      <c r="D109" s="46"/>
      <c r="E109" s="45" t="str">
        <f t="shared" si="2"/>
        <v/>
      </c>
      <c r="F109" s="46" t="s">
        <v>105</v>
      </c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</row>
    <row r="110" spans="1:21" x14ac:dyDescent="0.2">
      <c r="A110" s="46">
        <v>8</v>
      </c>
      <c r="B110" s="46">
        <v>5</v>
      </c>
      <c r="C110" s="46">
        <v>2</v>
      </c>
      <c r="D110" s="46"/>
      <c r="E110" s="45" t="str">
        <f t="shared" si="2"/>
        <v/>
      </c>
      <c r="F110" s="46" t="s">
        <v>105</v>
      </c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</row>
    <row r="111" spans="1:21" x14ac:dyDescent="0.2">
      <c r="A111" s="46">
        <v>8</v>
      </c>
      <c r="B111" s="46">
        <v>6</v>
      </c>
      <c r="C111" s="46">
        <v>1</v>
      </c>
      <c r="D111" s="46"/>
      <c r="E111" s="45" t="str">
        <f t="shared" si="2"/>
        <v/>
      </c>
      <c r="F111" s="46" t="s">
        <v>105</v>
      </c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</row>
    <row r="112" spans="1:21" x14ac:dyDescent="0.2">
      <c r="A112" s="46">
        <v>8</v>
      </c>
      <c r="B112" s="46">
        <v>7</v>
      </c>
      <c r="C112" s="46">
        <v>0</v>
      </c>
      <c r="D112" s="46"/>
      <c r="E112" s="45" t="str">
        <f t="shared" si="2"/>
        <v/>
      </c>
      <c r="F112" s="46" t="s">
        <v>105</v>
      </c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</row>
    <row r="113" spans="1:21" x14ac:dyDescent="0.2">
      <c r="A113" s="46">
        <v>9</v>
      </c>
      <c r="B113" s="46">
        <v>0</v>
      </c>
      <c r="C113" s="46">
        <v>6</v>
      </c>
      <c r="D113" s="46"/>
      <c r="E113" s="45" t="str">
        <f t="shared" si="2"/>
        <v/>
      </c>
      <c r="F113" s="46" t="s">
        <v>105</v>
      </c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</row>
    <row r="114" spans="1:21" x14ac:dyDescent="0.2">
      <c r="A114" s="46">
        <v>9</v>
      </c>
      <c r="B114" s="46">
        <v>1</v>
      </c>
      <c r="C114" s="46">
        <v>5</v>
      </c>
      <c r="D114" s="46"/>
      <c r="E114" s="45" t="str">
        <f t="shared" si="2"/>
        <v/>
      </c>
      <c r="F114" s="46" t="s">
        <v>105</v>
      </c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</row>
    <row r="115" spans="1:21" x14ac:dyDescent="0.2">
      <c r="A115" s="46">
        <v>9</v>
      </c>
      <c r="B115" s="46">
        <v>2</v>
      </c>
      <c r="C115" s="46">
        <v>4</v>
      </c>
      <c r="D115" s="46"/>
      <c r="E115" s="45" t="str">
        <f t="shared" si="2"/>
        <v/>
      </c>
      <c r="F115" s="46" t="s">
        <v>105</v>
      </c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</row>
    <row r="116" spans="1:21" x14ac:dyDescent="0.2">
      <c r="A116" s="46">
        <v>9</v>
      </c>
      <c r="B116" s="46">
        <v>3</v>
      </c>
      <c r="C116" s="46">
        <v>3</v>
      </c>
      <c r="D116" s="46"/>
      <c r="E116" s="45" t="str">
        <f t="shared" si="2"/>
        <v/>
      </c>
      <c r="F116" s="46" t="s">
        <v>105</v>
      </c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</row>
    <row r="117" spans="1:21" x14ac:dyDescent="0.2">
      <c r="A117" s="46">
        <v>9</v>
      </c>
      <c r="B117" s="46">
        <v>4</v>
      </c>
      <c r="C117" s="46">
        <v>2</v>
      </c>
      <c r="D117" s="46"/>
      <c r="E117" s="45" t="str">
        <f t="shared" si="2"/>
        <v/>
      </c>
      <c r="F117" s="46" t="s">
        <v>105</v>
      </c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</row>
    <row r="118" spans="1:21" x14ac:dyDescent="0.2">
      <c r="A118" s="46">
        <v>9</v>
      </c>
      <c r="B118" s="46">
        <v>5</v>
      </c>
      <c r="C118" s="46">
        <v>1</v>
      </c>
      <c r="D118" s="46"/>
      <c r="E118" s="45" t="str">
        <f t="shared" si="2"/>
        <v/>
      </c>
      <c r="F118" s="46" t="s">
        <v>105</v>
      </c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</row>
    <row r="119" spans="1:21" x14ac:dyDescent="0.2">
      <c r="A119" s="46">
        <v>9</v>
      </c>
      <c r="B119" s="46">
        <v>6</v>
      </c>
      <c r="C119" s="46">
        <v>0</v>
      </c>
      <c r="D119" s="46"/>
      <c r="E119" s="45" t="str">
        <f t="shared" si="2"/>
        <v/>
      </c>
      <c r="F119" s="46" t="s">
        <v>105</v>
      </c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</row>
    <row r="120" spans="1:21" x14ac:dyDescent="0.2">
      <c r="A120" s="46">
        <v>10</v>
      </c>
      <c r="B120" s="46">
        <v>0</v>
      </c>
      <c r="C120" s="46">
        <v>5</v>
      </c>
      <c r="D120" s="46"/>
      <c r="E120" s="45" t="str">
        <f t="shared" si="2"/>
        <v/>
      </c>
      <c r="F120" s="46" t="s">
        <v>105</v>
      </c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</row>
    <row r="121" spans="1:21" x14ac:dyDescent="0.2">
      <c r="A121" s="46">
        <v>10</v>
      </c>
      <c r="B121" s="46">
        <v>1</v>
      </c>
      <c r="C121" s="46">
        <v>4</v>
      </c>
      <c r="D121" s="46"/>
      <c r="E121" s="45" t="str">
        <f t="shared" si="2"/>
        <v/>
      </c>
      <c r="F121" s="46" t="s">
        <v>105</v>
      </c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</row>
    <row r="122" spans="1:21" x14ac:dyDescent="0.2">
      <c r="A122" s="46">
        <v>10</v>
      </c>
      <c r="B122" s="46">
        <v>2</v>
      </c>
      <c r="C122" s="46">
        <v>3</v>
      </c>
      <c r="D122" s="46"/>
      <c r="E122" s="45" t="str">
        <f t="shared" si="2"/>
        <v/>
      </c>
      <c r="F122" s="46" t="s">
        <v>105</v>
      </c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</row>
    <row r="123" spans="1:21" x14ac:dyDescent="0.2">
      <c r="A123" s="46">
        <v>10</v>
      </c>
      <c r="B123" s="46">
        <v>3</v>
      </c>
      <c r="C123" s="46">
        <v>2</v>
      </c>
      <c r="D123" s="46"/>
      <c r="E123" s="45" t="str">
        <f t="shared" si="2"/>
        <v/>
      </c>
      <c r="F123" s="46" t="s">
        <v>105</v>
      </c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</row>
    <row r="124" spans="1:21" x14ac:dyDescent="0.2">
      <c r="A124" s="46">
        <v>10</v>
      </c>
      <c r="B124" s="46">
        <v>4</v>
      </c>
      <c r="C124" s="46">
        <v>1</v>
      </c>
      <c r="D124" s="46"/>
      <c r="E124" s="45" t="str">
        <f t="shared" si="2"/>
        <v/>
      </c>
      <c r="F124" s="46" t="s">
        <v>105</v>
      </c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</row>
    <row r="125" spans="1:21" x14ac:dyDescent="0.2">
      <c r="A125" s="46">
        <v>10</v>
      </c>
      <c r="B125" s="46">
        <v>5</v>
      </c>
      <c r="C125" s="46">
        <v>0</v>
      </c>
      <c r="D125" s="46"/>
      <c r="E125" s="45" t="str">
        <f t="shared" si="2"/>
        <v/>
      </c>
      <c r="F125" s="46" t="s">
        <v>105</v>
      </c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</row>
    <row r="126" spans="1:21" x14ac:dyDescent="0.2">
      <c r="A126" s="46">
        <v>11</v>
      </c>
      <c r="B126" s="46">
        <v>0</v>
      </c>
      <c r="C126" s="46">
        <v>4</v>
      </c>
      <c r="D126" s="46"/>
      <c r="E126" s="45" t="str">
        <f t="shared" si="2"/>
        <v/>
      </c>
      <c r="F126" s="46" t="s">
        <v>105</v>
      </c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</row>
    <row r="127" spans="1:21" x14ac:dyDescent="0.2">
      <c r="A127" s="46">
        <v>11</v>
      </c>
      <c r="B127" s="46">
        <v>1</v>
      </c>
      <c r="C127" s="46">
        <v>3</v>
      </c>
      <c r="D127" s="46"/>
      <c r="E127" s="45" t="str">
        <f t="shared" si="2"/>
        <v/>
      </c>
      <c r="F127" s="46" t="s">
        <v>105</v>
      </c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</row>
    <row r="128" spans="1:21" x14ac:dyDescent="0.2">
      <c r="A128" s="46">
        <v>11</v>
      </c>
      <c r="B128" s="46">
        <v>2</v>
      </c>
      <c r="C128" s="46">
        <v>2</v>
      </c>
      <c r="D128" s="46"/>
      <c r="E128" s="45" t="str">
        <f t="shared" si="2"/>
        <v/>
      </c>
      <c r="F128" s="46" t="s">
        <v>105</v>
      </c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</row>
    <row r="129" spans="1:21" x14ac:dyDescent="0.2">
      <c r="A129" s="46">
        <v>11</v>
      </c>
      <c r="B129" s="46">
        <v>3</v>
      </c>
      <c r="C129" s="46">
        <v>1</v>
      </c>
      <c r="D129" s="46"/>
      <c r="E129" s="45" t="str">
        <f t="shared" si="2"/>
        <v/>
      </c>
      <c r="F129" s="46" t="s">
        <v>105</v>
      </c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</row>
    <row r="130" spans="1:21" x14ac:dyDescent="0.2">
      <c r="A130" s="46">
        <v>11</v>
      </c>
      <c r="B130" s="46">
        <v>4</v>
      </c>
      <c r="C130" s="46">
        <v>0</v>
      </c>
      <c r="D130" s="46"/>
      <c r="E130" s="45" t="str">
        <f t="shared" si="2"/>
        <v/>
      </c>
      <c r="F130" s="46" t="s">
        <v>105</v>
      </c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</row>
    <row r="131" spans="1:21" x14ac:dyDescent="0.2">
      <c r="A131" s="46">
        <v>12</v>
      </c>
      <c r="B131" s="46">
        <v>0</v>
      </c>
      <c r="C131" s="46">
        <v>3</v>
      </c>
      <c r="D131" s="46"/>
      <c r="E131" s="45" t="str">
        <f t="shared" si="2"/>
        <v/>
      </c>
      <c r="F131" s="46" t="s">
        <v>105</v>
      </c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</row>
    <row r="132" spans="1:21" x14ac:dyDescent="0.2">
      <c r="A132" s="46">
        <v>12</v>
      </c>
      <c r="B132" s="46">
        <v>1</v>
      </c>
      <c r="C132" s="46">
        <v>2</v>
      </c>
      <c r="D132" s="46"/>
      <c r="E132" s="45" t="str">
        <f t="shared" si="2"/>
        <v/>
      </c>
      <c r="F132" s="46" t="s">
        <v>105</v>
      </c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</row>
    <row r="133" spans="1:21" x14ac:dyDescent="0.2">
      <c r="A133" s="46">
        <v>12</v>
      </c>
      <c r="B133" s="46">
        <v>2</v>
      </c>
      <c r="C133" s="46">
        <v>1</v>
      </c>
      <c r="D133" s="46"/>
      <c r="E133" s="45" t="str">
        <f t="shared" si="2"/>
        <v/>
      </c>
      <c r="F133" s="46" t="s">
        <v>105</v>
      </c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</row>
    <row r="134" spans="1:21" x14ac:dyDescent="0.2">
      <c r="A134" s="46">
        <v>12</v>
      </c>
      <c r="B134" s="46">
        <v>3</v>
      </c>
      <c r="C134" s="46">
        <v>0</v>
      </c>
      <c r="D134" s="46"/>
      <c r="E134" s="45" t="str">
        <f t="shared" si="2"/>
        <v/>
      </c>
      <c r="F134" s="46" t="s">
        <v>105</v>
      </c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</row>
    <row r="135" spans="1:21" x14ac:dyDescent="0.2">
      <c r="A135" s="46">
        <v>13</v>
      </c>
      <c r="B135" s="46">
        <v>0</v>
      </c>
      <c r="C135" s="46">
        <v>2</v>
      </c>
      <c r="D135" s="46"/>
      <c r="E135" s="45" t="str">
        <f t="shared" si="2"/>
        <v/>
      </c>
      <c r="F135" s="46" t="s">
        <v>105</v>
      </c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</row>
    <row r="136" spans="1:21" x14ac:dyDescent="0.2">
      <c r="A136" s="46">
        <v>13</v>
      </c>
      <c r="B136" s="46">
        <v>1</v>
      </c>
      <c r="C136" s="46">
        <v>1</v>
      </c>
      <c r="D136" s="46"/>
      <c r="E136" s="45" t="str">
        <f t="shared" si="2"/>
        <v/>
      </c>
      <c r="F136" s="46" t="s">
        <v>105</v>
      </c>
      <c r="G136" s="46"/>
      <c r="H136" s="46"/>
      <c r="I136" s="46" t="s">
        <v>108</v>
      </c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</row>
    <row r="137" spans="1:21" x14ac:dyDescent="0.2">
      <c r="A137" s="46">
        <v>13</v>
      </c>
      <c r="B137" s="46">
        <v>2</v>
      </c>
      <c r="C137" s="46">
        <v>0</v>
      </c>
      <c r="D137" s="46"/>
      <c r="E137" s="45" t="str">
        <f t="shared" si="2"/>
        <v/>
      </c>
      <c r="F137" s="46" t="s">
        <v>105</v>
      </c>
      <c r="G137" s="46"/>
      <c r="H137" s="46"/>
      <c r="I137" s="46" t="s">
        <v>109</v>
      </c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</row>
    <row r="138" spans="1:21" x14ac:dyDescent="0.2">
      <c r="A138" s="46">
        <v>14</v>
      </c>
      <c r="B138" s="46">
        <v>0</v>
      </c>
      <c r="C138" s="46">
        <v>1</v>
      </c>
      <c r="D138" s="46"/>
      <c r="E138" s="45" t="str">
        <f t="shared" si="2"/>
        <v/>
      </c>
      <c r="F138" s="46" t="s">
        <v>105</v>
      </c>
      <c r="G138" s="46"/>
      <c r="H138" s="46"/>
      <c r="I138" s="46" t="s">
        <v>110</v>
      </c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</row>
    <row r="139" spans="1:21" x14ac:dyDescent="0.2">
      <c r="A139" s="46">
        <v>14</v>
      </c>
      <c r="B139" s="46">
        <v>1</v>
      </c>
      <c r="C139" s="46">
        <v>0</v>
      </c>
      <c r="D139" s="46"/>
      <c r="E139" s="45" t="str">
        <f t="shared" si="2"/>
        <v/>
      </c>
      <c r="F139" s="46" t="s">
        <v>105</v>
      </c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</row>
    <row r="140" spans="1:21" x14ac:dyDescent="0.2">
      <c r="A140" s="46">
        <v>15</v>
      </c>
      <c r="B140" s="46">
        <v>0</v>
      </c>
      <c r="C140" s="46">
        <v>0</v>
      </c>
      <c r="D140" s="46"/>
      <c r="E140" s="45" t="str">
        <f t="shared" si="2"/>
        <v/>
      </c>
      <c r="F140" s="46" t="s">
        <v>105</v>
      </c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</row>
    <row r="141" spans="1:21" x14ac:dyDescent="0.2">
      <c r="A141" s="46"/>
      <c r="B141" s="46"/>
      <c r="C141" s="46"/>
      <c r="D141" s="46"/>
      <c r="E141" s="45">
        <f>SUM(E5:E140)</f>
        <v>2</v>
      </c>
      <c r="F141" s="46"/>
      <c r="G141" s="46" t="str">
        <f>IF(E141=1,E1,IF(E141=2,E2,IF(E141=3,E3,"")))</f>
        <v>CAMPER</v>
      </c>
      <c r="H141" s="46"/>
      <c r="I141" s="46" t="str">
        <f>IF(E141=1,I136,IF(E141=2,I137,IF(E141=3,I138,"")))</f>
        <v>kurang disarankan</v>
      </c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</row>
    <row r="142" spans="1:21" x14ac:dyDescent="0.2">
      <c r="A142" s="46"/>
      <c r="B142" s="46"/>
      <c r="C142" s="46"/>
      <c r="D142" s="46"/>
      <c r="E142" s="45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</row>
    <row r="143" spans="1:21" x14ac:dyDescent="0.2">
      <c r="A143" s="46"/>
      <c r="B143" s="46"/>
      <c r="C143" s="46"/>
      <c r="D143" s="46"/>
      <c r="E143" s="45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</row>
    <row r="144" spans="1:21" x14ac:dyDescent="0.2">
      <c r="A144" s="47" t="s">
        <v>105</v>
      </c>
      <c r="B144" s="46"/>
      <c r="C144" s="46"/>
      <c r="D144" s="46"/>
      <c r="E144" s="45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</row>
    <row r="145" spans="1:21" x14ac:dyDescent="0.2">
      <c r="A145" s="46">
        <v>101</v>
      </c>
      <c r="B145" s="46" t="s">
        <v>111</v>
      </c>
      <c r="C145" s="46"/>
      <c r="D145" s="46"/>
      <c r="E145" s="45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</row>
    <row r="146" spans="1:21" x14ac:dyDescent="0.2">
      <c r="A146" s="46">
        <v>102</v>
      </c>
      <c r="B146" s="46" t="s">
        <v>112</v>
      </c>
      <c r="C146" s="46"/>
      <c r="D146" s="46"/>
      <c r="E146" s="45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</row>
    <row r="147" spans="1:21" x14ac:dyDescent="0.2">
      <c r="A147" s="46">
        <v>103</v>
      </c>
      <c r="B147" s="46" t="s">
        <v>113</v>
      </c>
      <c r="C147" s="46"/>
      <c r="D147" s="46"/>
      <c r="E147" s="45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</row>
    <row r="148" spans="1:21" x14ac:dyDescent="0.2">
      <c r="A148" s="46">
        <v>104</v>
      </c>
      <c r="B148" s="46" t="s">
        <v>114</v>
      </c>
      <c r="C148" s="46"/>
      <c r="D148" s="46"/>
      <c r="E148" s="45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</row>
    <row r="149" spans="1:21" x14ac:dyDescent="0.2">
      <c r="A149" s="46">
        <v>105</v>
      </c>
      <c r="B149" s="46" t="s">
        <v>115</v>
      </c>
      <c r="C149" s="46"/>
      <c r="D149" s="46"/>
      <c r="E149" s="45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</row>
    <row r="150" spans="1:21" x14ac:dyDescent="0.2">
      <c r="A150" s="46">
        <v>106</v>
      </c>
      <c r="B150" s="46" t="s">
        <v>116</v>
      </c>
      <c r="C150" s="46"/>
      <c r="D150" s="46"/>
      <c r="E150" s="45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</row>
    <row r="151" spans="1:21" x14ac:dyDescent="0.2">
      <c r="A151" s="46">
        <v>107</v>
      </c>
      <c r="B151" s="46" t="s">
        <v>117</v>
      </c>
      <c r="C151" s="46"/>
      <c r="D151" s="46"/>
      <c r="E151" s="45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</row>
    <row r="152" spans="1:21" x14ac:dyDescent="0.2">
      <c r="A152" s="46">
        <v>108</v>
      </c>
      <c r="B152" s="46" t="s">
        <v>118</v>
      </c>
      <c r="C152" s="46"/>
      <c r="D152" s="46"/>
      <c r="E152" s="45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</row>
    <row r="153" spans="1:21" x14ac:dyDescent="0.2">
      <c r="A153" s="46">
        <v>109</v>
      </c>
      <c r="B153" s="46" t="s">
        <v>119</v>
      </c>
      <c r="C153" s="46"/>
      <c r="D153" s="46"/>
      <c r="E153" s="45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</row>
    <row r="154" spans="1:21" x14ac:dyDescent="0.2">
      <c r="A154" s="46">
        <v>110</v>
      </c>
      <c r="B154" s="46" t="s">
        <v>120</v>
      </c>
      <c r="C154" s="46"/>
      <c r="D154" s="46"/>
      <c r="E154" s="45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</row>
    <row r="155" spans="1:21" x14ac:dyDescent="0.2">
      <c r="A155" s="46">
        <v>111</v>
      </c>
      <c r="B155" s="46"/>
      <c r="C155" s="46"/>
      <c r="D155" s="46"/>
      <c r="E155" s="45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</row>
    <row r="156" spans="1:21" x14ac:dyDescent="0.2">
      <c r="A156" s="46">
        <v>112</v>
      </c>
      <c r="B156" s="46"/>
      <c r="C156" s="46"/>
      <c r="D156" s="46"/>
      <c r="E156" s="45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</row>
    <row r="157" spans="1:21" x14ac:dyDescent="0.2">
      <c r="A157" s="46">
        <v>113</v>
      </c>
      <c r="B157" s="46"/>
      <c r="C157" s="46"/>
      <c r="D157" s="46"/>
      <c r="E157" s="45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</row>
    <row r="158" spans="1:21" x14ac:dyDescent="0.2">
      <c r="A158" s="46">
        <v>114</v>
      </c>
      <c r="B158" s="46"/>
      <c r="C158" s="46"/>
      <c r="D158" s="46"/>
      <c r="E158" s="45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</row>
    <row r="159" spans="1:21" x14ac:dyDescent="0.2">
      <c r="A159" s="46">
        <v>115</v>
      </c>
      <c r="B159" s="46"/>
      <c r="C159" s="46"/>
      <c r="D159" s="46"/>
      <c r="E159" s="45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</row>
    <row r="160" spans="1:21" x14ac:dyDescent="0.2">
      <c r="A160" s="46">
        <v>116</v>
      </c>
      <c r="B160" s="46"/>
      <c r="C160" s="46"/>
      <c r="D160" s="46"/>
      <c r="E160" s="45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</row>
    <row r="161" spans="1:21" x14ac:dyDescent="0.2">
      <c r="A161" s="47" t="s">
        <v>106</v>
      </c>
      <c r="B161" s="46"/>
      <c r="C161" s="46"/>
      <c r="D161" s="46"/>
      <c r="E161" s="45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</row>
    <row r="162" spans="1:21" x14ac:dyDescent="0.2">
      <c r="A162" s="46">
        <v>201</v>
      </c>
      <c r="B162" s="46" t="s">
        <v>121</v>
      </c>
      <c r="C162" s="46"/>
      <c r="D162" s="46"/>
      <c r="E162" s="45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</row>
    <row r="163" spans="1:21" x14ac:dyDescent="0.2">
      <c r="A163" s="46">
        <v>202</v>
      </c>
      <c r="B163" s="46" t="s">
        <v>122</v>
      </c>
      <c r="C163" s="46"/>
      <c r="D163" s="46"/>
      <c r="E163" s="45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</row>
    <row r="164" spans="1:21" x14ac:dyDescent="0.2">
      <c r="A164" s="46">
        <v>203</v>
      </c>
      <c r="B164" s="46" t="s">
        <v>123</v>
      </c>
      <c r="C164" s="46"/>
      <c r="D164" s="46"/>
      <c r="E164" s="45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</row>
    <row r="165" spans="1:21" x14ac:dyDescent="0.2">
      <c r="A165" s="46">
        <v>204</v>
      </c>
      <c r="B165" s="46" t="s">
        <v>124</v>
      </c>
      <c r="C165" s="46"/>
      <c r="D165" s="46"/>
      <c r="E165" s="45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</row>
    <row r="166" spans="1:21" x14ac:dyDescent="0.2">
      <c r="A166" s="46">
        <v>205</v>
      </c>
      <c r="B166" s="46" t="s">
        <v>125</v>
      </c>
      <c r="C166" s="46"/>
      <c r="D166" s="46"/>
      <c r="E166" s="45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</row>
    <row r="167" spans="1:21" x14ac:dyDescent="0.2">
      <c r="A167" s="46">
        <v>206</v>
      </c>
      <c r="B167" s="46" t="s">
        <v>126</v>
      </c>
      <c r="C167" s="46"/>
      <c r="D167" s="46"/>
      <c r="E167" s="45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</row>
    <row r="168" spans="1:21" x14ac:dyDescent="0.2">
      <c r="A168" s="46">
        <v>207</v>
      </c>
      <c r="B168" s="46" t="s">
        <v>127</v>
      </c>
      <c r="C168" s="46"/>
      <c r="D168" s="46"/>
      <c r="E168" s="45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</row>
    <row r="169" spans="1:21" x14ac:dyDescent="0.2">
      <c r="A169" s="46">
        <v>208</v>
      </c>
      <c r="B169" s="46" t="s">
        <v>128</v>
      </c>
      <c r="C169" s="46"/>
      <c r="D169" s="46"/>
      <c r="E169" s="45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</row>
    <row r="170" spans="1:21" x14ac:dyDescent="0.2">
      <c r="A170" s="46">
        <v>209</v>
      </c>
      <c r="B170" s="46" t="s">
        <v>129</v>
      </c>
      <c r="C170" s="46"/>
      <c r="D170" s="46"/>
      <c r="E170" s="45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</row>
    <row r="171" spans="1:21" x14ac:dyDescent="0.2">
      <c r="A171" s="46">
        <v>210</v>
      </c>
      <c r="B171" s="46" t="s">
        <v>130</v>
      </c>
      <c r="C171" s="46"/>
      <c r="D171" s="46"/>
      <c r="E171" s="45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</row>
    <row r="172" spans="1:21" x14ac:dyDescent="0.2">
      <c r="A172" s="46">
        <v>211</v>
      </c>
      <c r="B172" s="48"/>
      <c r="C172" s="46"/>
      <c r="D172" s="46"/>
      <c r="E172" s="45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</row>
    <row r="173" spans="1:21" x14ac:dyDescent="0.2">
      <c r="A173" s="46">
        <v>212</v>
      </c>
      <c r="B173" s="48"/>
      <c r="C173" s="46"/>
      <c r="D173" s="46"/>
      <c r="E173" s="45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</row>
    <row r="174" spans="1:21" x14ac:dyDescent="0.2">
      <c r="A174" s="46">
        <v>213</v>
      </c>
      <c r="B174" s="48"/>
      <c r="C174" s="46"/>
      <c r="D174" s="46"/>
      <c r="E174" s="45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</row>
    <row r="175" spans="1:21" x14ac:dyDescent="0.2">
      <c r="A175" s="46">
        <v>214</v>
      </c>
      <c r="B175" s="48"/>
      <c r="C175" s="46"/>
      <c r="D175" s="46"/>
      <c r="E175" s="45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</row>
    <row r="176" spans="1:21" x14ac:dyDescent="0.2">
      <c r="A176" s="46">
        <v>215</v>
      </c>
      <c r="B176" s="48"/>
      <c r="C176" s="46"/>
      <c r="D176" s="46"/>
      <c r="E176" s="45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</row>
    <row r="177" spans="1:21" x14ac:dyDescent="0.2">
      <c r="A177" s="46">
        <v>216</v>
      </c>
      <c r="B177" s="48"/>
      <c r="C177" s="46"/>
      <c r="D177" s="46"/>
      <c r="E177" s="45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</row>
    <row r="178" spans="1:21" x14ac:dyDescent="0.2">
      <c r="A178" s="47" t="s">
        <v>107</v>
      </c>
      <c r="B178" s="46"/>
      <c r="C178" s="46"/>
      <c r="D178" s="46"/>
      <c r="E178" s="45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</row>
    <row r="179" spans="1:21" x14ac:dyDescent="0.2">
      <c r="A179" s="46">
        <v>301</v>
      </c>
      <c r="B179" s="46" t="s">
        <v>131</v>
      </c>
      <c r="C179" s="46"/>
      <c r="D179" s="46"/>
      <c r="E179" s="45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</row>
    <row r="180" spans="1:21" x14ac:dyDescent="0.2">
      <c r="A180" s="46">
        <v>302</v>
      </c>
      <c r="B180" s="46" t="s">
        <v>132</v>
      </c>
      <c r="C180" s="46"/>
      <c r="D180" s="46"/>
      <c r="E180" s="45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</row>
    <row r="181" spans="1:21" x14ac:dyDescent="0.2">
      <c r="A181" s="46">
        <v>303</v>
      </c>
      <c r="B181" s="46" t="s">
        <v>133</v>
      </c>
      <c r="C181" s="46"/>
      <c r="D181" s="46"/>
      <c r="E181" s="45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</row>
    <row r="182" spans="1:21" x14ac:dyDescent="0.2">
      <c r="A182" s="46">
        <v>304</v>
      </c>
      <c r="B182" s="46" t="s">
        <v>134</v>
      </c>
      <c r="C182" s="46"/>
      <c r="D182" s="46"/>
      <c r="E182" s="45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</row>
    <row r="183" spans="1:21" x14ac:dyDescent="0.2">
      <c r="A183" s="46">
        <v>305</v>
      </c>
      <c r="B183" s="46" t="s">
        <v>135</v>
      </c>
      <c r="C183" s="46"/>
      <c r="D183" s="46"/>
      <c r="E183" s="45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</row>
    <row r="184" spans="1:21" x14ac:dyDescent="0.2">
      <c r="A184" s="46">
        <v>306</v>
      </c>
      <c r="B184" s="46" t="s">
        <v>136</v>
      </c>
      <c r="C184" s="46"/>
      <c r="D184" s="46"/>
      <c r="E184" s="45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</row>
    <row r="185" spans="1:21" x14ac:dyDescent="0.2">
      <c r="A185" s="46">
        <v>307</v>
      </c>
      <c r="B185" s="46" t="s">
        <v>137</v>
      </c>
      <c r="C185" s="46"/>
      <c r="D185" s="46"/>
      <c r="E185" s="45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</row>
    <row r="186" spans="1:21" x14ac:dyDescent="0.2">
      <c r="A186" s="46">
        <v>308</v>
      </c>
      <c r="B186" s="46" t="s">
        <v>138</v>
      </c>
      <c r="C186" s="46"/>
      <c r="D186" s="46"/>
      <c r="E186" s="45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</row>
    <row r="187" spans="1:21" x14ac:dyDescent="0.2">
      <c r="A187" s="46">
        <v>309</v>
      </c>
      <c r="B187" s="46" t="s">
        <v>139</v>
      </c>
      <c r="C187" s="46"/>
      <c r="D187" s="46"/>
      <c r="E187" s="45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</row>
    <row r="188" spans="1:21" x14ac:dyDescent="0.2">
      <c r="A188" s="46">
        <v>310</v>
      </c>
      <c r="B188" s="46" t="s">
        <v>140</v>
      </c>
      <c r="C188" s="46"/>
      <c r="D188" s="46"/>
      <c r="E188" s="45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</row>
    <row r="189" spans="1:21" x14ac:dyDescent="0.2">
      <c r="A189" s="46">
        <v>311</v>
      </c>
      <c r="B189" s="46" t="s">
        <v>141</v>
      </c>
      <c r="C189" s="46"/>
      <c r="D189" s="46"/>
      <c r="E189" s="45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</row>
    <row r="190" spans="1:21" x14ac:dyDescent="0.2">
      <c r="A190" s="46">
        <v>312</v>
      </c>
      <c r="B190" s="46" t="s">
        <v>142</v>
      </c>
      <c r="C190" s="46"/>
      <c r="D190" s="46"/>
      <c r="E190" s="45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</row>
    <row r="191" spans="1:21" x14ac:dyDescent="0.2">
      <c r="A191" s="46">
        <v>313</v>
      </c>
      <c r="B191" s="46" t="s">
        <v>143</v>
      </c>
      <c r="C191" s="46"/>
      <c r="D191" s="46"/>
      <c r="E191" s="45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</row>
    <row r="192" spans="1:21" x14ac:dyDescent="0.2">
      <c r="A192" s="46">
        <v>314</v>
      </c>
      <c r="B192" s="46" t="s">
        <v>144</v>
      </c>
      <c r="C192" s="46"/>
      <c r="D192" s="46"/>
      <c r="E192" s="45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</row>
    <row r="193" spans="1:21" x14ac:dyDescent="0.2">
      <c r="A193" s="46">
        <v>315</v>
      </c>
      <c r="B193" s="46" t="s">
        <v>145</v>
      </c>
      <c r="C193" s="46"/>
      <c r="D193" s="46"/>
      <c r="E193" s="45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</row>
    <row r="194" spans="1:21" x14ac:dyDescent="0.2">
      <c r="A194" s="46">
        <v>316</v>
      </c>
      <c r="B194" s="46" t="s">
        <v>146</v>
      </c>
      <c r="C194" s="46"/>
      <c r="D194" s="46"/>
      <c r="E194" s="45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</row>
  </sheetData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Soal</vt:lpstr>
      <vt:lpstr>Lembar Jwb</vt:lpstr>
      <vt:lpstr>Interpretasi</vt:lpstr>
      <vt:lpstr>Kode</vt:lpstr>
      <vt:lpstr>Interpretasi!Print_Area</vt:lpstr>
      <vt:lpstr>'Lembar Jwb'!Print_Area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</dc:creator>
  <cp:lastModifiedBy>LDASDM-FERRY</cp:lastModifiedBy>
  <dcterms:created xsi:type="dcterms:W3CDTF">2013-08-26T19:53:50Z</dcterms:created>
  <dcterms:modified xsi:type="dcterms:W3CDTF">2018-11-01T07:27:55Z</dcterms:modified>
</cp:coreProperties>
</file>