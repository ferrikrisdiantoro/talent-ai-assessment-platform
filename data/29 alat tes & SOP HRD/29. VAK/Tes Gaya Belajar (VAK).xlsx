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C:\Users\Rhonest\Documents\New Product RVRA Store\Tes Gaya Belajar (VAK)\"/>
    </mc:Choice>
  </mc:AlternateContent>
  <xr:revisionPtr revIDLastSave="0" documentId="13_ncr:1_{6E6C898A-6533-4FD7-801D-6AB9D3C6C6B3}" xr6:coauthVersionLast="47" xr6:coauthVersionMax="47" xr10:uidLastSave="{00000000-0000-0000-0000-000000000000}"/>
  <bookViews>
    <workbookView xWindow="-120" yWindow="-120" windowWidth="20730" windowHeight="11040" xr2:uid="{979A7846-7E9E-4877-A561-3DC6B751C6AB}"/>
  </bookViews>
  <sheets>
    <sheet name="Instruksi &amp; Isi Data" sheetId="3" r:id="rId1"/>
    <sheet name="Lembar Soal &amp; Jawaban" sheetId="1" r:id="rId2"/>
    <sheet name="Hasil" sheetId="2" r:id="rId3"/>
  </sheets>
  <definedNames>
    <definedName name="_xlnm._FilterDatabase" localSheetId="0" hidden="1">'Instruksi &amp; Isi Data'!#REF!</definedName>
    <definedName name="_xlnm._FilterDatabase" localSheetId="1" hidden="1">'Lembar Soal &amp; Jawaban'!$B$21:$H$58</definedName>
    <definedName name="_xlnm.Print_Area" localSheetId="2">Hasil!$B$2:$O$46</definedName>
    <definedName name="_xlnm.Print_Area" localSheetId="0">'Instruksi &amp; Isi Data'!$B$2:$G$19</definedName>
    <definedName name="_xlnm.Print_Area" localSheetId="1">'Lembar Soal &amp; Jawaban'!$B$2:$H$58</definedName>
    <definedName name="_xlnm.Print_Titles" localSheetId="1">'Lembar Soal &amp; Jawaban'!$20:$22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2" l="1"/>
  <c r="B6" i="2"/>
  <c r="B7" i="2"/>
  <c r="B8" i="2"/>
  <c r="B9" i="2"/>
  <c r="B5" i="2"/>
  <c r="C8" i="2"/>
  <c r="C9" i="2"/>
  <c r="C7" i="2"/>
  <c r="C5" i="2"/>
  <c r="M24" i="1"/>
  <c r="M25" i="1"/>
  <c r="M23"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5" i="1"/>
  <c r="I24" i="1"/>
  <c r="I26" i="1"/>
  <c r="I23" i="1"/>
  <c r="L23" i="1" s="1"/>
  <c r="N13" i="2" s="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G23" i="1" s="1"/>
  <c r="L24" i="1" l="1"/>
  <c r="N25" i="2" s="1"/>
  <c r="L25" i="1"/>
  <c r="N37" i="2" s="1"/>
  <c r="G58" i="1"/>
  <c r="G57" i="1"/>
  <c r="G56" i="1"/>
  <c r="G52" i="1"/>
  <c r="G53" i="1"/>
  <c r="G54" i="1"/>
  <c r="G55" i="1"/>
  <c r="G51" i="1"/>
  <c r="G50" i="1"/>
  <c r="G45" i="1"/>
  <c r="G47" i="1"/>
  <c r="G48" i="1"/>
  <c r="G49" i="1"/>
  <c r="G46" i="1"/>
  <c r="G41" i="1"/>
  <c r="G42" i="1"/>
  <c r="G43" i="1"/>
  <c r="G44" i="1"/>
  <c r="G40" i="1"/>
  <c r="G32" i="1"/>
  <c r="G33" i="1"/>
  <c r="G34" i="1"/>
  <c r="G35" i="1"/>
  <c r="G36" i="1"/>
  <c r="G37" i="1"/>
  <c r="G38" i="1"/>
  <c r="G39" i="1"/>
  <c r="G31" i="1"/>
  <c r="G28" i="1"/>
  <c r="G29" i="1"/>
  <c r="G30" i="1"/>
  <c r="G27" i="1"/>
  <c r="G26" i="1"/>
  <c r="G25" i="1"/>
  <c r="G24" i="1"/>
</calcChain>
</file>

<file path=xl/sharedStrings.xml><?xml version="1.0" encoding="utf-8"?>
<sst xmlns="http://schemas.openxmlformats.org/spreadsheetml/2006/main" count="134" uniqueCount="72">
  <si>
    <t>No</t>
  </si>
  <si>
    <t>Pernyataan</t>
  </si>
  <si>
    <t>V</t>
  </si>
  <si>
    <t>A</t>
  </si>
  <si>
    <t>K</t>
  </si>
  <si>
    <t>Saya biasanya berbicara dengan perlahan.</t>
  </si>
  <si>
    <t>Saya lebih suka berbicara daripada menulis.</t>
  </si>
  <si>
    <t>Ketika saya memasang sesuatu secara bersama-sama, pertama-tama saya selalu membaca petunjuknya.</t>
  </si>
  <si>
    <t>Saya lebih suka membaca daripada mendengarkan ceramah</t>
  </si>
  <si>
    <t>Bila saya sedang sendirian, saya selalu bermain musik, bersenandung, atau bernyanyi.</t>
  </si>
  <si>
    <t>Saya lebih suka bermain olahraga daripada membaca buku.</t>
  </si>
  <si>
    <t>Saya selalu bisa mengatakan/ menunjukkan seperti utara dan selatan tanpa alat di mana saja saya berada.</t>
  </si>
  <si>
    <t>Saya suka menulis surat/sastra atau jurnal.</t>
  </si>
  <si>
    <t>Ketika saya berbicara saya suka mengatakan sesuatu seperti, “aku dengar ya, bahwa suara itu bagus atau itu dering bel”.</t>
  </si>
  <si>
    <t>Kamarku, meja belajar, mobil, atau rumah selalu tak teratur.</t>
  </si>
  <si>
    <t>Saya suka bekerja dengan tanganku dan membangun, atau membuat sesuatu</t>
  </si>
  <si>
    <t>Saya sangat tahu tentang kata-kata suatu nyanyian yang aku dengarkan</t>
  </si>
  <si>
    <t>Ketika orang lain berbicara, saya selalu menggambarkan di pikiran saya tentang apa yang sedang mereka katakan.</t>
  </si>
  <si>
    <t>Saya menyukai olahraga dan saya berpendapat bahwa saya seorang atlet yang baik.</t>
  </si>
  <si>
    <t>Enteng/ mudah saja berbicara panjang lebar di telepon dengan teman-teman saya.</t>
  </si>
  <si>
    <t>Tanpa musik, hidup ini tidaklah menyenangkan</t>
  </si>
  <si>
    <t xml:space="preserve">Saya sangat senang ada di organisasi-organisasi sosial dan selalu memiliki inisiatif pembicaraan dengan banyak orang. </t>
  </si>
  <si>
    <t xml:space="preserve">Ketika saya melihat suatu objek-objek di kertas, saya dapat dengan mudah apakah objek-objek itu sama tanpa menggunakan alat bantu. </t>
  </si>
  <si>
    <t>Saya selalu mengatakan sesuatu seperti, “Aku merasa perlu menangani suatu keluhannya, atau menemukan suatu keluhan.</t>
  </si>
  <si>
    <t>Ketika saya ingat kembali suatu pengalaman, saya sering melihat gambaran tentang pengalaman itu di pikiran saya.</t>
  </si>
  <si>
    <t xml:space="preserve">Ketika saya ingat suatu pengalaman, saya kebanyakan mendengar suara itu dan mengatakan pada diri saya sendiri tentang pengalaman itu. </t>
  </si>
  <si>
    <t>Bila saya ingat suatu pengalaman, saya sering ingat bagaimana saya meraba-raba tentangnya.</t>
  </si>
  <si>
    <t>Saya lebih suka music daripada lukisan</t>
  </si>
  <si>
    <t>Saya sering mencoret-coret/menggambar ketika saya sedang menelpon atau dalam suatu pertemuan/rapat</t>
  </si>
  <si>
    <t>Saya lebih suka melakukan sesuatu daripada membuat laporan tertulis.</t>
  </si>
  <si>
    <t>Saya suka membaca cerita daripada mendengarkan cerita</t>
  </si>
  <si>
    <t>Saya selalu berbicara secara pelan.</t>
  </si>
  <si>
    <t>Tulisan tanganku tidak selalu dibutuhkan</t>
  </si>
  <si>
    <t>Saya biasa menggunakan jari untuk menunjuk saat membaca</t>
  </si>
  <si>
    <t>Saya dapat mengalihkan dan menambahkan dengan cepat di kepala saya</t>
  </si>
  <si>
    <t>Saya suka mengeja dan berpendapat saya seorang pembaca yang baik</t>
  </si>
  <si>
    <t>Saya mengeluh sangat bingung bila seseorang mengajak bicara kepadaku ketika sedang nonton TV</t>
  </si>
  <si>
    <t>Saya suka mencatat perintah-perintah yang orang berikan kepadaku</t>
  </si>
  <si>
    <t>Saya dapat mudah mengingat apa yang orang katakan</t>
  </si>
  <si>
    <t>Saya lebih be;ajar dengan cara melakukan</t>
  </si>
  <si>
    <t>Sangat menyiksa diriku untuk tetap duduk dalam waktu lama</t>
  </si>
  <si>
    <t>Ya</t>
  </si>
  <si>
    <t>Tidak</t>
  </si>
  <si>
    <t>Kolom Jawaban</t>
  </si>
  <si>
    <t>TES GAYA BELAJAR (VAK)</t>
  </si>
  <si>
    <t>contoh :</t>
  </si>
  <si>
    <t>Nama</t>
  </si>
  <si>
    <t>Tanggal</t>
  </si>
  <si>
    <t>Usia</t>
  </si>
  <si>
    <t>Setiap pertanyataan hanya dapat dijawab salah salah satu saja antara jawaban "Ya" atau "Tidak"</t>
  </si>
  <si>
    <t>Kriteria</t>
  </si>
  <si>
    <t>Hasil</t>
  </si>
  <si>
    <t xml:space="preserve">RESUME </t>
  </si>
  <si>
    <t xml:space="preserve">VISUAL </t>
  </si>
  <si>
    <t>KINESTETIK</t>
  </si>
  <si>
    <t>NILAI SKOR</t>
  </si>
  <si>
    <t>AUDITORI</t>
  </si>
  <si>
    <t>INTERPRETASI</t>
  </si>
  <si>
    <t>Individu dengan tipe ini akan lebih memahami melalui apa yang mereka lihat. Warna, hubungan ruang, potret mental dan gambar menonjol dalam modalitas ini. Adapun beberapa ciri orang dengan tipe belajar visual, yaitu : Rapi, teratur, memperhatikan segala sesuatu dan menjaga penampilan, Berbicara dengan cepat, Perencana dan pengatur jangka panjang yang baik, Pengeja yang baik dan dapat melihat kata-kata yang sebenarnya dalam pikiran mereka, Lebih mengingat apa yang dilihat daripada yang didengar, Mengingat dengan asosiasi visual, Mempunyai masalah untuk mengingat instruksi verbal kecuali jika ditulis dan sering meminta orang lain untuk mengulangi ucapannya. Lebih suka membaca daripada dibacakan dan pembaca yang cepat, Mencoret-coret tanpa arti selama berbicara di telepon atau dalam rapat, Lebih suka melakukan demonstrasi daripada berpidato, Lebih menyukai seni gambar daripada musik, Sering menjawab pertanyaan dengan jawaban yang singkat ya atau tidak, Mengetahui apa yang harus dikatakan, tetapi tidak pandai memilih kata-kata yang tepat, Biasanya tidak terganggu dengan keributan</t>
  </si>
  <si>
    <t>Individu dengan tipe ini akan lebih memahami sesuatu melalui apa yang mereka dengar. Modalitas ini mengakses segala jenis bunyi dan kata. Musik, irama, dialog internal dan suara menonjol pada tipe auditori. Seseorang yang sangat auditori memiliki ciri-ciri sebagai berikut : Suka berbicara kepada diri sendiri saat bekerja, Perhatiannya mudah terpecah dan mudah terganggu oleh keributan, Menggerakkan bibir mereka dan mengucapkan tulisan di buku ketika membaca, Senang membaca dengan keras dan mendengarkan, Dapat mengulangi kembali dan menirukan nada, perubahan dan warna suara, Merasa kesulitan untuk menulis dan lebih suka mengucapkan secara lisan, Berbicara dalam irama yang terpola, Lebih suka musik daripada seni gambar, Belajar dengan mendengarkan dan mengingat apa yang didiskusikan daripada yang dilihat, Suka berbicara, suka berdiskusi dan menjelaskan sesuatu dengan panjang lebar, Lebih suka gurauan lisan daripada membaca komik, Mempunyai masalah dengan pekerjaan-pekerjaan yang melibatkan visualisasi, seperti memotong bagian-bagian hingga sesuai satu sama lain, Lebih pandai mengeja dengan keras daripada menuliskannya, Biasanya pembicara yang fasih</t>
  </si>
  <si>
    <t>Individu dengan tipe ini belajar melalui gerak, emosi dan sentuhan. Modalitas ini mengakses pada gerakan, koordinasi, irama, tanggapan emosional, dan kenyamanan fisik. Ciri-ciri orang dengan tipe belajar kinestetik yaitu : Berbicara dengan perlahan, Menyentuh orang untuk mendapatkan perhatian mereka saat berbicara, Berdiri berdekatan saat berbicara dengan orang, Selalu berorientasi pada fisik dan banyak bergerak, Belajar melalui memanipulasi dan praktik, Menghafal dengan cara berjalan dan melihat, Menggunakan jari sebagai penunjuk ketika membaca, Banyak menggunakan isyarat tubuh, Tidak dapat diam untuk waktu yang lama, Tidak dapat mengingat geografis, kecuali jika mereka memang telah pernah berada di tempat itu.Menyukai permainan yang menyibukkan, Mencerminkan aksi dengan gerakan tubuh saat membaca, suka mengetuk-ngetuk pena, jari, atau kaki saat mendengarkan, Ingin melakukan segala sesuatu, Kemungkinan tulisannya kurang bagus</t>
  </si>
  <si>
    <t>TIPE GAYA BELAJAR</t>
  </si>
  <si>
    <t xml:space="preserve">Ketiklah angka "1" (satu) pada kolom jawaban "Ya" apabila pernyataan tersebut sesuai dengan diri Anda </t>
  </si>
  <si>
    <t>Ketiklah angka "1" (satu) pada kolom jawaban "Tidak" apabila pernyataan tersebut tidak sesuai dengan diri Anda.</t>
  </si>
  <si>
    <t>Bacalah setiap pernyataan dari 36 nomor berikut</t>
  </si>
  <si>
    <r>
      <t xml:space="preserve">Saya lebih suka </t>
    </r>
    <r>
      <rPr>
        <i/>
        <sz val="12"/>
        <color theme="1"/>
        <rFont val="Cambria"/>
        <family val="1"/>
      </rPr>
      <t>mendengarkan</t>
    </r>
    <r>
      <rPr>
        <sz val="12"/>
        <color theme="1"/>
        <rFont val="Cambria"/>
        <family val="1"/>
      </rPr>
      <t xml:space="preserve"> suatu buku dati </t>
    </r>
    <r>
      <rPr>
        <i/>
        <sz val="12"/>
        <color theme="1"/>
        <rFont val="Cambria"/>
        <family val="1"/>
      </rPr>
      <t>tape recorder</t>
    </r>
    <r>
      <rPr>
        <sz val="12"/>
        <color theme="1"/>
        <rFont val="Cambria"/>
        <family val="1"/>
      </rPr>
      <t xml:space="preserve"> daripada membacanya.</t>
    </r>
  </si>
  <si>
    <t>rvra.consultant@gmail.com</t>
  </si>
  <si>
    <t>Pendidikan</t>
  </si>
  <si>
    <t>Jenis kelamin</t>
  </si>
  <si>
    <t>Status Isian</t>
  </si>
  <si>
    <t>Ketiklah angka "1" (satu) pada kolom jawaban "Tidak" apabila pernyataan tersebut tidak sesuai dengan diri Anda</t>
  </si>
  <si>
    <t>Setiap pertanyataan hanya dapat dijawab salah satu pilihan saja antara jawaban "Ya" atau "Tidak"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</si>
</sst>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theme="1"/>
      <name val="Calibri"/>
      <family val="2"/>
      <scheme val="minor"/>
    </font>
    <font>
      <b/>
      <sz val="12"/>
      <color rgb="FF000000"/>
      <name val="Cambria"/>
      <family val="1"/>
    </font>
    <font>
      <b/>
      <sz val="16"/>
      <color rgb="FF000000"/>
      <name val="Cambria"/>
      <family val="1"/>
    </font>
    <font>
      <b/>
      <sz val="10"/>
      <color rgb="FF000000"/>
      <name val="Cambria"/>
      <family val="1"/>
    </font>
    <font>
      <sz val="12"/>
      <color rgb="FF000000"/>
      <name val="Cambria"/>
      <family val="1"/>
    </font>
    <font>
      <sz val="11"/>
      <color theme="1"/>
      <name val="Cambria"/>
      <family val="1"/>
    </font>
    <font>
      <sz val="11"/>
      <color theme="1"/>
      <name val="Times New Roman"/>
      <family val="1"/>
    </font>
    <font>
      <sz val="12"/>
      <color theme="1"/>
      <name val="Cambria"/>
      <family val="1"/>
    </font>
    <font>
      <sz val="16"/>
      <color theme="1"/>
      <name val="Cambria"/>
      <family val="1"/>
    </font>
    <font>
      <b/>
      <i/>
      <u/>
      <sz val="11"/>
      <color theme="1"/>
      <name val="Calibri"/>
      <family val="2"/>
      <scheme val="minor"/>
    </font>
    <font>
      <i/>
      <sz val="12"/>
      <color theme="1"/>
      <name val="Cambria"/>
      <family val="1"/>
    </font>
    <font>
      <b/>
      <sz val="12"/>
      <color theme="4" tint="-0.249977111117893"/>
      <name val="Cambria"/>
      <family val="1"/>
    </font>
    <font>
      <b/>
      <sz val="19"/>
      <color theme="0" tint="-4.9989318521683403E-2"/>
      <name val="Cambria"/>
      <family val="1"/>
    </font>
    <font>
      <u/>
      <sz val="11"/>
      <color theme="10"/>
      <name val="Calibri"/>
      <family val="2"/>
      <scheme val="minor"/>
    </font>
    <font>
      <b/>
      <sz val="11"/>
      <color theme="1"/>
      <name val="Cambria"/>
      <family val="1"/>
    </font>
    <font>
      <b/>
      <sz val="11"/>
      <color theme="0" tint="-4.9989318521683403E-2"/>
      <name val="Cambria"/>
      <family val="1"/>
    </font>
    <font>
      <b/>
      <sz val="14"/>
      <color theme="1"/>
      <name val="Cambria"/>
      <family val="1"/>
    </font>
  </fonts>
  <fills count="6">
    <fill>
      <patternFill patternType="none"/>
    </fill>
    <fill>
      <patternFill patternType="gray125"/>
    </fill>
    <fill>
      <patternFill patternType="solid">
        <fgColor rgb="FF8EAADB"/>
        <bgColor indexed="64"/>
      </patternFill>
    </fill>
    <fill>
      <patternFill patternType="solid">
        <fgColor rgb="FFFFC000"/>
        <bgColor indexed="64"/>
      </patternFill>
    </fill>
    <fill>
      <patternFill patternType="solid">
        <fgColor rgb="FF00B050"/>
        <bgColor indexed="64"/>
      </patternFill>
    </fill>
    <fill>
      <patternFill patternType="solid">
        <fgColor theme="0"/>
        <bgColor indexed="64"/>
      </patternFill>
    </fill>
  </fills>
  <borders count="36">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right/>
      <top/>
      <bottom style="double">
        <color auto="1"/>
      </bottom>
      <diagonal/>
    </border>
    <border>
      <left style="double">
        <color auto="1"/>
      </left>
      <right/>
      <top style="double">
        <color auto="1"/>
      </top>
      <bottom/>
      <diagonal/>
    </border>
    <border>
      <left/>
      <right style="thin">
        <color indexed="64"/>
      </right>
      <top style="double">
        <color auto="1"/>
      </top>
      <bottom/>
      <diagonal/>
    </border>
    <border>
      <left style="thin">
        <color indexed="64"/>
      </left>
      <right style="thin">
        <color indexed="64"/>
      </right>
      <top style="double">
        <color auto="1"/>
      </top>
      <bottom style="thin">
        <color indexed="64"/>
      </bottom>
      <diagonal/>
    </border>
    <border>
      <left style="double">
        <color auto="1"/>
      </left>
      <right/>
      <top/>
      <bottom/>
      <diagonal/>
    </border>
    <border>
      <left/>
      <right style="double">
        <color auto="1"/>
      </right>
      <top/>
      <bottom/>
      <diagonal/>
    </border>
    <border>
      <left style="double">
        <color auto="1"/>
      </left>
      <right/>
      <top style="thin">
        <color indexed="64"/>
      </top>
      <bottom/>
      <diagonal/>
    </border>
    <border>
      <left/>
      <right style="double">
        <color auto="1"/>
      </right>
      <top style="thin">
        <color indexed="64"/>
      </top>
      <bottom/>
      <diagonal/>
    </border>
    <border>
      <left style="double">
        <color auto="1"/>
      </left>
      <right/>
      <top/>
      <bottom style="thin">
        <color indexed="64"/>
      </bottom>
      <diagonal/>
    </border>
    <border>
      <left/>
      <right style="double">
        <color auto="1"/>
      </right>
      <top/>
      <bottom style="thin">
        <color indexed="64"/>
      </bottom>
      <diagonal/>
    </border>
    <border>
      <left style="double">
        <color auto="1"/>
      </left>
      <right style="thin">
        <color indexed="64"/>
      </right>
      <top style="thin">
        <color indexed="64"/>
      </top>
      <bottom style="thin">
        <color indexed="64"/>
      </bottom>
      <diagonal/>
    </border>
    <border>
      <left style="double">
        <color auto="1"/>
      </left>
      <right/>
      <top/>
      <bottom style="double">
        <color auto="1"/>
      </bottom>
      <diagonal/>
    </border>
    <border>
      <left/>
      <right style="double">
        <color auto="1"/>
      </right>
      <top/>
      <bottom style="double">
        <color auto="1"/>
      </bottom>
      <diagonal/>
    </border>
    <border>
      <left style="thin">
        <color indexed="64"/>
      </left>
      <right style="double">
        <color auto="1"/>
      </right>
      <top style="double">
        <color auto="1"/>
      </top>
      <bottom style="thin">
        <color indexed="64"/>
      </bottom>
      <diagonal/>
    </border>
    <border>
      <left style="thin">
        <color indexed="64"/>
      </left>
      <right style="double">
        <color auto="1"/>
      </right>
      <top style="thin">
        <color indexed="64"/>
      </top>
      <bottom style="thin">
        <color indexed="64"/>
      </bottom>
      <diagonal/>
    </border>
  </borders>
  <cellStyleXfs count="2">
    <xf numFmtId="0" fontId="0" fillId="0" borderId="0"/>
    <xf numFmtId="0" fontId="14" fillId="0" borderId="0" applyNumberFormat="0" applyFill="0" applyBorder="0" applyAlignment="0" applyProtection="0"/>
  </cellStyleXfs>
  <cellXfs count="124">
    <xf numFmtId="0" fontId="0" fillId="0" borderId="0" xfId="0"/>
    <xf numFmtId="0" fontId="2" fillId="2" borderId="2" xfId="0" applyFont="1" applyFill="1" applyBorder="1" applyAlignment="1" applyProtection="1">
      <alignment horizontal="center" vertical="center"/>
      <protection hidden="1"/>
    </xf>
    <xf numFmtId="0" fontId="4" fillId="3" borderId="3" xfId="0" applyFont="1" applyFill="1" applyBorder="1" applyAlignment="1" applyProtection="1">
      <alignment horizontal="center" vertical="center"/>
      <protection hidden="1"/>
    </xf>
    <xf numFmtId="0" fontId="8" fillId="0" borderId="1" xfId="0" applyFont="1" applyBorder="1" applyAlignment="1" applyProtection="1">
      <alignment horizontal="justify" vertical="center" wrapText="1"/>
      <protection hidden="1"/>
    </xf>
    <xf numFmtId="0" fontId="8" fillId="0" borderId="1" xfId="0" applyFont="1" applyBorder="1" applyProtection="1">
      <protection hidden="1"/>
    </xf>
    <xf numFmtId="0" fontId="12" fillId="0" borderId="1" xfId="0" applyFont="1" applyBorder="1" applyAlignment="1" applyProtection="1">
      <alignment horizontal="center" vertical="center"/>
      <protection hidden="1"/>
    </xf>
    <xf numFmtId="0" fontId="8" fillId="0" borderId="3" xfId="0" applyFont="1" applyBorder="1" applyAlignment="1" applyProtection="1">
      <alignment horizontal="justify" vertical="center" wrapText="1"/>
      <protection hidden="1"/>
    </xf>
    <xf numFmtId="0" fontId="2" fillId="0" borderId="4" xfId="0" applyFont="1" applyBorder="1" applyAlignment="1" applyProtection="1">
      <alignment horizontal="center" vertical="center"/>
      <protection locked="0"/>
    </xf>
    <xf numFmtId="0" fontId="2" fillId="2" borderId="10" xfId="0" applyFont="1" applyFill="1" applyBorder="1" applyAlignment="1">
      <alignment horizontal="center" vertical="center"/>
    </xf>
    <xf numFmtId="0" fontId="6" fillId="5" borderId="0" xfId="0" applyFont="1" applyFill="1"/>
    <xf numFmtId="0" fontId="15" fillId="5" borderId="10" xfId="0" applyFont="1" applyFill="1" applyBorder="1"/>
    <xf numFmtId="0" fontId="0" fillId="5" borderId="0" xfId="0" applyFill="1" applyProtection="1">
      <protection hidden="1"/>
    </xf>
    <xf numFmtId="0" fontId="0" fillId="5" borderId="0" xfId="0" applyFill="1" applyAlignment="1" applyProtection="1">
      <alignment wrapText="1"/>
      <protection hidden="1"/>
    </xf>
    <xf numFmtId="0" fontId="0" fillId="5" borderId="0" xfId="0" applyFill="1" applyAlignment="1" applyProtection="1">
      <alignment horizontal="center"/>
      <protection hidden="1"/>
    </xf>
    <xf numFmtId="0" fontId="7" fillId="5" borderId="3" xfId="0" applyFont="1" applyFill="1" applyBorder="1" applyAlignment="1" applyProtection="1">
      <alignment horizontal="justify" vertical="center" wrapText="1"/>
      <protection hidden="1"/>
    </xf>
    <xf numFmtId="0" fontId="7" fillId="5" borderId="0" xfId="0" applyFont="1" applyFill="1" applyAlignment="1" applyProtection="1">
      <alignment horizontal="justify" vertical="center" wrapText="1"/>
      <protection hidden="1"/>
    </xf>
    <xf numFmtId="0" fontId="0" fillId="5" borderId="7" xfId="0" applyFill="1" applyBorder="1" applyAlignment="1" applyProtection="1">
      <alignment horizontal="left" vertical="top" wrapText="1"/>
      <protection hidden="1"/>
    </xf>
    <xf numFmtId="0" fontId="0" fillId="5" borderId="0" xfId="0" applyFill="1" applyAlignment="1" applyProtection="1">
      <alignment horizontal="left" vertical="top" wrapText="1"/>
      <protection hidden="1"/>
    </xf>
    <xf numFmtId="0" fontId="0" fillId="5" borderId="5" xfId="0" applyFill="1" applyBorder="1" applyProtection="1">
      <protection hidden="1"/>
    </xf>
    <xf numFmtId="0" fontId="2" fillId="5" borderId="2" xfId="0" applyFont="1" applyFill="1" applyBorder="1" applyAlignment="1" applyProtection="1">
      <alignment horizontal="center" vertical="center"/>
      <protection hidden="1"/>
    </xf>
    <xf numFmtId="0" fontId="2" fillId="5" borderId="0" xfId="0" applyFont="1" applyFill="1" applyAlignment="1" applyProtection="1">
      <alignment horizontal="center" vertical="center"/>
      <protection hidden="1"/>
    </xf>
    <xf numFmtId="0" fontId="7" fillId="5" borderId="1" xfId="0" applyFont="1" applyFill="1" applyBorder="1" applyAlignment="1" applyProtection="1">
      <alignment horizontal="justify" vertical="center" wrapText="1"/>
      <protection hidden="1"/>
    </xf>
    <xf numFmtId="0" fontId="1" fillId="5" borderId="18" xfId="0" applyFont="1" applyFill="1" applyBorder="1" applyAlignment="1" applyProtection="1">
      <alignment horizontal="left" vertical="center"/>
      <protection hidden="1"/>
    </xf>
    <xf numFmtId="0" fontId="1" fillId="5" borderId="10" xfId="0" applyFont="1" applyFill="1" applyBorder="1" applyAlignment="1" applyProtection="1">
      <alignment horizontal="left" vertical="center"/>
      <protection hidden="1"/>
    </xf>
    <xf numFmtId="0" fontId="14" fillId="5" borderId="0" xfId="1" applyFill="1" applyProtection="1">
      <protection hidden="1"/>
    </xf>
    <xf numFmtId="0" fontId="0" fillId="5" borderId="19" xfId="0" applyFill="1" applyBorder="1" applyProtection="1">
      <protection hidden="1"/>
    </xf>
    <xf numFmtId="0" fontId="0" fillId="5" borderId="0" xfId="0" applyFill="1" applyAlignment="1" applyProtection="1">
      <alignment horizontal="left" vertical="top"/>
      <protection hidden="1"/>
    </xf>
    <xf numFmtId="0" fontId="0" fillId="5" borderId="20" xfId="0" applyFill="1" applyBorder="1" applyAlignment="1" applyProtection="1">
      <alignment horizontal="justify" vertical="top" wrapText="1"/>
      <protection hidden="1"/>
    </xf>
    <xf numFmtId="0" fontId="0" fillId="5" borderId="14" xfId="0" applyFill="1" applyBorder="1" applyAlignment="1" applyProtection="1">
      <alignment horizontal="left" vertical="top"/>
      <protection hidden="1"/>
    </xf>
    <xf numFmtId="0" fontId="0" fillId="5" borderId="17" xfId="0" applyFill="1" applyBorder="1" applyAlignment="1" applyProtection="1">
      <alignment horizontal="left" vertical="top" wrapText="1"/>
      <protection hidden="1"/>
    </xf>
    <xf numFmtId="0" fontId="0" fillId="5" borderId="17" xfId="0" applyFill="1" applyBorder="1" applyAlignment="1" applyProtection="1">
      <alignment horizontal="center" vertical="top" wrapText="1"/>
      <protection hidden="1"/>
    </xf>
    <xf numFmtId="0" fontId="0" fillId="5" borderId="15" xfId="0" applyFill="1" applyBorder="1" applyAlignment="1" applyProtection="1">
      <alignment horizontal="left" vertical="top" wrapText="1"/>
      <protection hidden="1"/>
    </xf>
    <xf numFmtId="0" fontId="0" fillId="5" borderId="0" xfId="0" applyFill="1" applyAlignment="1" applyProtection="1">
      <alignment horizontal="center" vertical="top" wrapText="1"/>
      <protection hidden="1"/>
    </xf>
    <xf numFmtId="0" fontId="10" fillId="5" borderId="0" xfId="0" applyFont="1" applyFill="1" applyAlignment="1" applyProtection="1">
      <alignment horizontal="left" vertical="top"/>
      <protection hidden="1"/>
    </xf>
    <xf numFmtId="0" fontId="2" fillId="5" borderId="10" xfId="0" applyFont="1" applyFill="1" applyBorder="1" applyAlignment="1" applyProtection="1">
      <alignment horizontal="center" vertical="center"/>
      <protection hidden="1"/>
    </xf>
    <xf numFmtId="0" fontId="0" fillId="5" borderId="10" xfId="0" applyFill="1" applyBorder="1" applyAlignment="1" applyProtection="1">
      <alignment horizontal="center" vertical="top" wrapText="1"/>
      <protection hidden="1"/>
    </xf>
    <xf numFmtId="0" fontId="5" fillId="5" borderId="10" xfId="0" applyFont="1" applyFill="1" applyBorder="1" applyAlignment="1" applyProtection="1">
      <alignment vertical="center"/>
      <protection hidden="1"/>
    </xf>
    <xf numFmtId="0" fontId="0" fillId="5" borderId="21" xfId="0" applyFill="1" applyBorder="1" applyAlignment="1" applyProtection="1">
      <alignment horizontal="left" vertical="top" wrapText="1"/>
      <protection hidden="1"/>
    </xf>
    <xf numFmtId="0" fontId="0" fillId="5" borderId="31" xfId="0" applyFill="1" applyBorder="1" applyAlignment="1">
      <alignment horizontal="center" vertical="top" wrapText="1"/>
    </xf>
    <xf numFmtId="0" fontId="5" fillId="5" borderId="10" xfId="0" applyFont="1" applyFill="1" applyBorder="1" applyAlignment="1">
      <alignment vertical="center"/>
    </xf>
    <xf numFmtId="0" fontId="0" fillId="5" borderId="10" xfId="0" applyFill="1" applyBorder="1" applyAlignment="1">
      <alignment horizontal="center" vertical="top" wrapText="1"/>
    </xf>
    <xf numFmtId="0" fontId="0" fillId="5" borderId="0" xfId="0" applyFill="1" applyAlignment="1">
      <alignment horizontal="center" vertical="top" wrapText="1"/>
    </xf>
    <xf numFmtId="0" fontId="0" fillId="5" borderId="26" xfId="0" applyFill="1" applyBorder="1" applyAlignment="1">
      <alignment horizontal="center" vertical="top" wrapText="1"/>
    </xf>
    <xf numFmtId="0" fontId="0" fillId="5" borderId="0" xfId="0" applyFill="1" applyAlignment="1">
      <alignment horizontal="left" vertical="top" wrapText="1"/>
    </xf>
    <xf numFmtId="0" fontId="0" fillId="5" borderId="0" xfId="0" applyFill="1"/>
    <xf numFmtId="0" fontId="0" fillId="5" borderId="32" xfId="0" applyFill="1" applyBorder="1" applyAlignment="1">
      <alignment horizontal="left" vertical="top" wrapText="1"/>
    </xf>
    <xf numFmtId="0" fontId="0" fillId="5" borderId="21" xfId="0" applyFill="1" applyBorder="1" applyAlignment="1">
      <alignment horizontal="left" vertical="top" wrapText="1"/>
    </xf>
    <xf numFmtId="0" fontId="0" fillId="5" borderId="21" xfId="0" applyFill="1" applyBorder="1" applyAlignment="1">
      <alignment horizontal="center" vertical="top" wrapText="1"/>
    </xf>
    <xf numFmtId="0" fontId="0" fillId="5" borderId="33" xfId="0" applyFill="1" applyBorder="1" applyAlignment="1">
      <alignment horizontal="center" vertical="top" wrapText="1"/>
    </xf>
    <xf numFmtId="0" fontId="0" fillId="5" borderId="0" xfId="0" applyFill="1" applyAlignment="1">
      <alignment wrapText="1"/>
    </xf>
    <xf numFmtId="0" fontId="0" fillId="5" borderId="0" xfId="0" applyFill="1" applyAlignment="1">
      <alignment horizontal="center"/>
    </xf>
    <xf numFmtId="0" fontId="2" fillId="5" borderId="0" xfId="0" applyFont="1" applyFill="1" applyAlignment="1">
      <alignment horizontal="center" vertical="center"/>
    </xf>
    <xf numFmtId="0" fontId="0" fillId="5" borderId="26" xfId="0" applyFill="1" applyBorder="1"/>
    <xf numFmtId="0" fontId="14" fillId="5" borderId="25" xfId="1" applyFill="1" applyBorder="1" applyProtection="1"/>
    <xf numFmtId="0" fontId="0" fillId="5" borderId="26" xfId="0" applyFill="1" applyBorder="1" applyAlignment="1">
      <alignment horizontal="center"/>
    </xf>
    <xf numFmtId="0" fontId="0" fillId="5" borderId="25" xfId="0" applyFill="1" applyBorder="1" applyAlignment="1">
      <alignment horizontal="left" vertical="top"/>
    </xf>
    <xf numFmtId="0" fontId="0" fillId="5" borderId="29" xfId="0" applyFill="1" applyBorder="1" applyAlignment="1">
      <alignment horizontal="left" vertical="top"/>
    </xf>
    <xf numFmtId="0" fontId="0" fillId="5" borderId="17" xfId="0" applyFill="1" applyBorder="1" applyAlignment="1">
      <alignment horizontal="left" vertical="top" wrapText="1"/>
    </xf>
    <xf numFmtId="0" fontId="0" fillId="5" borderId="17" xfId="0" applyFill="1" applyBorder="1" applyAlignment="1">
      <alignment horizontal="center" vertical="top" wrapText="1"/>
    </xf>
    <xf numFmtId="0" fontId="0" fillId="5" borderId="30" xfId="0" applyFill="1" applyBorder="1" applyAlignment="1">
      <alignment horizontal="center" vertical="top" wrapText="1"/>
    </xf>
    <xf numFmtId="0" fontId="10" fillId="5" borderId="25" xfId="0" applyFont="1" applyFill="1" applyBorder="1" applyAlignment="1">
      <alignment horizontal="left" vertical="top"/>
    </xf>
    <xf numFmtId="0" fontId="1" fillId="5" borderId="24" xfId="0" applyFont="1" applyFill="1" applyBorder="1" applyAlignment="1">
      <alignment horizontal="left" vertical="center"/>
    </xf>
    <xf numFmtId="0" fontId="1" fillId="5" borderId="10" xfId="0" applyFont="1" applyFill="1" applyBorder="1" applyAlignment="1">
      <alignment horizontal="left" vertical="center"/>
    </xf>
    <xf numFmtId="0" fontId="13" fillId="4" borderId="22" xfId="0" applyFont="1" applyFill="1" applyBorder="1" applyAlignment="1">
      <alignment horizontal="right" vertical="center"/>
    </xf>
    <xf numFmtId="0" fontId="13" fillId="4" borderId="23" xfId="0" applyFont="1" applyFill="1" applyBorder="1" applyAlignment="1">
      <alignment horizontal="right" vertical="center"/>
    </xf>
    <xf numFmtId="0" fontId="13" fillId="4" borderId="25" xfId="0" applyFont="1" applyFill="1" applyBorder="1" applyAlignment="1">
      <alignment horizontal="right" vertical="center"/>
    </xf>
    <xf numFmtId="0" fontId="13" fillId="4" borderId="20" xfId="0" applyFont="1" applyFill="1" applyBorder="1" applyAlignment="1">
      <alignment horizontal="right" vertical="center"/>
    </xf>
    <xf numFmtId="0" fontId="1" fillId="5" borderId="24" xfId="0" applyFont="1" applyFill="1" applyBorder="1" applyAlignment="1" applyProtection="1">
      <alignment horizontal="left" vertical="center"/>
      <protection locked="0"/>
    </xf>
    <xf numFmtId="0" fontId="1" fillId="5" borderId="34" xfId="0" applyFont="1" applyFill="1" applyBorder="1" applyAlignment="1" applyProtection="1">
      <alignment horizontal="left" vertical="center"/>
      <protection locked="0"/>
    </xf>
    <xf numFmtId="0" fontId="1" fillId="5" borderId="10" xfId="0" applyFont="1" applyFill="1" applyBorder="1" applyAlignment="1" applyProtection="1">
      <alignment horizontal="left" vertical="center"/>
      <protection locked="0"/>
    </xf>
    <xf numFmtId="0" fontId="1" fillId="5" borderId="35" xfId="0" applyFont="1" applyFill="1" applyBorder="1" applyAlignment="1" applyProtection="1">
      <alignment horizontal="left" vertical="center"/>
      <protection locked="0"/>
    </xf>
    <xf numFmtId="0" fontId="0" fillId="5" borderId="27" xfId="0" applyFill="1" applyBorder="1" applyAlignment="1">
      <alignment horizontal="justify" vertical="top" wrapText="1"/>
    </xf>
    <xf numFmtId="0" fontId="0" fillId="5" borderId="16" xfId="0" applyFill="1" applyBorder="1" applyAlignment="1">
      <alignment horizontal="justify" vertical="top" wrapText="1"/>
    </xf>
    <xf numFmtId="0" fontId="0" fillId="5" borderId="28" xfId="0" applyFill="1" applyBorder="1" applyAlignment="1">
      <alignment horizontal="justify" vertical="top" wrapText="1"/>
    </xf>
    <xf numFmtId="0" fontId="0" fillId="5" borderId="25" xfId="0" applyFill="1" applyBorder="1" applyAlignment="1">
      <alignment horizontal="left" vertical="top"/>
    </xf>
    <xf numFmtId="0" fontId="0" fillId="5" borderId="0" xfId="0" applyFill="1" applyAlignment="1">
      <alignment horizontal="left" vertical="top"/>
    </xf>
    <xf numFmtId="0" fontId="0" fillId="5" borderId="26" xfId="0" applyFill="1" applyBorder="1" applyAlignment="1">
      <alignment horizontal="left" vertical="top"/>
    </xf>
    <xf numFmtId="0" fontId="0" fillId="5" borderId="25" xfId="0" applyFill="1" applyBorder="1" applyAlignment="1">
      <alignment horizontal="left" vertical="top" wrapText="1"/>
    </xf>
    <xf numFmtId="0" fontId="0" fillId="5" borderId="0" xfId="0" applyFill="1" applyAlignment="1">
      <alignment horizontal="left" vertical="top" wrapText="1"/>
    </xf>
    <xf numFmtId="0" fontId="0" fillId="5" borderId="26" xfId="0" applyFill="1" applyBorder="1" applyAlignment="1">
      <alignment horizontal="left" vertical="top" wrapText="1"/>
    </xf>
    <xf numFmtId="0" fontId="2" fillId="2" borderId="31" xfId="0" applyFont="1" applyFill="1" applyBorder="1" applyAlignment="1">
      <alignment horizontal="center" vertical="center"/>
    </xf>
    <xf numFmtId="0" fontId="3" fillId="2" borderId="10" xfId="0" applyFont="1" applyFill="1" applyBorder="1" applyAlignment="1">
      <alignment horizontal="center" vertical="center" wrapText="1"/>
    </xf>
    <xf numFmtId="0" fontId="2" fillId="2" borderId="10" xfId="0" applyFont="1" applyFill="1" applyBorder="1" applyAlignment="1">
      <alignment horizontal="center" vertical="center"/>
    </xf>
    <xf numFmtId="0" fontId="3" fillId="2" borderId="6"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2" fillId="2" borderId="6" xfId="0" applyFont="1" applyFill="1" applyBorder="1" applyAlignment="1" applyProtection="1">
      <alignment horizontal="center" vertical="center"/>
      <protection hidden="1"/>
    </xf>
    <xf numFmtId="0" fontId="2" fillId="2" borderId="3" xfId="0" applyFont="1" applyFill="1" applyBorder="1" applyAlignment="1" applyProtection="1">
      <alignment horizontal="center" vertical="center"/>
      <protection hidden="1"/>
    </xf>
    <xf numFmtId="0" fontId="2" fillId="5" borderId="10" xfId="0" applyFont="1" applyFill="1" applyBorder="1" applyAlignment="1" applyProtection="1">
      <alignment horizontal="center" vertical="center"/>
      <protection hidden="1"/>
    </xf>
    <xf numFmtId="0" fontId="3" fillId="5" borderId="10" xfId="0" applyFont="1" applyFill="1" applyBorder="1" applyAlignment="1" applyProtection="1">
      <alignment horizontal="center" vertical="center" wrapText="1"/>
      <protection hidden="1"/>
    </xf>
    <xf numFmtId="0" fontId="2" fillId="2" borderId="8" xfId="0" applyFont="1" applyFill="1" applyBorder="1" applyAlignment="1" applyProtection="1">
      <alignment horizontal="center" vertical="center"/>
      <protection hidden="1"/>
    </xf>
    <xf numFmtId="0" fontId="2" fillId="2" borderId="9" xfId="0" applyFont="1" applyFill="1" applyBorder="1" applyAlignment="1" applyProtection="1">
      <alignment horizontal="center" vertical="center"/>
      <protection hidden="1"/>
    </xf>
    <xf numFmtId="0" fontId="14" fillId="5" borderId="7" xfId="1" applyFill="1" applyBorder="1" applyAlignment="1" applyProtection="1">
      <alignment horizontal="right" vertical="top"/>
      <protection hidden="1"/>
    </xf>
    <xf numFmtId="0" fontId="0" fillId="5" borderId="10" xfId="0" applyFill="1" applyBorder="1" applyAlignment="1" applyProtection="1">
      <alignment horizontal="center" vertical="center"/>
      <protection hidden="1"/>
    </xf>
    <xf numFmtId="0" fontId="0" fillId="5" borderId="18" xfId="0" applyFill="1" applyBorder="1" applyAlignment="1" applyProtection="1">
      <alignment horizontal="center" vertical="center"/>
      <protection hidden="1"/>
    </xf>
    <xf numFmtId="0" fontId="0" fillId="5" borderId="19" xfId="0" applyFill="1" applyBorder="1" applyAlignment="1" applyProtection="1">
      <alignment horizontal="left" vertical="top"/>
      <protection hidden="1"/>
    </xf>
    <xf numFmtId="0" fontId="0" fillId="5" borderId="0" xfId="0" applyFill="1" applyAlignment="1" applyProtection="1">
      <alignment horizontal="left" vertical="top"/>
      <protection hidden="1"/>
    </xf>
    <xf numFmtId="0" fontId="0" fillId="5" borderId="19" xfId="0" applyFill="1" applyBorder="1" applyAlignment="1" applyProtection="1">
      <alignment horizontal="left" vertical="top" wrapText="1"/>
      <protection hidden="1"/>
    </xf>
    <xf numFmtId="0" fontId="0" fillId="5" borderId="0" xfId="0" applyFill="1" applyAlignment="1" applyProtection="1">
      <alignment horizontal="left" vertical="top" wrapText="1"/>
      <protection hidden="1"/>
    </xf>
    <xf numFmtId="0" fontId="13" fillId="5" borderId="16" xfId="0" applyFont="1" applyFill="1" applyBorder="1" applyAlignment="1" applyProtection="1">
      <alignment horizontal="right" vertical="center"/>
      <protection hidden="1"/>
    </xf>
    <xf numFmtId="0" fontId="13" fillId="5" borderId="13" xfId="0" applyFont="1" applyFill="1" applyBorder="1" applyAlignment="1" applyProtection="1">
      <alignment horizontal="right" vertical="center"/>
      <protection hidden="1"/>
    </xf>
    <xf numFmtId="0" fontId="13" fillId="5" borderId="0" xfId="0" applyFont="1" applyFill="1" applyAlignment="1" applyProtection="1">
      <alignment horizontal="right" vertical="center"/>
      <protection hidden="1"/>
    </xf>
    <xf numFmtId="0" fontId="13" fillId="5" borderId="20" xfId="0" applyFont="1" applyFill="1" applyBorder="1" applyAlignment="1" applyProtection="1">
      <alignment horizontal="right" vertical="center"/>
      <protection hidden="1"/>
    </xf>
    <xf numFmtId="0" fontId="0" fillId="5" borderId="12" xfId="0" applyFill="1" applyBorder="1" applyAlignment="1" applyProtection="1">
      <alignment horizontal="justify" vertical="top" wrapText="1"/>
      <protection hidden="1"/>
    </xf>
    <xf numFmtId="0" fontId="0" fillId="5" borderId="16" xfId="0" applyFill="1" applyBorder="1" applyAlignment="1" applyProtection="1">
      <alignment horizontal="justify" vertical="top" wrapText="1"/>
      <protection hidden="1"/>
    </xf>
    <xf numFmtId="0" fontId="0" fillId="5" borderId="13" xfId="0" applyFill="1" applyBorder="1" applyAlignment="1" applyProtection="1">
      <alignment horizontal="justify" vertical="top" wrapText="1"/>
      <protection hidden="1"/>
    </xf>
    <xf numFmtId="0" fontId="13" fillId="4" borderId="12" xfId="0" applyFont="1" applyFill="1" applyBorder="1" applyAlignment="1">
      <alignment horizontal="center"/>
    </xf>
    <xf numFmtId="0" fontId="13" fillId="4" borderId="16" xfId="0" applyFont="1" applyFill="1" applyBorder="1" applyAlignment="1">
      <alignment horizontal="center"/>
    </xf>
    <xf numFmtId="0" fontId="13" fillId="4" borderId="13" xfId="0" applyFont="1" applyFill="1" applyBorder="1" applyAlignment="1">
      <alignment horizontal="center"/>
    </xf>
    <xf numFmtId="0" fontId="13" fillId="4" borderId="14" xfId="0" applyFont="1" applyFill="1" applyBorder="1" applyAlignment="1">
      <alignment horizontal="center"/>
    </xf>
    <xf numFmtId="0" fontId="13" fillId="4" borderId="17" xfId="0" applyFont="1" applyFill="1" applyBorder="1" applyAlignment="1">
      <alignment horizontal="center"/>
    </xf>
    <xf numFmtId="0" fontId="13" fillId="4" borderId="15" xfId="0" applyFont="1" applyFill="1" applyBorder="1" applyAlignment="1">
      <alignment horizontal="center"/>
    </xf>
    <xf numFmtId="0" fontId="15" fillId="5" borderId="10" xfId="0" applyFont="1" applyFill="1" applyBorder="1" applyAlignment="1">
      <alignment horizontal="left"/>
    </xf>
    <xf numFmtId="0" fontId="9" fillId="5" borderId="10" xfId="0" applyFont="1" applyFill="1" applyBorder="1" applyAlignment="1">
      <alignment horizontal="center" vertical="center"/>
    </xf>
    <xf numFmtId="0" fontId="16" fillId="4" borderId="12" xfId="0" applyFont="1" applyFill="1" applyBorder="1" applyAlignment="1">
      <alignment horizontal="center" vertical="center" wrapText="1"/>
    </xf>
    <xf numFmtId="0" fontId="16" fillId="4" borderId="13" xfId="0" applyFont="1" applyFill="1" applyBorder="1" applyAlignment="1">
      <alignment horizontal="center" vertical="center" wrapText="1"/>
    </xf>
    <xf numFmtId="0" fontId="16" fillId="4" borderId="14" xfId="0" applyFont="1" applyFill="1" applyBorder="1" applyAlignment="1">
      <alignment horizontal="center" vertical="center" wrapText="1"/>
    </xf>
    <xf numFmtId="0" fontId="16" fillId="4" borderId="15" xfId="0" applyFont="1" applyFill="1" applyBorder="1" applyAlignment="1">
      <alignment horizontal="center" vertical="center" wrapText="1"/>
    </xf>
    <xf numFmtId="0" fontId="16" fillId="4" borderId="16" xfId="0" applyFont="1" applyFill="1" applyBorder="1" applyAlignment="1">
      <alignment horizontal="center" vertical="center" wrapText="1"/>
    </xf>
    <xf numFmtId="0" fontId="16" fillId="4" borderId="17" xfId="0" applyFont="1" applyFill="1" applyBorder="1" applyAlignment="1">
      <alignment horizontal="center" vertical="center" wrapText="1"/>
    </xf>
    <xf numFmtId="0" fontId="16" fillId="4" borderId="11" xfId="0" applyFont="1" applyFill="1" applyBorder="1" applyAlignment="1">
      <alignment horizontal="center" vertical="center" wrapText="1"/>
    </xf>
    <xf numFmtId="0" fontId="16" fillId="4" borderId="18" xfId="0" applyFont="1" applyFill="1" applyBorder="1" applyAlignment="1">
      <alignment horizontal="center" vertical="center" wrapText="1"/>
    </xf>
    <xf numFmtId="0" fontId="6" fillId="5" borderId="10" xfId="0" applyFont="1" applyFill="1" applyBorder="1" applyAlignment="1">
      <alignment horizontal="justify" vertical="top" wrapText="1"/>
    </xf>
    <xf numFmtId="0" fontId="17" fillId="5" borderId="10" xfId="0" applyFont="1" applyFill="1" applyBorder="1" applyAlignment="1">
      <alignment horizontal="center" vertical="center" textRotation="90"/>
    </xf>
    <xf numFmtId="0" fontId="14" fillId="5" borderId="0" xfId="1" applyFill="1" applyBorder="1" applyAlignment="1" applyProtection="1">
      <alignment horizontal="right" vertical="top"/>
      <protection hidden="1"/>
    </xf>
  </cellXfs>
  <cellStyles count="2">
    <cellStyle name="Hyperlink" xfId="1" builtinId="8"/>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104775</xdr:colOff>
      <xdr:row>2</xdr:row>
      <xdr:rowOff>247650</xdr:rowOff>
    </xdr:from>
    <xdr:to>
      <xdr:col>2</xdr:col>
      <xdr:colOff>1428750</xdr:colOff>
      <xdr:row>4</xdr:row>
      <xdr:rowOff>152400</xdr:rowOff>
    </xdr:to>
    <xdr:pic>
      <xdr:nvPicPr>
        <xdr:cNvPr id="2" name="Picture 1">
          <a:extLst>
            <a:ext uri="{FF2B5EF4-FFF2-40B4-BE49-F238E27FC236}">
              <a16:creationId xmlns:a16="http://schemas.microsoft.com/office/drawing/2014/main" id="{84671EB9-E7BA-4124-88D1-B125079A8B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0" y="742950"/>
          <a:ext cx="1600200" cy="514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rvra.consultant@gmail.com"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rvra.consultant@gmail.com" TargetMode="External"/><Relationship Id="rId1" Type="http://schemas.openxmlformats.org/officeDocument/2006/relationships/hyperlink" Target="mailto:rvra.consultant@gmail.com"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rvra.consultant@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5BBAD-ADAD-4A92-A94C-AE0B6DEE28DD}">
  <dimension ref="B1:H20"/>
  <sheetViews>
    <sheetView tabSelected="1" zoomScale="85" zoomScaleNormal="85" workbookViewId="0">
      <selection activeCell="B2" sqref="B2:C6"/>
    </sheetView>
  </sheetViews>
  <sheetFormatPr defaultRowHeight="15" x14ac:dyDescent="0.25"/>
  <cols>
    <col min="1" max="1" width="4.140625" style="44" customWidth="1"/>
    <col min="2" max="2" width="4.140625" style="44" bestFit="1" customWidth="1"/>
    <col min="3" max="3" width="66" style="49" customWidth="1"/>
    <col min="4" max="4" width="13.28515625" style="50" customWidth="1"/>
    <col min="5" max="5" width="9.140625" style="50"/>
    <col min="6" max="6" width="0" style="50" hidden="1" customWidth="1"/>
    <col min="7" max="7" width="15" style="50" customWidth="1"/>
    <col min="8" max="9" width="9.140625" style="44" customWidth="1"/>
    <col min="10" max="10" width="13.140625" style="44" customWidth="1"/>
    <col min="11" max="11" width="13.5703125" style="44" customWidth="1"/>
    <col min="12" max="12" width="9.140625" style="44" customWidth="1"/>
    <col min="13" max="16384" width="9.140625" style="44"/>
  </cols>
  <sheetData>
    <row r="1" spans="2:8" ht="15.75" thickBot="1" x14ac:dyDescent="0.3"/>
    <row r="2" spans="2:8" ht="24" customHeight="1" thickTop="1" x14ac:dyDescent="0.25">
      <c r="B2" s="63" t="s">
        <v>44</v>
      </c>
      <c r="C2" s="64"/>
      <c r="D2" s="61" t="s">
        <v>46</v>
      </c>
      <c r="E2" s="67"/>
      <c r="F2" s="67"/>
      <c r="G2" s="68"/>
    </row>
    <row r="3" spans="2:8" ht="24" customHeight="1" x14ac:dyDescent="0.25">
      <c r="B3" s="65"/>
      <c r="C3" s="66"/>
      <c r="D3" s="62" t="s">
        <v>48</v>
      </c>
      <c r="E3" s="69"/>
      <c r="F3" s="69"/>
      <c r="G3" s="70"/>
    </row>
    <row r="4" spans="2:8" ht="24" customHeight="1" x14ac:dyDescent="0.25">
      <c r="B4" s="65"/>
      <c r="C4" s="66"/>
      <c r="D4" s="62" t="s">
        <v>67</v>
      </c>
      <c r="E4" s="69"/>
      <c r="F4" s="69"/>
      <c r="G4" s="70"/>
    </row>
    <row r="5" spans="2:8" ht="24" customHeight="1" x14ac:dyDescent="0.25">
      <c r="B5" s="65"/>
      <c r="C5" s="66"/>
      <c r="D5" s="62" t="s">
        <v>68</v>
      </c>
      <c r="E5" s="69"/>
      <c r="F5" s="69"/>
      <c r="G5" s="70"/>
    </row>
    <row r="6" spans="2:8" ht="24" customHeight="1" x14ac:dyDescent="0.25">
      <c r="B6" s="65"/>
      <c r="C6" s="66"/>
      <c r="D6" s="62" t="s">
        <v>47</v>
      </c>
      <c r="E6" s="69"/>
      <c r="F6" s="69"/>
      <c r="G6" s="70"/>
    </row>
    <row r="7" spans="2:8" x14ac:dyDescent="0.25">
      <c r="B7" s="53" t="s">
        <v>66</v>
      </c>
      <c r="G7" s="54"/>
    </row>
    <row r="8" spans="2:8" x14ac:dyDescent="0.25">
      <c r="B8" s="53"/>
      <c r="G8" s="54"/>
    </row>
    <row r="9" spans="2:8" x14ac:dyDescent="0.25">
      <c r="B9" s="71" t="s">
        <v>64</v>
      </c>
      <c r="C9" s="72"/>
      <c r="D9" s="72"/>
      <c r="E9" s="72"/>
      <c r="F9" s="72"/>
      <c r="G9" s="73"/>
      <c r="H9" s="43"/>
    </row>
    <row r="10" spans="2:8" ht="15" customHeight="1" x14ac:dyDescent="0.25">
      <c r="B10" s="74" t="s">
        <v>62</v>
      </c>
      <c r="C10" s="75"/>
      <c r="D10" s="75"/>
      <c r="E10" s="75"/>
      <c r="F10" s="75"/>
      <c r="G10" s="76"/>
      <c r="H10" s="43"/>
    </row>
    <row r="11" spans="2:8" ht="15" customHeight="1" x14ac:dyDescent="0.25">
      <c r="B11" s="77" t="s">
        <v>70</v>
      </c>
      <c r="C11" s="78"/>
      <c r="D11" s="78"/>
      <c r="E11" s="78"/>
      <c r="F11" s="78"/>
      <c r="G11" s="79"/>
      <c r="H11" s="43"/>
    </row>
    <row r="12" spans="2:8" ht="15" customHeight="1" x14ac:dyDescent="0.25">
      <c r="B12" s="56" t="s">
        <v>71</v>
      </c>
      <c r="C12" s="57"/>
      <c r="D12" s="58"/>
      <c r="E12" s="58"/>
      <c r="F12" s="58"/>
      <c r="G12" s="59"/>
      <c r="H12" s="43"/>
    </row>
    <row r="13" spans="2:8" x14ac:dyDescent="0.25">
      <c r="B13" s="55"/>
      <c r="C13" s="43"/>
      <c r="D13" s="41"/>
      <c r="E13" s="41"/>
      <c r="F13" s="41"/>
      <c r="G13" s="42"/>
      <c r="H13" s="43"/>
    </row>
    <row r="14" spans="2:8" x14ac:dyDescent="0.25">
      <c r="B14" s="60" t="s">
        <v>45</v>
      </c>
      <c r="C14" s="43"/>
      <c r="D14" s="41"/>
      <c r="E14" s="41"/>
      <c r="F14" s="41"/>
      <c r="G14" s="42"/>
      <c r="H14" s="43"/>
    </row>
    <row r="15" spans="2:8" ht="15.75" x14ac:dyDescent="0.25">
      <c r="B15" s="80" t="s">
        <v>0</v>
      </c>
      <c r="C15" s="81" t="s">
        <v>1</v>
      </c>
      <c r="D15" s="82" t="s">
        <v>43</v>
      </c>
      <c r="E15" s="82"/>
      <c r="F15" s="51"/>
      <c r="G15" s="52"/>
      <c r="H15" s="43"/>
    </row>
    <row r="16" spans="2:8" ht="15.75" x14ac:dyDescent="0.25">
      <c r="B16" s="80"/>
      <c r="C16" s="81"/>
      <c r="D16" s="8" t="s">
        <v>41</v>
      </c>
      <c r="E16" s="8" t="s">
        <v>42</v>
      </c>
      <c r="F16" s="51"/>
      <c r="G16" s="52"/>
      <c r="H16" s="43"/>
    </row>
    <row r="17" spans="2:8" ht="15.75" x14ac:dyDescent="0.25">
      <c r="B17" s="38">
        <v>1</v>
      </c>
      <c r="C17" s="39" t="s">
        <v>5</v>
      </c>
      <c r="D17" s="40"/>
      <c r="E17" s="40">
        <v>1</v>
      </c>
      <c r="F17" s="41"/>
      <c r="G17" s="42"/>
      <c r="H17" s="43"/>
    </row>
    <row r="18" spans="2:8" ht="15.75" x14ac:dyDescent="0.25">
      <c r="B18" s="38">
        <v>2</v>
      </c>
      <c r="C18" s="39" t="s">
        <v>6</v>
      </c>
      <c r="D18" s="40">
        <v>1</v>
      </c>
      <c r="E18" s="40"/>
      <c r="F18" s="41"/>
      <c r="G18" s="42"/>
      <c r="H18" s="43"/>
    </row>
    <row r="19" spans="2:8" ht="15.75" thickBot="1" x14ac:dyDescent="0.3">
      <c r="B19" s="45"/>
      <c r="C19" s="46"/>
      <c r="D19" s="47"/>
      <c r="E19" s="47"/>
      <c r="F19" s="47"/>
      <c r="G19" s="48"/>
      <c r="H19" s="43"/>
    </row>
    <row r="20" spans="2:8" ht="15.75" thickTop="1" x14ac:dyDescent="0.25"/>
  </sheetData>
  <sheetProtection algorithmName="SHA-512" hashValue="ezjFd7cCXqMa7ZOp9yVqdDjMgSQf+3JKilJzmzjwwjDTfAWA6qj7T3dHpU6Y4zCK7rgBxKjwiAJ+OqTjAUQQJQ==" saltValue="2aERvI8VfLoYIhOHV3zFYQ==" spinCount="100000" sheet="1" objects="1" scenarios="1"/>
  <mergeCells count="12">
    <mergeCell ref="B9:G9"/>
    <mergeCell ref="B10:G10"/>
    <mergeCell ref="B11:G11"/>
    <mergeCell ref="B15:B16"/>
    <mergeCell ref="C15:C16"/>
    <mergeCell ref="D15:E15"/>
    <mergeCell ref="B2:C6"/>
    <mergeCell ref="E2:G2"/>
    <mergeCell ref="E3:G3"/>
    <mergeCell ref="E4:G4"/>
    <mergeCell ref="E5:G5"/>
    <mergeCell ref="E6:G6"/>
  </mergeCells>
  <hyperlinks>
    <hyperlink ref="B7" r:id="rId1" xr:uid="{95DCB07C-7093-4200-A1AB-91E3301908C7}"/>
  </hyperlinks>
  <printOptions horizontalCentered="1"/>
  <pageMargins left="0.2" right="0.2" top="0.25" bottom="0.25" header="0.3" footer="0.3"/>
  <pageSetup paperSize="9" scale="90" orientation="portrait" horizontalDpi="4294967293" verticalDpi="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D3449-45D7-43C9-BCA5-C745242AA97C}">
  <dimension ref="B1:N58"/>
  <sheetViews>
    <sheetView zoomScale="85" zoomScaleNormal="85" workbookViewId="0">
      <pane ySplit="22" topLeftCell="A23" activePane="bottomLeft" state="frozen"/>
      <selection pane="bottomLeft" activeCell="G24" sqref="G24"/>
    </sheetView>
  </sheetViews>
  <sheetFormatPr defaultRowHeight="15" x14ac:dyDescent="0.25"/>
  <cols>
    <col min="1" max="1" width="4.140625" style="11" customWidth="1"/>
    <col min="2" max="2" width="4.140625" style="11" bestFit="1" customWidth="1"/>
    <col min="3" max="3" width="66" style="12" customWidth="1"/>
    <col min="4" max="5" width="9.7109375" style="13" customWidth="1"/>
    <col min="6" max="6" width="0" style="13" hidden="1" customWidth="1"/>
    <col min="7" max="7" width="16.28515625" style="13" customWidth="1"/>
    <col min="8" max="10" width="0" style="11" hidden="1" customWidth="1"/>
    <col min="11" max="11" width="13.140625" style="11" hidden="1" customWidth="1"/>
    <col min="12" max="12" width="13.5703125" style="11" hidden="1" customWidth="1"/>
    <col min="13" max="13" width="0" style="11" hidden="1" customWidth="1"/>
    <col min="14" max="16384" width="9.140625" style="11"/>
  </cols>
  <sheetData>
    <row r="1" spans="2:14" x14ac:dyDescent="0.25">
      <c r="D1" s="11"/>
      <c r="E1" s="11"/>
      <c r="F1" s="11"/>
    </row>
    <row r="2" spans="2:14" ht="24" hidden="1" customHeight="1" x14ac:dyDescent="0.25">
      <c r="B2" s="98" t="s">
        <v>44</v>
      </c>
      <c r="C2" s="99"/>
      <c r="D2" s="22" t="s">
        <v>46</v>
      </c>
      <c r="E2" s="93"/>
      <c r="F2" s="93"/>
      <c r="G2" s="93"/>
    </row>
    <row r="3" spans="2:14" ht="24" hidden="1" customHeight="1" x14ac:dyDescent="0.25">
      <c r="B3" s="100"/>
      <c r="C3" s="101"/>
      <c r="D3" s="23" t="s">
        <v>48</v>
      </c>
      <c r="E3" s="92"/>
      <c r="F3" s="92"/>
      <c r="G3" s="92"/>
    </row>
    <row r="4" spans="2:14" ht="24" hidden="1" customHeight="1" x14ac:dyDescent="0.25">
      <c r="B4" s="100"/>
      <c r="C4" s="101"/>
      <c r="D4" s="23" t="s">
        <v>67</v>
      </c>
      <c r="E4" s="92"/>
      <c r="F4" s="92"/>
      <c r="G4" s="92"/>
    </row>
    <row r="5" spans="2:14" ht="24" hidden="1" customHeight="1" x14ac:dyDescent="0.25">
      <c r="B5" s="100"/>
      <c r="C5" s="101"/>
      <c r="D5" s="23" t="s">
        <v>68</v>
      </c>
      <c r="E5" s="92"/>
      <c r="F5" s="92"/>
      <c r="G5" s="92"/>
    </row>
    <row r="6" spans="2:14" ht="24" hidden="1" customHeight="1" x14ac:dyDescent="0.25">
      <c r="B6" s="100"/>
      <c r="C6" s="101"/>
      <c r="D6" s="23" t="s">
        <v>47</v>
      </c>
      <c r="E6" s="92"/>
      <c r="F6" s="92"/>
      <c r="G6" s="92"/>
    </row>
    <row r="7" spans="2:14" hidden="1" x14ac:dyDescent="0.25">
      <c r="B7" s="24" t="s">
        <v>66</v>
      </c>
    </row>
    <row r="8" spans="2:14" hidden="1" x14ac:dyDescent="0.25">
      <c r="B8" s="24"/>
    </row>
    <row r="9" spans="2:14" hidden="1" x14ac:dyDescent="0.25">
      <c r="B9" s="102" t="s">
        <v>64</v>
      </c>
      <c r="C9" s="103"/>
      <c r="D9" s="103"/>
      <c r="E9" s="103"/>
      <c r="F9" s="103"/>
      <c r="G9" s="103"/>
      <c r="H9" s="104"/>
      <c r="I9" s="17"/>
      <c r="N9" s="25"/>
    </row>
    <row r="10" spans="2:14" ht="15" hidden="1" customHeight="1" x14ac:dyDescent="0.25">
      <c r="B10" s="94" t="s">
        <v>62</v>
      </c>
      <c r="C10" s="95"/>
      <c r="D10" s="95"/>
      <c r="E10" s="95"/>
      <c r="F10" s="95"/>
      <c r="G10" s="95"/>
      <c r="H10" s="27"/>
      <c r="I10" s="17"/>
      <c r="N10" s="25"/>
    </row>
    <row r="11" spans="2:14" ht="15" hidden="1" customHeight="1" x14ac:dyDescent="0.25">
      <c r="B11" s="96" t="s">
        <v>63</v>
      </c>
      <c r="C11" s="97"/>
      <c r="D11" s="97"/>
      <c r="E11" s="97"/>
      <c r="F11" s="97"/>
      <c r="G11" s="97"/>
      <c r="H11" s="27"/>
      <c r="I11" s="17"/>
      <c r="N11" s="25"/>
    </row>
    <row r="12" spans="2:14" ht="15" hidden="1" customHeight="1" x14ac:dyDescent="0.25">
      <c r="B12" s="28" t="s">
        <v>49</v>
      </c>
      <c r="C12" s="29"/>
      <c r="D12" s="30"/>
      <c r="E12" s="30"/>
      <c r="F12" s="30"/>
      <c r="G12" s="30"/>
      <c r="H12" s="31"/>
      <c r="I12" s="17"/>
      <c r="N12" s="25"/>
    </row>
    <row r="13" spans="2:14" hidden="1" x14ac:dyDescent="0.25">
      <c r="B13" s="26"/>
      <c r="C13" s="17"/>
      <c r="D13" s="32"/>
      <c r="E13" s="32"/>
      <c r="F13" s="32"/>
      <c r="G13" s="32"/>
      <c r="H13" s="17"/>
      <c r="I13" s="17"/>
    </row>
    <row r="14" spans="2:14" hidden="1" x14ac:dyDescent="0.25">
      <c r="B14" s="33" t="s">
        <v>45</v>
      </c>
      <c r="C14" s="17"/>
      <c r="D14" s="32"/>
      <c r="E14" s="32"/>
      <c r="F14" s="32"/>
      <c r="G14" s="32"/>
      <c r="H14" s="17"/>
      <c r="I14" s="17"/>
    </row>
    <row r="15" spans="2:14" ht="15.75" hidden="1" x14ac:dyDescent="0.25">
      <c r="B15" s="87" t="s">
        <v>0</v>
      </c>
      <c r="C15" s="88" t="s">
        <v>1</v>
      </c>
      <c r="D15" s="87" t="s">
        <v>43</v>
      </c>
      <c r="E15" s="87"/>
      <c r="F15" s="20"/>
      <c r="G15" s="11"/>
      <c r="H15" s="17"/>
      <c r="I15" s="17"/>
    </row>
    <row r="16" spans="2:14" ht="15.75" hidden="1" x14ac:dyDescent="0.25">
      <c r="B16" s="87"/>
      <c r="C16" s="88"/>
      <c r="D16" s="34" t="s">
        <v>41</v>
      </c>
      <c r="E16" s="34" t="s">
        <v>42</v>
      </c>
      <c r="F16" s="20"/>
      <c r="G16" s="11"/>
      <c r="H16" s="17"/>
      <c r="I16" s="17"/>
    </row>
    <row r="17" spans="2:14" ht="15.75" hidden="1" x14ac:dyDescent="0.25">
      <c r="B17" s="35">
        <v>1</v>
      </c>
      <c r="C17" s="36" t="s">
        <v>5</v>
      </c>
      <c r="D17" s="35"/>
      <c r="E17" s="35">
        <v>1</v>
      </c>
      <c r="F17" s="32"/>
      <c r="G17" s="32"/>
      <c r="H17" s="17"/>
      <c r="I17" s="17"/>
    </row>
    <row r="18" spans="2:14" ht="15.75" hidden="1" x14ac:dyDescent="0.25">
      <c r="B18" s="35">
        <v>2</v>
      </c>
      <c r="C18" s="36" t="s">
        <v>6</v>
      </c>
      <c r="D18" s="35">
        <v>1</v>
      </c>
      <c r="E18" s="35"/>
      <c r="F18" s="32"/>
      <c r="G18" s="32"/>
      <c r="H18" s="17"/>
      <c r="I18" s="17"/>
    </row>
    <row r="19" spans="2:14" ht="15.75" hidden="1" thickBot="1" x14ac:dyDescent="0.3">
      <c r="B19" s="37"/>
      <c r="C19" s="37"/>
      <c r="D19" s="32"/>
      <c r="E19" s="32"/>
      <c r="F19" s="32"/>
      <c r="G19" s="32"/>
      <c r="H19" s="17"/>
      <c r="I19" s="17"/>
    </row>
    <row r="20" spans="2:14" ht="15.75" thickBot="1" x14ac:dyDescent="0.3">
      <c r="B20" s="17"/>
      <c r="C20" s="17"/>
      <c r="D20" s="91" t="s">
        <v>66</v>
      </c>
      <c r="E20" s="91"/>
      <c r="F20" s="91"/>
      <c r="G20" s="91"/>
      <c r="H20" s="16"/>
      <c r="I20" s="17"/>
    </row>
    <row r="21" spans="2:14" ht="21" customHeight="1" thickBot="1" x14ac:dyDescent="0.3">
      <c r="B21" s="85" t="s">
        <v>0</v>
      </c>
      <c r="C21" s="83" t="s">
        <v>1</v>
      </c>
      <c r="D21" s="89" t="s">
        <v>43</v>
      </c>
      <c r="E21" s="90"/>
      <c r="F21" s="90"/>
      <c r="G21" s="90"/>
      <c r="H21" s="16"/>
      <c r="I21" s="17"/>
      <c r="N21" s="18"/>
    </row>
    <row r="22" spans="2:14" ht="16.5" thickBot="1" x14ac:dyDescent="0.3">
      <c r="B22" s="86"/>
      <c r="C22" s="84"/>
      <c r="D22" s="1" t="s">
        <v>41</v>
      </c>
      <c r="E22" s="1" t="s">
        <v>42</v>
      </c>
      <c r="F22" s="1"/>
      <c r="G22" s="1" t="s">
        <v>69</v>
      </c>
      <c r="H22" s="19" t="s">
        <v>50</v>
      </c>
      <c r="I22" s="20" t="s">
        <v>51</v>
      </c>
    </row>
    <row r="23" spans="2:14" ht="30" customHeight="1" thickBot="1" x14ac:dyDescent="0.3">
      <c r="B23" s="2">
        <v>1</v>
      </c>
      <c r="C23" s="3" t="s">
        <v>65</v>
      </c>
      <c r="D23" s="7"/>
      <c r="E23" s="7"/>
      <c r="F23" s="4">
        <f>SUM(D23:E23)</f>
        <v>0</v>
      </c>
      <c r="G23" s="5" t="str">
        <f>IF(F23=1,"OK","CEK ULANG")</f>
        <v>CEK ULANG</v>
      </c>
      <c r="H23" s="21" t="s">
        <v>3</v>
      </c>
      <c r="I23" s="15" t="str">
        <f>IF(D23=1,"A","0")</f>
        <v>0</v>
      </c>
      <c r="K23" s="11" t="s">
        <v>2</v>
      </c>
      <c r="L23" s="11">
        <f>COUNTIF($I$23:$I$58,K23)</f>
        <v>0</v>
      </c>
      <c r="M23" s="11">
        <f>COUNTIF($H$23:$H$58,K23)</f>
        <v>12</v>
      </c>
    </row>
    <row r="24" spans="2:14" ht="30" customHeight="1" thickBot="1" x14ac:dyDescent="0.3">
      <c r="B24" s="2">
        <v>2</v>
      </c>
      <c r="C24" s="6" t="s">
        <v>7</v>
      </c>
      <c r="D24" s="7"/>
      <c r="E24" s="7"/>
      <c r="F24" s="4">
        <f t="shared" ref="F24:F58" si="0">SUM(D24:E24)</f>
        <v>0</v>
      </c>
      <c r="G24" s="5" t="str">
        <f t="shared" ref="G24:G58" si="1">IF(F24=1,"OK","CEK ULANG")</f>
        <v>CEK ULANG</v>
      </c>
      <c r="H24" s="14" t="s">
        <v>2</v>
      </c>
      <c r="I24" s="15" t="str">
        <f>IF(D24=1,"V","0")</f>
        <v>0</v>
      </c>
      <c r="K24" s="11" t="s">
        <v>3</v>
      </c>
      <c r="L24" s="11">
        <f t="shared" ref="L24:L25" si="2">COUNTIF($I$23:$I$58,K24)</f>
        <v>0</v>
      </c>
      <c r="M24" s="11">
        <f t="shared" ref="M24:M25" si="3">COUNTIF($H$23:$H$58,K24)</f>
        <v>12</v>
      </c>
    </row>
    <row r="25" spans="2:14" ht="30" customHeight="1" thickBot="1" x14ac:dyDescent="0.3">
      <c r="B25" s="2">
        <v>3</v>
      </c>
      <c r="C25" s="6" t="s">
        <v>8</v>
      </c>
      <c r="D25" s="7"/>
      <c r="E25" s="7"/>
      <c r="F25" s="4">
        <f t="shared" si="0"/>
        <v>0</v>
      </c>
      <c r="G25" s="5" t="str">
        <f t="shared" si="1"/>
        <v>CEK ULANG</v>
      </c>
      <c r="H25" s="14" t="s">
        <v>2</v>
      </c>
      <c r="I25" s="15" t="str">
        <f>IF(D25=1,"V","0")</f>
        <v>0</v>
      </c>
      <c r="K25" s="11" t="s">
        <v>4</v>
      </c>
      <c r="L25" s="11">
        <f t="shared" si="2"/>
        <v>0</v>
      </c>
      <c r="M25" s="11">
        <f t="shared" si="3"/>
        <v>12</v>
      </c>
    </row>
    <row r="26" spans="2:14" ht="30" customHeight="1" thickBot="1" x14ac:dyDescent="0.3">
      <c r="B26" s="2">
        <v>4</v>
      </c>
      <c r="C26" s="6" t="s">
        <v>9</v>
      </c>
      <c r="D26" s="7"/>
      <c r="E26" s="7"/>
      <c r="F26" s="4">
        <f t="shared" si="0"/>
        <v>0</v>
      </c>
      <c r="G26" s="5" t="str">
        <f t="shared" si="1"/>
        <v>CEK ULANG</v>
      </c>
      <c r="H26" s="14" t="s">
        <v>3</v>
      </c>
      <c r="I26" s="15" t="str">
        <f t="shared" ref="I26:I56" si="4">IF(D26=1,"A","0")</f>
        <v>0</v>
      </c>
    </row>
    <row r="27" spans="2:14" ht="30" customHeight="1" thickBot="1" x14ac:dyDescent="0.3">
      <c r="B27" s="2">
        <v>5</v>
      </c>
      <c r="C27" s="6" t="s">
        <v>10</v>
      </c>
      <c r="D27" s="7"/>
      <c r="E27" s="7"/>
      <c r="F27" s="4">
        <f t="shared" si="0"/>
        <v>0</v>
      </c>
      <c r="G27" s="5" t="str">
        <f t="shared" si="1"/>
        <v>CEK ULANG</v>
      </c>
      <c r="H27" s="14" t="s">
        <v>4</v>
      </c>
      <c r="I27" s="15" t="str">
        <f>IF(D27=1,"K","0")</f>
        <v>0</v>
      </c>
    </row>
    <row r="28" spans="2:14" ht="30" customHeight="1" thickBot="1" x14ac:dyDescent="0.3">
      <c r="B28" s="2">
        <v>6</v>
      </c>
      <c r="C28" s="6" t="s">
        <v>11</v>
      </c>
      <c r="D28" s="7"/>
      <c r="E28" s="7"/>
      <c r="F28" s="4">
        <f t="shared" si="0"/>
        <v>0</v>
      </c>
      <c r="G28" s="5" t="str">
        <f t="shared" si="1"/>
        <v>CEK ULANG</v>
      </c>
      <c r="H28" s="14" t="s">
        <v>2</v>
      </c>
      <c r="I28" s="15" t="str">
        <f>IF(D28=1,"V","0")</f>
        <v>0</v>
      </c>
    </row>
    <row r="29" spans="2:14" ht="30" customHeight="1" thickBot="1" x14ac:dyDescent="0.3">
      <c r="B29" s="2">
        <v>7</v>
      </c>
      <c r="C29" s="6" t="s">
        <v>12</v>
      </c>
      <c r="D29" s="7"/>
      <c r="E29" s="7"/>
      <c r="F29" s="4">
        <f t="shared" si="0"/>
        <v>0</v>
      </c>
      <c r="G29" s="5" t="str">
        <f t="shared" si="1"/>
        <v>CEK ULANG</v>
      </c>
      <c r="H29" s="14" t="s">
        <v>2</v>
      </c>
      <c r="I29" s="15" t="str">
        <f>IF(D29=1,"V","0")</f>
        <v>0</v>
      </c>
    </row>
    <row r="30" spans="2:14" ht="30" customHeight="1" thickBot="1" x14ac:dyDescent="0.3">
      <c r="B30" s="2">
        <v>8</v>
      </c>
      <c r="C30" s="6" t="s">
        <v>13</v>
      </c>
      <c r="D30" s="7"/>
      <c r="E30" s="7"/>
      <c r="F30" s="4">
        <f t="shared" si="0"/>
        <v>0</v>
      </c>
      <c r="G30" s="5" t="str">
        <f t="shared" si="1"/>
        <v>CEK ULANG</v>
      </c>
      <c r="H30" s="14" t="s">
        <v>3</v>
      </c>
      <c r="I30" s="15" t="str">
        <f t="shared" si="4"/>
        <v>0</v>
      </c>
    </row>
    <row r="31" spans="2:14" ht="30" customHeight="1" thickBot="1" x14ac:dyDescent="0.3">
      <c r="B31" s="2">
        <v>9</v>
      </c>
      <c r="C31" s="6" t="s">
        <v>14</v>
      </c>
      <c r="D31" s="7"/>
      <c r="E31" s="7"/>
      <c r="F31" s="4">
        <f t="shared" si="0"/>
        <v>0</v>
      </c>
      <c r="G31" s="5" t="str">
        <f t="shared" si="1"/>
        <v>CEK ULANG</v>
      </c>
      <c r="H31" s="14" t="s">
        <v>4</v>
      </c>
      <c r="I31" s="15" t="str">
        <f>IF(D31=1,"K","0")</f>
        <v>0</v>
      </c>
    </row>
    <row r="32" spans="2:14" ht="30" customHeight="1" thickBot="1" x14ac:dyDescent="0.3">
      <c r="B32" s="2">
        <v>10</v>
      </c>
      <c r="C32" s="6" t="s">
        <v>15</v>
      </c>
      <c r="D32" s="7"/>
      <c r="E32" s="7"/>
      <c r="F32" s="4">
        <f t="shared" si="0"/>
        <v>0</v>
      </c>
      <c r="G32" s="5" t="str">
        <f t="shared" si="1"/>
        <v>CEK ULANG</v>
      </c>
      <c r="H32" s="14" t="s">
        <v>4</v>
      </c>
      <c r="I32" s="15" t="str">
        <f>IF(D32=1,"K","0")</f>
        <v>0</v>
      </c>
    </row>
    <row r="33" spans="2:9" ht="30" customHeight="1" thickBot="1" x14ac:dyDescent="0.3">
      <c r="B33" s="2">
        <v>11</v>
      </c>
      <c r="C33" s="6" t="s">
        <v>16</v>
      </c>
      <c r="D33" s="7"/>
      <c r="E33" s="7"/>
      <c r="F33" s="4">
        <f t="shared" si="0"/>
        <v>0</v>
      </c>
      <c r="G33" s="5" t="str">
        <f t="shared" si="1"/>
        <v>CEK ULANG</v>
      </c>
      <c r="H33" s="14" t="s">
        <v>3</v>
      </c>
      <c r="I33" s="15" t="str">
        <f t="shared" si="4"/>
        <v>0</v>
      </c>
    </row>
    <row r="34" spans="2:9" ht="30" customHeight="1" thickBot="1" x14ac:dyDescent="0.3">
      <c r="B34" s="2">
        <v>12</v>
      </c>
      <c r="C34" s="6" t="s">
        <v>17</v>
      </c>
      <c r="D34" s="7"/>
      <c r="E34" s="7"/>
      <c r="F34" s="4">
        <f t="shared" si="0"/>
        <v>0</v>
      </c>
      <c r="G34" s="5" t="str">
        <f t="shared" si="1"/>
        <v>CEK ULANG</v>
      </c>
      <c r="H34" s="14" t="s">
        <v>2</v>
      </c>
      <c r="I34" s="15" t="str">
        <f>IF(D34=1,"V","0")</f>
        <v>0</v>
      </c>
    </row>
    <row r="35" spans="2:9" ht="30" customHeight="1" thickBot="1" x14ac:dyDescent="0.3">
      <c r="B35" s="2">
        <v>13</v>
      </c>
      <c r="C35" s="6" t="s">
        <v>18</v>
      </c>
      <c r="D35" s="7"/>
      <c r="E35" s="7"/>
      <c r="F35" s="4">
        <f t="shared" si="0"/>
        <v>0</v>
      </c>
      <c r="G35" s="5" t="str">
        <f t="shared" si="1"/>
        <v>CEK ULANG</v>
      </c>
      <c r="H35" s="14" t="s">
        <v>4</v>
      </c>
      <c r="I35" s="15" t="str">
        <f>IF(D35=1,"K","0")</f>
        <v>0</v>
      </c>
    </row>
    <row r="36" spans="2:9" ht="30" customHeight="1" thickBot="1" x14ac:dyDescent="0.3">
      <c r="B36" s="2">
        <v>14</v>
      </c>
      <c r="C36" s="6" t="s">
        <v>19</v>
      </c>
      <c r="D36" s="7"/>
      <c r="E36" s="7"/>
      <c r="F36" s="4">
        <f t="shared" si="0"/>
        <v>0</v>
      </c>
      <c r="G36" s="5" t="str">
        <f t="shared" si="1"/>
        <v>CEK ULANG</v>
      </c>
      <c r="H36" s="14" t="s">
        <v>3</v>
      </c>
      <c r="I36" s="15" t="str">
        <f t="shared" si="4"/>
        <v>0</v>
      </c>
    </row>
    <row r="37" spans="2:9" ht="30" customHeight="1" thickBot="1" x14ac:dyDescent="0.3">
      <c r="B37" s="2">
        <v>15</v>
      </c>
      <c r="C37" s="6" t="s">
        <v>20</v>
      </c>
      <c r="D37" s="7"/>
      <c r="E37" s="7"/>
      <c r="F37" s="4">
        <f t="shared" si="0"/>
        <v>0</v>
      </c>
      <c r="G37" s="5" t="str">
        <f t="shared" si="1"/>
        <v>CEK ULANG</v>
      </c>
      <c r="H37" s="14" t="s">
        <v>3</v>
      </c>
      <c r="I37" s="15" t="str">
        <f t="shared" si="4"/>
        <v>0</v>
      </c>
    </row>
    <row r="38" spans="2:9" ht="30" customHeight="1" thickBot="1" x14ac:dyDescent="0.3">
      <c r="B38" s="2">
        <v>16</v>
      </c>
      <c r="C38" s="6" t="s">
        <v>21</v>
      </c>
      <c r="D38" s="7"/>
      <c r="E38" s="7"/>
      <c r="F38" s="4">
        <f t="shared" si="0"/>
        <v>0</v>
      </c>
      <c r="G38" s="5" t="str">
        <f t="shared" si="1"/>
        <v>CEK ULANG</v>
      </c>
      <c r="H38" s="14" t="s">
        <v>3</v>
      </c>
      <c r="I38" s="15" t="str">
        <f t="shared" si="4"/>
        <v>0</v>
      </c>
    </row>
    <row r="39" spans="2:9" ht="30" customHeight="1" thickBot="1" x14ac:dyDescent="0.3">
      <c r="B39" s="2">
        <v>17</v>
      </c>
      <c r="C39" s="6" t="s">
        <v>22</v>
      </c>
      <c r="D39" s="7"/>
      <c r="E39" s="7"/>
      <c r="F39" s="4">
        <f t="shared" si="0"/>
        <v>0</v>
      </c>
      <c r="G39" s="5" t="str">
        <f t="shared" si="1"/>
        <v>CEK ULANG</v>
      </c>
      <c r="H39" s="14" t="s">
        <v>2</v>
      </c>
      <c r="I39" s="15" t="str">
        <f>IF(D39=1,"V","0")</f>
        <v>0</v>
      </c>
    </row>
    <row r="40" spans="2:9" ht="30" customHeight="1" thickBot="1" x14ac:dyDescent="0.3">
      <c r="B40" s="2">
        <v>18</v>
      </c>
      <c r="C40" s="6" t="s">
        <v>23</v>
      </c>
      <c r="D40" s="7"/>
      <c r="E40" s="7"/>
      <c r="F40" s="4">
        <f t="shared" si="0"/>
        <v>0</v>
      </c>
      <c r="G40" s="5" t="str">
        <f t="shared" si="1"/>
        <v>CEK ULANG</v>
      </c>
      <c r="H40" s="14" t="s">
        <v>4</v>
      </c>
      <c r="I40" s="15" t="str">
        <f>IF(D40=1,"K","0")</f>
        <v>0</v>
      </c>
    </row>
    <row r="41" spans="2:9" ht="30" customHeight="1" thickBot="1" x14ac:dyDescent="0.3">
      <c r="B41" s="2">
        <v>19</v>
      </c>
      <c r="C41" s="6" t="s">
        <v>24</v>
      </c>
      <c r="D41" s="7"/>
      <c r="E41" s="7"/>
      <c r="F41" s="4">
        <f t="shared" si="0"/>
        <v>0</v>
      </c>
      <c r="G41" s="5" t="str">
        <f t="shared" si="1"/>
        <v>CEK ULANG</v>
      </c>
      <c r="H41" s="14" t="s">
        <v>2</v>
      </c>
      <c r="I41" s="15" t="str">
        <f>IF(D41=1,"V","0")</f>
        <v>0</v>
      </c>
    </row>
    <row r="42" spans="2:9" ht="30" customHeight="1" thickBot="1" x14ac:dyDescent="0.3">
      <c r="B42" s="2">
        <v>20</v>
      </c>
      <c r="C42" s="6" t="s">
        <v>25</v>
      </c>
      <c r="D42" s="7"/>
      <c r="E42" s="7"/>
      <c r="F42" s="4">
        <f t="shared" si="0"/>
        <v>0</v>
      </c>
      <c r="G42" s="5" t="str">
        <f t="shared" si="1"/>
        <v>CEK ULANG</v>
      </c>
      <c r="H42" s="14" t="s">
        <v>3</v>
      </c>
      <c r="I42" s="15" t="str">
        <f t="shared" si="4"/>
        <v>0</v>
      </c>
    </row>
    <row r="43" spans="2:9" ht="30" customHeight="1" thickBot="1" x14ac:dyDescent="0.3">
      <c r="B43" s="2">
        <v>21</v>
      </c>
      <c r="C43" s="6" t="s">
        <v>26</v>
      </c>
      <c r="D43" s="7"/>
      <c r="E43" s="7"/>
      <c r="F43" s="4">
        <f t="shared" si="0"/>
        <v>0</v>
      </c>
      <c r="G43" s="5" t="str">
        <f t="shared" si="1"/>
        <v>CEK ULANG</v>
      </c>
      <c r="H43" s="14" t="s">
        <v>4</v>
      </c>
      <c r="I43" s="15" t="str">
        <f>IF(D43=1,"K","0")</f>
        <v>0</v>
      </c>
    </row>
    <row r="44" spans="2:9" ht="30" customHeight="1" thickBot="1" x14ac:dyDescent="0.3">
      <c r="B44" s="2">
        <v>22</v>
      </c>
      <c r="C44" s="6" t="s">
        <v>27</v>
      </c>
      <c r="D44" s="7"/>
      <c r="E44" s="7"/>
      <c r="F44" s="4">
        <f t="shared" si="0"/>
        <v>0</v>
      </c>
      <c r="G44" s="5" t="str">
        <f t="shared" si="1"/>
        <v>CEK ULANG</v>
      </c>
      <c r="H44" s="14" t="s">
        <v>3</v>
      </c>
      <c r="I44" s="15" t="str">
        <f t="shared" si="4"/>
        <v>0</v>
      </c>
    </row>
    <row r="45" spans="2:9" ht="30" customHeight="1" thickBot="1" x14ac:dyDescent="0.3">
      <c r="B45" s="2">
        <v>23</v>
      </c>
      <c r="C45" s="6" t="s">
        <v>28</v>
      </c>
      <c r="D45" s="7"/>
      <c r="E45" s="7"/>
      <c r="F45" s="4">
        <f t="shared" si="0"/>
        <v>0</v>
      </c>
      <c r="G45" s="5" t="str">
        <f t="shared" si="1"/>
        <v>CEK ULANG</v>
      </c>
      <c r="H45" s="14" t="s">
        <v>2</v>
      </c>
      <c r="I45" s="15" t="str">
        <f>IF(D45=1,"V","0")</f>
        <v>0</v>
      </c>
    </row>
    <row r="46" spans="2:9" ht="30" customHeight="1" thickBot="1" x14ac:dyDescent="0.3">
      <c r="B46" s="2">
        <v>24</v>
      </c>
      <c r="C46" s="6" t="s">
        <v>29</v>
      </c>
      <c r="D46" s="7"/>
      <c r="E46" s="7"/>
      <c r="F46" s="4">
        <f t="shared" si="0"/>
        <v>0</v>
      </c>
      <c r="G46" s="5" t="str">
        <f t="shared" si="1"/>
        <v>CEK ULANG</v>
      </c>
      <c r="H46" s="14" t="s">
        <v>4</v>
      </c>
      <c r="I46" s="15" t="str">
        <f>IF(D46=1,"K","0")</f>
        <v>0</v>
      </c>
    </row>
    <row r="47" spans="2:9" ht="30" customHeight="1" thickBot="1" x14ac:dyDescent="0.3">
      <c r="B47" s="2">
        <v>25</v>
      </c>
      <c r="C47" s="6" t="s">
        <v>30</v>
      </c>
      <c r="D47" s="7"/>
      <c r="E47" s="7"/>
      <c r="F47" s="4">
        <f t="shared" si="0"/>
        <v>0</v>
      </c>
      <c r="G47" s="5" t="str">
        <f t="shared" si="1"/>
        <v>CEK ULANG</v>
      </c>
      <c r="H47" s="14" t="s">
        <v>2</v>
      </c>
      <c r="I47" s="15" t="str">
        <f>IF(D47=1,"V","0")</f>
        <v>0</v>
      </c>
    </row>
    <row r="48" spans="2:9" ht="30" customHeight="1" thickBot="1" x14ac:dyDescent="0.3">
      <c r="B48" s="2">
        <v>26</v>
      </c>
      <c r="C48" s="6" t="s">
        <v>31</v>
      </c>
      <c r="D48" s="7"/>
      <c r="E48" s="7"/>
      <c r="F48" s="4">
        <f t="shared" si="0"/>
        <v>0</v>
      </c>
      <c r="G48" s="5" t="str">
        <f t="shared" si="1"/>
        <v>CEK ULANG</v>
      </c>
      <c r="H48" s="14" t="s">
        <v>4</v>
      </c>
      <c r="I48" s="15" t="str">
        <f>IF(D48=1,"K","0")</f>
        <v>0</v>
      </c>
    </row>
    <row r="49" spans="2:9" ht="30" customHeight="1" thickBot="1" x14ac:dyDescent="0.3">
      <c r="B49" s="2">
        <v>27</v>
      </c>
      <c r="C49" s="6" t="s">
        <v>6</v>
      </c>
      <c r="D49" s="7"/>
      <c r="E49" s="7"/>
      <c r="F49" s="4">
        <f t="shared" si="0"/>
        <v>0</v>
      </c>
      <c r="G49" s="5" t="str">
        <f t="shared" si="1"/>
        <v>CEK ULANG</v>
      </c>
      <c r="H49" s="14" t="s">
        <v>3</v>
      </c>
      <c r="I49" s="15" t="str">
        <f t="shared" si="4"/>
        <v>0</v>
      </c>
    </row>
    <row r="50" spans="2:9" ht="30" customHeight="1" thickBot="1" x14ac:dyDescent="0.3">
      <c r="B50" s="2">
        <v>28</v>
      </c>
      <c r="C50" s="6" t="s">
        <v>32</v>
      </c>
      <c r="D50" s="7"/>
      <c r="E50" s="7"/>
      <c r="F50" s="4">
        <f t="shared" si="0"/>
        <v>0</v>
      </c>
      <c r="G50" s="5" t="str">
        <f t="shared" si="1"/>
        <v>CEK ULANG</v>
      </c>
      <c r="H50" s="14" t="s">
        <v>4</v>
      </c>
      <c r="I50" s="15" t="str">
        <f>IF(D50=1,"K","0")</f>
        <v>0</v>
      </c>
    </row>
    <row r="51" spans="2:9" ht="30" customHeight="1" thickBot="1" x14ac:dyDescent="0.3">
      <c r="B51" s="2">
        <v>29</v>
      </c>
      <c r="C51" s="6" t="s">
        <v>33</v>
      </c>
      <c r="D51" s="7"/>
      <c r="E51" s="7"/>
      <c r="F51" s="4">
        <f t="shared" si="0"/>
        <v>0</v>
      </c>
      <c r="G51" s="5" t="str">
        <f t="shared" si="1"/>
        <v>CEK ULANG</v>
      </c>
      <c r="H51" s="14" t="s">
        <v>4</v>
      </c>
      <c r="I51" s="15" t="str">
        <f>IF(D51=1,"K","0")</f>
        <v>0</v>
      </c>
    </row>
    <row r="52" spans="2:9" ht="30" customHeight="1" thickBot="1" x14ac:dyDescent="0.3">
      <c r="B52" s="2">
        <v>30</v>
      </c>
      <c r="C52" s="6" t="s">
        <v>34</v>
      </c>
      <c r="D52" s="7"/>
      <c r="E52" s="7"/>
      <c r="F52" s="4">
        <f t="shared" si="0"/>
        <v>0</v>
      </c>
      <c r="G52" s="5" t="str">
        <f t="shared" si="1"/>
        <v>CEK ULANG</v>
      </c>
      <c r="H52" s="14" t="s">
        <v>2</v>
      </c>
      <c r="I52" s="15" t="str">
        <f t="shared" ref="I52:I55" si="5">IF(D52=1,"V","0")</f>
        <v>0</v>
      </c>
    </row>
    <row r="53" spans="2:9" ht="30" customHeight="1" thickBot="1" x14ac:dyDescent="0.3">
      <c r="B53" s="2">
        <v>31</v>
      </c>
      <c r="C53" s="6" t="s">
        <v>35</v>
      </c>
      <c r="D53" s="7"/>
      <c r="E53" s="7"/>
      <c r="F53" s="4">
        <f t="shared" si="0"/>
        <v>0</v>
      </c>
      <c r="G53" s="5" t="str">
        <f t="shared" si="1"/>
        <v>CEK ULANG</v>
      </c>
      <c r="H53" s="14" t="s">
        <v>2</v>
      </c>
      <c r="I53" s="15" t="str">
        <f t="shared" si="5"/>
        <v>0</v>
      </c>
    </row>
    <row r="54" spans="2:9" ht="30" customHeight="1" thickBot="1" x14ac:dyDescent="0.3">
      <c r="B54" s="2">
        <v>32</v>
      </c>
      <c r="C54" s="6" t="s">
        <v>36</v>
      </c>
      <c r="D54" s="7"/>
      <c r="E54" s="7"/>
      <c r="F54" s="4">
        <f t="shared" si="0"/>
        <v>0</v>
      </c>
      <c r="G54" s="5" t="str">
        <f t="shared" si="1"/>
        <v>CEK ULANG</v>
      </c>
      <c r="H54" s="14" t="s">
        <v>3</v>
      </c>
      <c r="I54" s="15" t="str">
        <f t="shared" si="4"/>
        <v>0</v>
      </c>
    </row>
    <row r="55" spans="2:9" ht="30" customHeight="1" thickBot="1" x14ac:dyDescent="0.3">
      <c r="B55" s="2">
        <v>33</v>
      </c>
      <c r="C55" s="6" t="s">
        <v>37</v>
      </c>
      <c r="D55" s="7"/>
      <c r="E55" s="7"/>
      <c r="F55" s="4">
        <f t="shared" si="0"/>
        <v>0</v>
      </c>
      <c r="G55" s="5" t="str">
        <f t="shared" si="1"/>
        <v>CEK ULANG</v>
      </c>
      <c r="H55" s="14" t="s">
        <v>2</v>
      </c>
      <c r="I55" s="15" t="str">
        <f t="shared" si="5"/>
        <v>0</v>
      </c>
    </row>
    <row r="56" spans="2:9" ht="30" customHeight="1" thickBot="1" x14ac:dyDescent="0.3">
      <c r="B56" s="2">
        <v>34</v>
      </c>
      <c r="C56" s="6" t="s">
        <v>38</v>
      </c>
      <c r="D56" s="7"/>
      <c r="E56" s="7"/>
      <c r="F56" s="4">
        <f t="shared" si="0"/>
        <v>0</v>
      </c>
      <c r="G56" s="5" t="str">
        <f t="shared" si="1"/>
        <v>CEK ULANG</v>
      </c>
      <c r="H56" s="14" t="s">
        <v>3</v>
      </c>
      <c r="I56" s="15" t="str">
        <f t="shared" si="4"/>
        <v>0</v>
      </c>
    </row>
    <row r="57" spans="2:9" ht="30" customHeight="1" thickBot="1" x14ac:dyDescent="0.3">
      <c r="B57" s="2">
        <v>35</v>
      </c>
      <c r="C57" s="6" t="s">
        <v>39</v>
      </c>
      <c r="D57" s="7"/>
      <c r="E57" s="7"/>
      <c r="F57" s="4">
        <f t="shared" si="0"/>
        <v>0</v>
      </c>
      <c r="G57" s="5" t="str">
        <f t="shared" si="1"/>
        <v>CEK ULANG</v>
      </c>
      <c r="H57" s="14" t="s">
        <v>4</v>
      </c>
      <c r="I57" s="15" t="str">
        <f t="shared" ref="I57:I58" si="6">IF(D57=1,"K","0")</f>
        <v>0</v>
      </c>
    </row>
    <row r="58" spans="2:9" ht="30" customHeight="1" thickBot="1" x14ac:dyDescent="0.3">
      <c r="B58" s="2">
        <v>36</v>
      </c>
      <c r="C58" s="6" t="s">
        <v>40</v>
      </c>
      <c r="D58" s="7"/>
      <c r="E58" s="7"/>
      <c r="F58" s="4">
        <f t="shared" si="0"/>
        <v>0</v>
      </c>
      <c r="G58" s="5" t="str">
        <f t="shared" si="1"/>
        <v>CEK ULANG</v>
      </c>
      <c r="H58" s="14" t="s">
        <v>4</v>
      </c>
      <c r="I58" s="15" t="str">
        <f t="shared" si="6"/>
        <v>0</v>
      </c>
    </row>
  </sheetData>
  <sheetProtection algorithmName="SHA-512" hashValue="GesvZ3/4O0uyMfSvr71YPwj4MGP7idv0wfKcjQ/f9ALEp7pUhsG4QY/7Xq3q40scE1a3GRnNa2u6KSfWh+LLBQ==" saltValue="av/PY0nreWgIplQT8jmtmg==" spinCount="100000" sheet="1" objects="1" scenarios="1"/>
  <mergeCells count="16">
    <mergeCell ref="E4:G4"/>
    <mergeCell ref="E3:G3"/>
    <mergeCell ref="E2:G2"/>
    <mergeCell ref="B10:G10"/>
    <mergeCell ref="B11:G11"/>
    <mergeCell ref="E5:G5"/>
    <mergeCell ref="E6:G6"/>
    <mergeCell ref="B2:C6"/>
    <mergeCell ref="B9:H9"/>
    <mergeCell ref="C21:C22"/>
    <mergeCell ref="B21:B22"/>
    <mergeCell ref="B15:B16"/>
    <mergeCell ref="C15:C16"/>
    <mergeCell ref="D15:E15"/>
    <mergeCell ref="D21:G21"/>
    <mergeCell ref="D20:G20"/>
  </mergeCells>
  <conditionalFormatting sqref="G23:G58">
    <cfRule type="containsText" dxfId="0" priority="1" operator="containsText" text="CEK ULANG">
      <formula>NOT(ISERROR(SEARCH("CEK ULANG",G23)))</formula>
    </cfRule>
  </conditionalFormatting>
  <dataValidations count="1">
    <dataValidation type="list" allowBlank="1" showInputMessage="1" showErrorMessage="1" sqref="D23:E58" xr:uid="{B3F8CCCB-5554-40F2-A697-7BD9761ABD45}">
      <formula1>$D$18</formula1>
    </dataValidation>
  </dataValidations>
  <hyperlinks>
    <hyperlink ref="B7" r:id="rId1" display="mailto:rvra.consultant@gmail.com" xr:uid="{3E23B6E4-2981-4087-B3CB-B9452CF4FCF2}"/>
    <hyperlink ref="D20" r:id="rId2" xr:uid="{54A1E8D1-C3CE-4BFA-8876-F60C6FA0B671}"/>
  </hyperlinks>
  <printOptions horizontalCentered="1"/>
  <pageMargins left="0.2" right="0.2" top="0.25" bottom="0.25" header="0.3" footer="0.3"/>
  <pageSetup paperSize="9" scale="90" orientation="portrait" horizontalDpi="4294967293" verticalDpi="0"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9E060-8508-40AD-9E28-8A315670FD7D}">
  <dimension ref="B2:O46"/>
  <sheetViews>
    <sheetView zoomScale="85" zoomScaleNormal="85" workbookViewId="0">
      <pane ySplit="12" topLeftCell="A13" activePane="bottomLeft" state="frozen"/>
      <selection pane="bottomLeft" activeCell="R6" sqref="R6"/>
    </sheetView>
  </sheetViews>
  <sheetFormatPr defaultRowHeight="14.25" x14ac:dyDescent="0.2"/>
  <cols>
    <col min="1" max="1" width="4.28515625" style="9" customWidth="1"/>
    <col min="2" max="2" width="14.5703125" style="9" customWidth="1"/>
    <col min="3" max="16384" width="9.140625" style="9"/>
  </cols>
  <sheetData>
    <row r="2" spans="2:15" ht="24" x14ac:dyDescent="0.35">
      <c r="B2" s="105" t="s">
        <v>52</v>
      </c>
      <c r="C2" s="106"/>
      <c r="D2" s="106"/>
      <c r="E2" s="106"/>
      <c r="F2" s="106"/>
      <c r="G2" s="106"/>
      <c r="H2" s="106"/>
      <c r="I2" s="106"/>
      <c r="J2" s="106"/>
      <c r="K2" s="106"/>
      <c r="L2" s="106"/>
      <c r="M2" s="106"/>
      <c r="N2" s="106"/>
      <c r="O2" s="107"/>
    </row>
    <row r="3" spans="2:15" ht="24" x14ac:dyDescent="0.35">
      <c r="B3" s="108" t="s">
        <v>44</v>
      </c>
      <c r="C3" s="109"/>
      <c r="D3" s="109"/>
      <c r="E3" s="109"/>
      <c r="F3" s="109"/>
      <c r="G3" s="109"/>
      <c r="H3" s="109"/>
      <c r="I3" s="109"/>
      <c r="J3" s="109"/>
      <c r="K3" s="109"/>
      <c r="L3" s="109"/>
      <c r="M3" s="109"/>
      <c r="N3" s="109"/>
      <c r="O3" s="110"/>
    </row>
    <row r="4" spans="2:15" ht="15" x14ac:dyDescent="0.2">
      <c r="L4" s="123" t="s">
        <v>66</v>
      </c>
      <c r="M4" s="123"/>
      <c r="N4" s="123"/>
      <c r="O4" s="123"/>
    </row>
    <row r="5" spans="2:15" x14ac:dyDescent="0.2">
      <c r="B5" s="10" t="str">
        <f>'Instruksi &amp; Isi Data'!D2</f>
        <v>Nama</v>
      </c>
      <c r="C5" s="111">
        <f>'Instruksi &amp; Isi Data'!E2</f>
        <v>0</v>
      </c>
      <c r="D5" s="111"/>
      <c r="E5" s="111"/>
    </row>
    <row r="6" spans="2:15" x14ac:dyDescent="0.2">
      <c r="B6" s="10" t="str">
        <f>'Instruksi &amp; Isi Data'!D3</f>
        <v>Usia</v>
      </c>
      <c r="C6" s="111">
        <f>'Instruksi &amp; Isi Data'!E3</f>
        <v>0</v>
      </c>
      <c r="D6" s="111"/>
      <c r="E6" s="111"/>
    </row>
    <row r="7" spans="2:15" x14ac:dyDescent="0.2">
      <c r="B7" s="10" t="str">
        <f>'Instruksi &amp; Isi Data'!D4</f>
        <v>Pendidikan</v>
      </c>
      <c r="C7" s="111">
        <f>'Instruksi &amp; Isi Data'!E4</f>
        <v>0</v>
      </c>
      <c r="D7" s="111"/>
      <c r="E7" s="111"/>
    </row>
    <row r="8" spans="2:15" x14ac:dyDescent="0.2">
      <c r="B8" s="10" t="str">
        <f>'Instruksi &amp; Isi Data'!D5</f>
        <v>Jenis kelamin</v>
      </c>
      <c r="C8" s="111">
        <f>'Instruksi &amp; Isi Data'!E5</f>
        <v>0</v>
      </c>
      <c r="D8" s="111"/>
      <c r="E8" s="111"/>
    </row>
    <row r="9" spans="2:15" x14ac:dyDescent="0.2">
      <c r="B9" s="10" t="str">
        <f>'Instruksi &amp; Isi Data'!D6</f>
        <v>Tanggal</v>
      </c>
      <c r="C9" s="111">
        <f>'Instruksi &amp; Isi Data'!E6</f>
        <v>0</v>
      </c>
      <c r="D9" s="111"/>
      <c r="E9" s="111"/>
    </row>
    <row r="11" spans="2:15" x14ac:dyDescent="0.2">
      <c r="B11" s="119" t="s">
        <v>61</v>
      </c>
      <c r="C11" s="113" t="s">
        <v>57</v>
      </c>
      <c r="D11" s="117"/>
      <c r="E11" s="117"/>
      <c r="F11" s="117"/>
      <c r="G11" s="117"/>
      <c r="H11" s="117"/>
      <c r="I11" s="117"/>
      <c r="J11" s="117"/>
      <c r="K11" s="117"/>
      <c r="L11" s="117"/>
      <c r="M11" s="114"/>
      <c r="N11" s="113" t="s">
        <v>55</v>
      </c>
      <c r="O11" s="114"/>
    </row>
    <row r="12" spans="2:15" x14ac:dyDescent="0.2">
      <c r="B12" s="120"/>
      <c r="C12" s="115"/>
      <c r="D12" s="118"/>
      <c r="E12" s="118"/>
      <c r="F12" s="118"/>
      <c r="G12" s="118"/>
      <c r="H12" s="118"/>
      <c r="I12" s="118"/>
      <c r="J12" s="118"/>
      <c r="K12" s="118"/>
      <c r="L12" s="118"/>
      <c r="M12" s="116"/>
      <c r="N12" s="115"/>
      <c r="O12" s="116"/>
    </row>
    <row r="13" spans="2:15" x14ac:dyDescent="0.2">
      <c r="B13" s="122" t="s">
        <v>53</v>
      </c>
      <c r="C13" s="121" t="s">
        <v>58</v>
      </c>
      <c r="D13" s="121"/>
      <c r="E13" s="121"/>
      <c r="F13" s="121"/>
      <c r="G13" s="121"/>
      <c r="H13" s="121"/>
      <c r="I13" s="121"/>
      <c r="J13" s="121"/>
      <c r="K13" s="121"/>
      <c r="L13" s="121"/>
      <c r="M13" s="121"/>
      <c r="N13" s="112">
        <f>'Lembar Soal &amp; Jawaban'!L23</f>
        <v>0</v>
      </c>
      <c r="O13" s="112"/>
    </row>
    <row r="14" spans="2:15" x14ac:dyDescent="0.2">
      <c r="B14" s="122"/>
      <c r="C14" s="121"/>
      <c r="D14" s="121"/>
      <c r="E14" s="121"/>
      <c r="F14" s="121"/>
      <c r="G14" s="121"/>
      <c r="H14" s="121"/>
      <c r="I14" s="121"/>
      <c r="J14" s="121"/>
      <c r="K14" s="121"/>
      <c r="L14" s="121"/>
      <c r="M14" s="121"/>
      <c r="N14" s="112"/>
      <c r="O14" s="112"/>
    </row>
    <row r="15" spans="2:15" x14ac:dyDescent="0.2">
      <c r="B15" s="122"/>
      <c r="C15" s="121"/>
      <c r="D15" s="121"/>
      <c r="E15" s="121"/>
      <c r="F15" s="121"/>
      <c r="G15" s="121"/>
      <c r="H15" s="121"/>
      <c r="I15" s="121"/>
      <c r="J15" s="121"/>
      <c r="K15" s="121"/>
      <c r="L15" s="121"/>
      <c r="M15" s="121"/>
      <c r="N15" s="112"/>
      <c r="O15" s="112"/>
    </row>
    <row r="16" spans="2:15" x14ac:dyDescent="0.2">
      <c r="B16" s="122"/>
      <c r="C16" s="121"/>
      <c r="D16" s="121"/>
      <c r="E16" s="121"/>
      <c r="F16" s="121"/>
      <c r="G16" s="121"/>
      <c r="H16" s="121"/>
      <c r="I16" s="121"/>
      <c r="J16" s="121"/>
      <c r="K16" s="121"/>
      <c r="L16" s="121"/>
      <c r="M16" s="121"/>
      <c r="N16" s="112"/>
      <c r="O16" s="112"/>
    </row>
    <row r="17" spans="2:15" x14ac:dyDescent="0.2">
      <c r="B17" s="122"/>
      <c r="C17" s="121"/>
      <c r="D17" s="121"/>
      <c r="E17" s="121"/>
      <c r="F17" s="121"/>
      <c r="G17" s="121"/>
      <c r="H17" s="121"/>
      <c r="I17" s="121"/>
      <c r="J17" s="121"/>
      <c r="K17" s="121"/>
      <c r="L17" s="121"/>
      <c r="M17" s="121"/>
      <c r="N17" s="112"/>
      <c r="O17" s="112"/>
    </row>
    <row r="18" spans="2:15" x14ac:dyDescent="0.2">
      <c r="B18" s="122"/>
      <c r="C18" s="121"/>
      <c r="D18" s="121"/>
      <c r="E18" s="121"/>
      <c r="F18" s="121"/>
      <c r="G18" s="121"/>
      <c r="H18" s="121"/>
      <c r="I18" s="121"/>
      <c r="J18" s="121"/>
      <c r="K18" s="121"/>
      <c r="L18" s="121"/>
      <c r="M18" s="121"/>
      <c r="N18" s="112"/>
      <c r="O18" s="112"/>
    </row>
    <row r="19" spans="2:15" x14ac:dyDescent="0.2">
      <c r="B19" s="122"/>
      <c r="C19" s="121"/>
      <c r="D19" s="121"/>
      <c r="E19" s="121"/>
      <c r="F19" s="121"/>
      <c r="G19" s="121"/>
      <c r="H19" s="121"/>
      <c r="I19" s="121"/>
      <c r="J19" s="121"/>
      <c r="K19" s="121"/>
      <c r="L19" s="121"/>
      <c r="M19" s="121"/>
      <c r="N19" s="112"/>
      <c r="O19" s="112"/>
    </row>
    <row r="20" spans="2:15" x14ac:dyDescent="0.2">
      <c r="B20" s="122"/>
      <c r="C20" s="121"/>
      <c r="D20" s="121"/>
      <c r="E20" s="121"/>
      <c r="F20" s="121"/>
      <c r="G20" s="121"/>
      <c r="H20" s="121"/>
      <c r="I20" s="121"/>
      <c r="J20" s="121"/>
      <c r="K20" s="121"/>
      <c r="L20" s="121"/>
      <c r="M20" s="121"/>
      <c r="N20" s="112"/>
      <c r="O20" s="112"/>
    </row>
    <row r="21" spans="2:15" x14ac:dyDescent="0.2">
      <c r="B21" s="122"/>
      <c r="C21" s="121"/>
      <c r="D21" s="121"/>
      <c r="E21" s="121"/>
      <c r="F21" s="121"/>
      <c r="G21" s="121"/>
      <c r="H21" s="121"/>
      <c r="I21" s="121"/>
      <c r="J21" s="121"/>
      <c r="K21" s="121"/>
      <c r="L21" s="121"/>
      <c r="M21" s="121"/>
      <c r="N21" s="112"/>
      <c r="O21" s="112"/>
    </row>
    <row r="22" spans="2:15" x14ac:dyDescent="0.2">
      <c r="B22" s="122"/>
      <c r="C22" s="121"/>
      <c r="D22" s="121"/>
      <c r="E22" s="121"/>
      <c r="F22" s="121"/>
      <c r="G22" s="121"/>
      <c r="H22" s="121"/>
      <c r="I22" s="121"/>
      <c r="J22" s="121"/>
      <c r="K22" s="121"/>
      <c r="L22" s="121"/>
      <c r="M22" s="121"/>
      <c r="N22" s="112"/>
      <c r="O22" s="112"/>
    </row>
    <row r="23" spans="2:15" x14ac:dyDescent="0.2">
      <c r="B23" s="122"/>
      <c r="C23" s="121"/>
      <c r="D23" s="121"/>
      <c r="E23" s="121"/>
      <c r="F23" s="121"/>
      <c r="G23" s="121"/>
      <c r="H23" s="121"/>
      <c r="I23" s="121"/>
      <c r="J23" s="121"/>
      <c r="K23" s="121"/>
      <c r="L23" s="121"/>
      <c r="M23" s="121"/>
      <c r="N23" s="112"/>
      <c r="O23" s="112"/>
    </row>
    <row r="24" spans="2:15" x14ac:dyDescent="0.2">
      <c r="B24" s="122"/>
      <c r="C24" s="121"/>
      <c r="D24" s="121"/>
      <c r="E24" s="121"/>
      <c r="F24" s="121"/>
      <c r="G24" s="121"/>
      <c r="H24" s="121"/>
      <c r="I24" s="121"/>
      <c r="J24" s="121"/>
      <c r="K24" s="121"/>
      <c r="L24" s="121"/>
      <c r="M24" s="121"/>
      <c r="N24" s="112"/>
      <c r="O24" s="112"/>
    </row>
    <row r="25" spans="2:15" x14ac:dyDescent="0.2">
      <c r="B25" s="122" t="s">
        <v>56</v>
      </c>
      <c r="C25" s="121" t="s">
        <v>59</v>
      </c>
      <c r="D25" s="121"/>
      <c r="E25" s="121"/>
      <c r="F25" s="121"/>
      <c r="G25" s="121"/>
      <c r="H25" s="121"/>
      <c r="I25" s="121"/>
      <c r="J25" s="121"/>
      <c r="K25" s="121"/>
      <c r="L25" s="121"/>
      <c r="M25" s="121"/>
      <c r="N25" s="112">
        <f>'Lembar Soal &amp; Jawaban'!L24</f>
        <v>0</v>
      </c>
      <c r="O25" s="112"/>
    </row>
    <row r="26" spans="2:15" x14ac:dyDescent="0.2">
      <c r="B26" s="122"/>
      <c r="C26" s="121"/>
      <c r="D26" s="121"/>
      <c r="E26" s="121"/>
      <c r="F26" s="121"/>
      <c r="G26" s="121"/>
      <c r="H26" s="121"/>
      <c r="I26" s="121"/>
      <c r="J26" s="121"/>
      <c r="K26" s="121"/>
      <c r="L26" s="121"/>
      <c r="M26" s="121"/>
      <c r="N26" s="112"/>
      <c r="O26" s="112"/>
    </row>
    <row r="27" spans="2:15" x14ac:dyDescent="0.2">
      <c r="B27" s="122"/>
      <c r="C27" s="121"/>
      <c r="D27" s="121"/>
      <c r="E27" s="121"/>
      <c r="F27" s="121"/>
      <c r="G27" s="121"/>
      <c r="H27" s="121"/>
      <c r="I27" s="121"/>
      <c r="J27" s="121"/>
      <c r="K27" s="121"/>
      <c r="L27" s="121"/>
      <c r="M27" s="121"/>
      <c r="N27" s="112"/>
      <c r="O27" s="112"/>
    </row>
    <row r="28" spans="2:15" x14ac:dyDescent="0.2">
      <c r="B28" s="122"/>
      <c r="C28" s="121"/>
      <c r="D28" s="121"/>
      <c r="E28" s="121"/>
      <c r="F28" s="121"/>
      <c r="G28" s="121"/>
      <c r="H28" s="121"/>
      <c r="I28" s="121"/>
      <c r="J28" s="121"/>
      <c r="K28" s="121"/>
      <c r="L28" s="121"/>
      <c r="M28" s="121"/>
      <c r="N28" s="112"/>
      <c r="O28" s="112"/>
    </row>
    <row r="29" spans="2:15" x14ac:dyDescent="0.2">
      <c r="B29" s="122"/>
      <c r="C29" s="121"/>
      <c r="D29" s="121"/>
      <c r="E29" s="121"/>
      <c r="F29" s="121"/>
      <c r="G29" s="121"/>
      <c r="H29" s="121"/>
      <c r="I29" s="121"/>
      <c r="J29" s="121"/>
      <c r="K29" s="121"/>
      <c r="L29" s="121"/>
      <c r="M29" s="121"/>
      <c r="N29" s="112"/>
      <c r="O29" s="112"/>
    </row>
    <row r="30" spans="2:15" x14ac:dyDescent="0.2">
      <c r="B30" s="122"/>
      <c r="C30" s="121"/>
      <c r="D30" s="121"/>
      <c r="E30" s="121"/>
      <c r="F30" s="121"/>
      <c r="G30" s="121"/>
      <c r="H30" s="121"/>
      <c r="I30" s="121"/>
      <c r="J30" s="121"/>
      <c r="K30" s="121"/>
      <c r="L30" s="121"/>
      <c r="M30" s="121"/>
      <c r="N30" s="112"/>
      <c r="O30" s="112"/>
    </row>
    <row r="31" spans="2:15" x14ac:dyDescent="0.2">
      <c r="B31" s="122"/>
      <c r="C31" s="121"/>
      <c r="D31" s="121"/>
      <c r="E31" s="121"/>
      <c r="F31" s="121"/>
      <c r="G31" s="121"/>
      <c r="H31" s="121"/>
      <c r="I31" s="121"/>
      <c r="J31" s="121"/>
      <c r="K31" s="121"/>
      <c r="L31" s="121"/>
      <c r="M31" s="121"/>
      <c r="N31" s="112"/>
      <c r="O31" s="112"/>
    </row>
    <row r="32" spans="2:15" x14ac:dyDescent="0.2">
      <c r="B32" s="122"/>
      <c r="C32" s="121"/>
      <c r="D32" s="121"/>
      <c r="E32" s="121"/>
      <c r="F32" s="121"/>
      <c r="G32" s="121"/>
      <c r="H32" s="121"/>
      <c r="I32" s="121"/>
      <c r="J32" s="121"/>
      <c r="K32" s="121"/>
      <c r="L32" s="121"/>
      <c r="M32" s="121"/>
      <c r="N32" s="112"/>
      <c r="O32" s="112"/>
    </row>
    <row r="33" spans="2:15" x14ac:dyDescent="0.2">
      <c r="B33" s="122"/>
      <c r="C33" s="121"/>
      <c r="D33" s="121"/>
      <c r="E33" s="121"/>
      <c r="F33" s="121"/>
      <c r="G33" s="121"/>
      <c r="H33" s="121"/>
      <c r="I33" s="121"/>
      <c r="J33" s="121"/>
      <c r="K33" s="121"/>
      <c r="L33" s="121"/>
      <c r="M33" s="121"/>
      <c r="N33" s="112"/>
      <c r="O33" s="112"/>
    </row>
    <row r="34" spans="2:15" x14ac:dyDescent="0.2">
      <c r="B34" s="122"/>
      <c r="C34" s="121"/>
      <c r="D34" s="121"/>
      <c r="E34" s="121"/>
      <c r="F34" s="121"/>
      <c r="G34" s="121"/>
      <c r="H34" s="121"/>
      <c r="I34" s="121"/>
      <c r="J34" s="121"/>
      <c r="K34" s="121"/>
      <c r="L34" s="121"/>
      <c r="M34" s="121"/>
      <c r="N34" s="112"/>
      <c r="O34" s="112"/>
    </row>
    <row r="35" spans="2:15" x14ac:dyDescent="0.2">
      <c r="B35" s="122"/>
      <c r="C35" s="121"/>
      <c r="D35" s="121"/>
      <c r="E35" s="121"/>
      <c r="F35" s="121"/>
      <c r="G35" s="121"/>
      <c r="H35" s="121"/>
      <c r="I35" s="121"/>
      <c r="J35" s="121"/>
      <c r="K35" s="121"/>
      <c r="L35" s="121"/>
      <c r="M35" s="121"/>
      <c r="N35" s="112"/>
      <c r="O35" s="112"/>
    </row>
    <row r="36" spans="2:15" x14ac:dyDescent="0.2">
      <c r="B36" s="122"/>
      <c r="C36" s="121"/>
      <c r="D36" s="121"/>
      <c r="E36" s="121"/>
      <c r="F36" s="121"/>
      <c r="G36" s="121"/>
      <c r="H36" s="121"/>
      <c r="I36" s="121"/>
      <c r="J36" s="121"/>
      <c r="K36" s="121"/>
      <c r="L36" s="121"/>
      <c r="M36" s="121"/>
      <c r="N36" s="112"/>
      <c r="O36" s="112"/>
    </row>
    <row r="37" spans="2:15" x14ac:dyDescent="0.2">
      <c r="B37" s="122" t="s">
        <v>54</v>
      </c>
      <c r="C37" s="121" t="s">
        <v>60</v>
      </c>
      <c r="D37" s="121"/>
      <c r="E37" s="121"/>
      <c r="F37" s="121"/>
      <c r="G37" s="121"/>
      <c r="H37" s="121"/>
      <c r="I37" s="121"/>
      <c r="J37" s="121"/>
      <c r="K37" s="121"/>
      <c r="L37" s="121"/>
      <c r="M37" s="121"/>
      <c r="N37" s="112">
        <f>'Lembar Soal &amp; Jawaban'!L25</f>
        <v>0</v>
      </c>
      <c r="O37" s="112"/>
    </row>
    <row r="38" spans="2:15" x14ac:dyDescent="0.2">
      <c r="B38" s="122"/>
      <c r="C38" s="121"/>
      <c r="D38" s="121"/>
      <c r="E38" s="121"/>
      <c r="F38" s="121"/>
      <c r="G38" s="121"/>
      <c r="H38" s="121"/>
      <c r="I38" s="121"/>
      <c r="J38" s="121"/>
      <c r="K38" s="121"/>
      <c r="L38" s="121"/>
      <c r="M38" s="121"/>
      <c r="N38" s="112"/>
      <c r="O38" s="112"/>
    </row>
    <row r="39" spans="2:15" x14ac:dyDescent="0.2">
      <c r="B39" s="122"/>
      <c r="C39" s="121"/>
      <c r="D39" s="121"/>
      <c r="E39" s="121"/>
      <c r="F39" s="121"/>
      <c r="G39" s="121"/>
      <c r="H39" s="121"/>
      <c r="I39" s="121"/>
      <c r="J39" s="121"/>
      <c r="K39" s="121"/>
      <c r="L39" s="121"/>
      <c r="M39" s="121"/>
      <c r="N39" s="112"/>
      <c r="O39" s="112"/>
    </row>
    <row r="40" spans="2:15" x14ac:dyDescent="0.2">
      <c r="B40" s="122"/>
      <c r="C40" s="121"/>
      <c r="D40" s="121"/>
      <c r="E40" s="121"/>
      <c r="F40" s="121"/>
      <c r="G40" s="121"/>
      <c r="H40" s="121"/>
      <c r="I40" s="121"/>
      <c r="J40" s="121"/>
      <c r="K40" s="121"/>
      <c r="L40" s="121"/>
      <c r="M40" s="121"/>
      <c r="N40" s="112"/>
      <c r="O40" s="112"/>
    </row>
    <row r="41" spans="2:15" x14ac:dyDescent="0.2">
      <c r="B41" s="122"/>
      <c r="C41" s="121"/>
      <c r="D41" s="121"/>
      <c r="E41" s="121"/>
      <c r="F41" s="121"/>
      <c r="G41" s="121"/>
      <c r="H41" s="121"/>
      <c r="I41" s="121"/>
      <c r="J41" s="121"/>
      <c r="K41" s="121"/>
      <c r="L41" s="121"/>
      <c r="M41" s="121"/>
      <c r="N41" s="112"/>
      <c r="O41" s="112"/>
    </row>
    <row r="42" spans="2:15" x14ac:dyDescent="0.2">
      <c r="B42" s="122"/>
      <c r="C42" s="121"/>
      <c r="D42" s="121"/>
      <c r="E42" s="121"/>
      <c r="F42" s="121"/>
      <c r="G42" s="121"/>
      <c r="H42" s="121"/>
      <c r="I42" s="121"/>
      <c r="J42" s="121"/>
      <c r="K42" s="121"/>
      <c r="L42" s="121"/>
      <c r="M42" s="121"/>
      <c r="N42" s="112"/>
      <c r="O42" s="112"/>
    </row>
    <row r="43" spans="2:15" x14ac:dyDescent="0.2">
      <c r="B43" s="122"/>
      <c r="C43" s="121"/>
      <c r="D43" s="121"/>
      <c r="E43" s="121"/>
      <c r="F43" s="121"/>
      <c r="G43" s="121"/>
      <c r="H43" s="121"/>
      <c r="I43" s="121"/>
      <c r="J43" s="121"/>
      <c r="K43" s="121"/>
      <c r="L43" s="121"/>
      <c r="M43" s="121"/>
      <c r="N43" s="112"/>
      <c r="O43" s="112"/>
    </row>
    <row r="44" spans="2:15" x14ac:dyDescent="0.2">
      <c r="B44" s="122"/>
      <c r="C44" s="121"/>
      <c r="D44" s="121"/>
      <c r="E44" s="121"/>
      <c r="F44" s="121"/>
      <c r="G44" s="121"/>
      <c r="H44" s="121"/>
      <c r="I44" s="121"/>
      <c r="J44" s="121"/>
      <c r="K44" s="121"/>
      <c r="L44" s="121"/>
      <c r="M44" s="121"/>
      <c r="N44" s="112"/>
      <c r="O44" s="112"/>
    </row>
    <row r="45" spans="2:15" x14ac:dyDescent="0.2">
      <c r="B45" s="122"/>
      <c r="C45" s="121"/>
      <c r="D45" s="121"/>
      <c r="E45" s="121"/>
      <c r="F45" s="121"/>
      <c r="G45" s="121"/>
      <c r="H45" s="121"/>
      <c r="I45" s="121"/>
      <c r="J45" s="121"/>
      <c r="K45" s="121"/>
      <c r="L45" s="121"/>
      <c r="M45" s="121"/>
      <c r="N45" s="112"/>
      <c r="O45" s="112"/>
    </row>
    <row r="46" spans="2:15" x14ac:dyDescent="0.2">
      <c r="B46" s="122"/>
      <c r="C46" s="121"/>
      <c r="D46" s="121"/>
      <c r="E46" s="121"/>
      <c r="F46" s="121"/>
      <c r="G46" s="121"/>
      <c r="H46" s="121"/>
      <c r="I46" s="121"/>
      <c r="J46" s="121"/>
      <c r="K46" s="121"/>
      <c r="L46" s="121"/>
      <c r="M46" s="121"/>
      <c r="N46" s="112"/>
      <c r="O46" s="112"/>
    </row>
  </sheetData>
  <sheetProtection algorithmName="SHA-512" hashValue="sHJKPTAkWUj0U/Dw9IyuD7K5EkmUfWVHu5eRaxfHX+KyLHdjcw2LjhilUy62730kHpfTNcd3XZH7MVPZItMu6Q==" saltValue="jUVS1MgIjsr+AD9AN5sXfA==" spinCount="100000" sheet="1" objects="1" scenarios="1"/>
  <mergeCells count="20">
    <mergeCell ref="L4:O4"/>
    <mergeCell ref="C5:E5"/>
    <mergeCell ref="C6:E6"/>
    <mergeCell ref="C7:E7"/>
    <mergeCell ref="B2:O2"/>
    <mergeCell ref="B3:O3"/>
    <mergeCell ref="C8:E8"/>
    <mergeCell ref="N37:O46"/>
    <mergeCell ref="N11:O12"/>
    <mergeCell ref="C11:M12"/>
    <mergeCell ref="B11:B12"/>
    <mergeCell ref="C13:M24"/>
    <mergeCell ref="C25:M36"/>
    <mergeCell ref="C37:M46"/>
    <mergeCell ref="B13:B24"/>
    <mergeCell ref="B25:B36"/>
    <mergeCell ref="B37:B46"/>
    <mergeCell ref="N13:O24"/>
    <mergeCell ref="N25:O36"/>
    <mergeCell ref="C9:E9"/>
  </mergeCells>
  <conditionalFormatting sqref="N13:O46">
    <cfRule type="dataBar" priority="1">
      <dataBar>
        <cfvo type="min"/>
        <cfvo type="max"/>
        <color rgb="FF638EC6"/>
      </dataBar>
      <extLst>
        <ext xmlns:x14="http://schemas.microsoft.com/office/spreadsheetml/2009/9/main" uri="{B025F937-C7B1-47D3-B67F-A62EFF666E3E}">
          <x14:id>{C9ED8992-9149-4117-841B-40376FBAC17B}</x14:id>
        </ext>
      </extLst>
    </cfRule>
  </conditionalFormatting>
  <hyperlinks>
    <hyperlink ref="L4" r:id="rId1" xr:uid="{030C750A-819A-41D1-B051-43A19F1A630D}"/>
  </hyperlinks>
  <printOptions horizontalCentered="1"/>
  <pageMargins left="0.2" right="0.2" top="0.25" bottom="0.25" header="0.3" footer="0.3"/>
  <pageSetup paperSize="9" scale="70" orientation="portrait" horizontalDpi="4294967293" verticalDpi="0" r:id="rId2"/>
  <extLst>
    <ext xmlns:x14="http://schemas.microsoft.com/office/spreadsheetml/2009/9/main" uri="{78C0D931-6437-407d-A8EE-F0AAD7539E65}">
      <x14:conditionalFormattings>
        <x14:conditionalFormatting xmlns:xm="http://schemas.microsoft.com/office/excel/2006/main">
          <x14:cfRule type="dataBar" id="{C9ED8992-9149-4117-841B-40376FBAC17B}">
            <x14:dataBar minLength="0" maxLength="100" gradient="0">
              <x14:cfvo type="autoMin"/>
              <x14:cfvo type="autoMax"/>
              <x14:negativeFillColor rgb="FFFF0000"/>
              <x14:axisColor rgb="FF000000"/>
            </x14:dataBar>
          </x14:cfRule>
          <xm:sqref>N13:O46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Instruksi &amp; Isi Data</vt:lpstr>
      <vt:lpstr>Lembar Soal &amp; Jawaban</vt:lpstr>
      <vt:lpstr>Hasil</vt:lpstr>
      <vt:lpstr>Hasil!Print_Area</vt:lpstr>
      <vt:lpstr>'Instruksi &amp; Isi Data'!Print_Area</vt:lpstr>
      <vt:lpstr>'Lembar Soal &amp; Jawaban'!Print_Area</vt:lpstr>
      <vt:lpstr>'Lembar Soal &amp; Jawaban'!Print_Titles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Rhonest</dc:creator>
  <cp:lastModifiedBy>Rhonest</cp:lastModifiedBy>
  <cp:lastPrinted>2023-07-21T06:51:39Z</cp:lastPrinted>
  <dcterms:created xsi:type="dcterms:W3CDTF">2023-07-18T04:07:46Z</dcterms:created>
  <dcterms:modified xsi:type="dcterms:W3CDTF">2023-07-21T07:10:23Z</dcterms:modified>
</cp:coreProperties>
</file>