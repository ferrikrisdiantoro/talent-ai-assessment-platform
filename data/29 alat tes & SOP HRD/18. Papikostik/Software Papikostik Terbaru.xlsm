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ESERTA" sheetId="1" r:id="rId5"/>
    <sheet state="visible" name="DATA" sheetId="2" r:id="rId6"/>
    <sheet state="visible" name="CHART PAPIKOSTIK" sheetId="3" r:id="rId7"/>
    <sheet state="visible" name="URAIAN PAPIKOSTIK" sheetId="4" r:id="rId8"/>
  </sheets>
  <definedNames>
    <definedName name="_Fill">#REF!</definedName>
    <definedName localSheetId="3" name="_Fill">DATA!$T$124:$T$204</definedName>
  </definedNames>
  <calcPr/>
  <extLst>
    <ext uri="GoogleSheetsCustomDataVersion2">
      <go:sheetsCustomData xmlns:go="http://customooxmlschemas.google.com/" r:id="rId9" roundtripDataChecksum="L890ngo1oPiv47If8iu1GReR4WLeSfV/2u8pxyzW5Rc="/>
    </ext>
  </extLst>
</workbook>
</file>

<file path=xl/sharedStrings.xml><?xml version="1.0" encoding="utf-8"?>
<sst xmlns="http://schemas.openxmlformats.org/spreadsheetml/2006/main" count="740" uniqueCount="447">
  <si>
    <t>TANGGAL TEST :</t>
  </si>
  <si>
    <t xml:space="preserve"> 22 Maret 2018</t>
  </si>
  <si>
    <t>No</t>
  </si>
  <si>
    <t>No Test</t>
  </si>
  <si>
    <t>No Karyawan</t>
  </si>
  <si>
    <t>Nama</t>
  </si>
  <si>
    <t>Dept</t>
  </si>
  <si>
    <t>Pendidikan</t>
  </si>
  <si>
    <t>01</t>
  </si>
  <si>
    <t>1</t>
  </si>
  <si>
    <t>Riski</t>
  </si>
  <si>
    <t>Hr</t>
  </si>
  <si>
    <t>S1</t>
  </si>
  <si>
    <t/>
  </si>
  <si>
    <t>02</t>
  </si>
  <si>
    <t>T</t>
  </si>
  <si>
    <t>03</t>
  </si>
  <si>
    <t>3</t>
  </si>
  <si>
    <t>H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</si>
  <si>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</si>
  <si>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</si>
  <si>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</si>
  <si>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</si>
  <si>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</si>
  <si>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</si>
  <si>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</si>
  <si>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</si>
  <si>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</si>
  <si>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</si>
  <si>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</si>
  <si>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</si>
  <si>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</si>
  <si>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</si>
  <si>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</si>
  <si>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</si>
  <si>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</si>
  <si>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</si>
  <si>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</si>
  <si>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</si>
  <si>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</si>
  <si>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</si>
  <si>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</si>
  <si>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</si>
  <si>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</si>
  <si>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</si>
  <si>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</si>
  <si>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</si>
  <si>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</si>
  <si>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</si>
  <si>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</si>
  <si>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</si>
  <si>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</si>
  <si>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</si>
  <si>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</si>
  <si>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</si>
  <si>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</si>
  <si>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</si>
  <si>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</si>
  <si>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</si>
  <si>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</si>
  <si>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</si>
  <si>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</si>
  <si>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</si>
  <si>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</si>
  <si>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</si>
  <si>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</si>
  <si>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</si>
  <si>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</si>
  <si>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</si>
  <si>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</si>
  <si>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</si>
  <si>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</si>
  <si>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</si>
  <si>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</si>
  <si>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</si>
  <si>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</si>
  <si>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</si>
  <si>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</si>
  <si>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</si>
  <si>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</si>
  <si>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</si>
  <si>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</si>
  <si>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</si>
  <si>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</si>
  <si>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</si>
  <si>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</si>
  <si>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</si>
  <si>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</si>
  <si>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</si>
  <si>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</si>
  <si>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</si>
  <si>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</si>
  <si>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</si>
  <si>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</si>
  <si>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</si>
  <si>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</si>
  <si>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</si>
  <si>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</si>
  <si>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</si>
  <si>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</si>
  <si>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</si>
  <si>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</si>
  <si>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</si>
  <si>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</si>
  <si>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</si>
  <si>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</si>
  <si>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</si>
  <si>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</si>
  <si>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</si>
  <si>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</si>
  <si>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</si>
  <si>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</si>
  <si>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</si>
  <si>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</si>
  <si>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</si>
  <si>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</si>
  <si>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Papikostik 90 Soal : A=1, B=2</t>
  </si>
  <si>
    <t>No Test
No Soal</t>
  </si>
  <si>
    <t>E</t>
  </si>
  <si>
    <t>C</t>
  </si>
  <si>
    <t>D</t>
  </si>
  <si>
    <t>R</t>
  </si>
  <si>
    <t>S</t>
  </si>
  <si>
    <t>V</t>
  </si>
  <si>
    <t>I</t>
  </si>
  <si>
    <t>L</t>
  </si>
  <si>
    <t>G</t>
  </si>
  <si>
    <t>W</t>
  </si>
  <si>
    <t>F</t>
  </si>
  <si>
    <t>K</t>
  </si>
  <si>
    <t>Z</t>
  </si>
  <si>
    <t>O</t>
  </si>
  <si>
    <t>B</t>
  </si>
  <si>
    <t>X</t>
  </si>
  <si>
    <t>P</t>
  </si>
  <si>
    <t>A</t>
  </si>
  <si>
    <t>N</t>
  </si>
  <si>
    <t>J</t>
  </si>
  <si>
    <t>M</t>
  </si>
  <si>
    <t>A=0-4</t>
  </si>
  <si>
    <t>Tidak kompetitif, mapan, puas. Tidak terdorong untuk menghasilkan prestasi,</t>
  </si>
  <si>
    <t>tdk berusaha utk mencapai sukses, membutuhkan dorongan dari luar diri,</t>
  </si>
  <si>
    <t>tidak berinisiatif, tidak memanfaatkan kemampuan diri secara optimal, ragu</t>
  </si>
  <si>
    <t>akan tujuan diri, misalnya sbg akibat promosi / perubahan struktur jabatan.</t>
  </si>
  <si>
    <t>A=5-7</t>
  </si>
  <si>
    <t>Tahu akan tujuan yang ingin dicapainya dan dapat merumuskannya,</t>
  </si>
  <si>
    <t>realistis akan kemampuan diri, dan berusaha untuk mencapai target.</t>
  </si>
  <si>
    <t xml:space="preserve"> </t>
  </si>
  <si>
    <t>A=8-9</t>
  </si>
  <si>
    <t>Sangat berambisi utk berprestasi dan menjadi yg terbaik, menyukai tantangan,</t>
  </si>
  <si>
    <t>cenderung mengejar kesempurnaan, menetapkan target yg tinggi, 'self-starter',</t>
  </si>
  <si>
    <t>merumuskan kerja dg baik. Tdk realistis akan kemampuannya, sulit dipuas-</t>
  </si>
  <si>
    <t>kan, mudah kecewa, harapan yg tinggi mungkin mengganggu org lain.</t>
  </si>
  <si>
    <t>N=0-2</t>
  </si>
  <si>
    <t>Tidak terlalu merasa perlu untuk menuntaskan sendiri tugas-tugasnya, senang</t>
  </si>
  <si>
    <t>menangani beberapa pekerjaan sekaligus, mudah mendelegasikan tugas.</t>
  </si>
  <si>
    <t>Komitmen rendah, cenderung meninggalkan tugas  sebelum tuntas, kon-</t>
  </si>
  <si>
    <t xml:space="preserve"> sentrasi mudah buyar, mungkin suka berpindah pekerjaan.</t>
  </si>
  <si>
    <t>N=3-5</t>
  </si>
  <si>
    <t>Cukup memiliki komitmen untuk menuntaskan tugas, akan tetapi</t>
  </si>
  <si>
    <t>jika memungkinkan akan mendelegasikan sebagian dari pekerjaan</t>
  </si>
  <si>
    <t>nya kepada orang lain.</t>
  </si>
  <si>
    <t>N=6-7</t>
  </si>
  <si>
    <t>Komitmen tinggi, lebih suka menangani pekerjaan satu demi satu,</t>
  </si>
  <si>
    <t>akan tetapi masih dapat mengubah prioritas jika terpaksa.</t>
  </si>
  <si>
    <t>N=8-9</t>
  </si>
  <si>
    <t>Memiliki komitmen yg sangat tinggi thd tugas, sangat ingin menyelesaikan</t>
  </si>
  <si>
    <t xml:space="preserve">tugas, tekun dan tuntas dlm menangani pekerjaan satu demi satu hingga  </t>
  </si>
  <si>
    <t>tuntas. Perhatian terpaku pada satu tugas, sulit utk menangani beberapa</t>
  </si>
  <si>
    <t>pekerjaan sekaligus, sulit di interupsi, tidak melihat masalah sampingan.</t>
  </si>
  <si>
    <t>G=0-2</t>
  </si>
  <si>
    <t>Santai, kerja adalah sesuatu yang menyenangkan-bukan beban yg mem-</t>
  </si>
  <si>
    <t>butuhkan usaha besar. Mungkin termotivasi utk mencari cara atau sistem</t>
  </si>
  <si>
    <t>yg dpt mempermudah dirinya dlm menyelesaikan pekerjaan, akan ber-</t>
  </si>
  <si>
    <t>usaha menghindari kerja keras, sehingga dapat memberi kesan malas.</t>
  </si>
  <si>
    <t>G=3-4</t>
  </si>
  <si>
    <t>Bekerja keras sesuai tuntutan, menyalurkan usahanya untuk hal-hal</t>
  </si>
  <si>
    <t>yang bermanfaat / menguntungkan.</t>
  </si>
  <si>
    <t>G=5-7</t>
  </si>
  <si>
    <t>Bekerja keras, tetapi  jelas tujuan yg ingin dicapainya.</t>
  </si>
  <si>
    <t>G=8-9</t>
  </si>
  <si>
    <t>Ingin tampil sbg pekerja keras, sangat suka bila orang lain meman-</t>
  </si>
  <si>
    <t>dangnya sbg pekerja keras.  Cenderung menciptakan pekerjaan</t>
  </si>
  <si>
    <t xml:space="preserve">yang tidak perlu agar terlihat tetap sibuk, kadang kala tanpa </t>
  </si>
  <si>
    <t>tujuan yang jelas.</t>
  </si>
  <si>
    <t>C=0-2</t>
  </si>
  <si>
    <t>Lebih mementingkan fleksibilitas daripada struktur, pendekatan</t>
  </si>
  <si>
    <t>kerja lebih ditentukan oleh situasi daripada oleh perencanaan</t>
  </si>
  <si>
    <t>sebelumnya, mudah beradaptasi.  Tidak mempedulikan keteraturan</t>
  </si>
  <si>
    <t>atau kerapihan, ceroboh.</t>
  </si>
  <si>
    <t>C=3-4</t>
  </si>
  <si>
    <t>Fleksibel tapi masih cukup memperhatikan keteraturan atau sistematika</t>
  </si>
  <si>
    <t>kerja.</t>
  </si>
  <si>
    <t>C=5-6</t>
  </si>
  <si>
    <t xml:space="preserve">Memperhatikan keteraturan dan sistematika kerja, tapi cukup </t>
  </si>
  <si>
    <t>fleksibel.</t>
  </si>
  <si>
    <t>C=7-9</t>
  </si>
  <si>
    <t>Sistematis, bermetoda, berstruktur, rapi dan teratur, dapat menata</t>
  </si>
  <si>
    <t>tugas dengan baik.  Cenderung kaku, tidak fleksibel.</t>
  </si>
  <si>
    <t>D=0-1</t>
  </si>
  <si>
    <t>Melihat pekerjaan scr makro, membedakan hal penting dari yg kurang penting,</t>
  </si>
  <si>
    <t>mendelegasikan detil pd org lain, generalis. Menghindari detail, konsekuensi-</t>
  </si>
  <si>
    <t>nya mungkin bertindak tanpa data yg cukup/akurat, bertindak ceroboh pd</t>
  </si>
  <si>
    <t>hal  yg butuh kecermatan. Dpt mengabaikan proses yg vital dlm evaluasi data.</t>
  </si>
  <si>
    <t>D=2-3</t>
  </si>
  <si>
    <t>Cukup peduli akan akurasi dan kelengkapan data.</t>
  </si>
  <si>
    <t>D=4-6</t>
  </si>
  <si>
    <t>Tertarik untuk menangani sendiri detail.</t>
  </si>
  <si>
    <t>D=7-9</t>
  </si>
  <si>
    <t>Sangat menyukai detail, sangat peduli akan akurasi dan keleng-</t>
  </si>
  <si>
    <t>kapan data.  Cenderung terlalu terlibat dengan detail sehingga</t>
  </si>
  <si>
    <t>melupakan tujuan utama.</t>
  </si>
  <si>
    <t>R=0-3</t>
  </si>
  <si>
    <t xml:space="preserve">Tipe pelaksana, praktis - pragmatis, mengandalkan pengalaman </t>
  </si>
  <si>
    <t>masa lalu dan intuisi. Bekerja tanpa perencanaan, mengandalkan</t>
  </si>
  <si>
    <t>perasaan.</t>
  </si>
  <si>
    <t>R=4-5</t>
  </si>
  <si>
    <t xml:space="preserve">Pertimbangan mencakup aspek teoritis ( konsep atau pemikiran </t>
  </si>
  <si>
    <t>baru ) dan aspek praktis ( pengalaman ) secara berimbang</t>
  </si>
  <si>
    <t>R=6-7</t>
  </si>
  <si>
    <t xml:space="preserve">Suka memikirkan suatu problem secara mendalam, merujuk pada  </t>
  </si>
  <si>
    <t>teori dan konsep.</t>
  </si>
  <si>
    <t>R=8-9</t>
  </si>
  <si>
    <t>Tipe pemikir, sangat berminat pada gagasan, konsep, teori,menca-</t>
  </si>
  <si>
    <t xml:space="preserve">ri alternatif baru, menyukai perencanaan. Mungkin sulit dimengerti </t>
  </si>
  <si>
    <t>oleh orang lain, terlalu teoritis dan tidak praktis, mengawang-awang</t>
  </si>
  <si>
    <t>dan berbelit-belit.</t>
  </si>
  <si>
    <t>T=0-3</t>
  </si>
  <si>
    <t>Santai. Kurang peduli akan waktu, kurang memiliki rasa urgensi,</t>
  </si>
  <si>
    <t>membuang-buang waktu, bukan pekerja yang tepat waktu.</t>
  </si>
  <si>
    <t>T=4-6</t>
  </si>
  <si>
    <t>Cukup aktif dalam segi mental, dapat menyesuaikan tempo kerjanya</t>
  </si>
  <si>
    <t xml:space="preserve"> dengan tuntutan pekerjaan / lingkungan.</t>
  </si>
  <si>
    <t>T=7-9</t>
  </si>
  <si>
    <t>Cekatan, selalu siaga, bekerja cepat, ingin segera menyelesaikan</t>
  </si>
  <si>
    <t>tugas.  Negatifnya : Tegang, cemas, impulsif, mungkin ceroboh,</t>
  </si>
  <si>
    <t>banyak gerakan yang tidak perlu.</t>
  </si>
  <si>
    <t>V=0-2</t>
  </si>
  <si>
    <t>Cocok untuk pekerjaan  ' di belakang meja '. Cenderung lamban,</t>
  </si>
  <si>
    <t>tidak tanggap, mudah lelah, daya tahan lemah.</t>
  </si>
  <si>
    <t>V=3-6</t>
  </si>
  <si>
    <t>Dapat bekerja di belakang meja dan senang jika sesekali harus</t>
  </si>
  <si>
    <t>terjun ke lapangan atau melaksanakan tugas-tugas yang bersifat</t>
  </si>
  <si>
    <t>mobile.</t>
  </si>
  <si>
    <t>V=7-9</t>
  </si>
  <si>
    <t>Menyukai aktifitas fisik ( a.l. : olah raga), enerjik, memiliki stamina</t>
  </si>
  <si>
    <t>untuk menangani tugas-tugas berat, tidak mudah lelah. Tidak betah</t>
  </si>
  <si>
    <t>duduk lama, kurang dapat konsentrasi  'di belakang meja'.</t>
  </si>
  <si>
    <t>W=0-3</t>
  </si>
  <si>
    <t>Hanya butuh gambaran ttg kerangka tugas scr garis besar, berpatokan pd</t>
  </si>
  <si>
    <t>tujuan, dpt bekerja dlm suasana yg kurang berstruktur, berinsiatif, mandiri. Tdk</t>
  </si>
  <si>
    <t>patuh, cenderung mengabaikan/tdk paham pentingnya peraturan/prosedur,</t>
  </si>
  <si>
    <t>suka membuat peraturan sendiri yg bisa bertentangan dg yg telah ada.</t>
  </si>
  <si>
    <t>W=4-5</t>
  </si>
  <si>
    <t>Perlu pengarahan awal dan tolok ukur keberhasilan.</t>
  </si>
  <si>
    <t>W=6-7</t>
  </si>
  <si>
    <t xml:space="preserve">Membutuhkan uraian rinci mengenai tugas, dan batasan tanggung </t>
  </si>
  <si>
    <t>jawab serta wewenang.</t>
  </si>
  <si>
    <t>W=8-9</t>
  </si>
  <si>
    <t>Patuh pada kebijaksanaan, peraturan dan struktur organisasi.</t>
  </si>
  <si>
    <t>Ingin segala sesuatunya diuraikan secara rinci, kurang memiliki</t>
  </si>
  <si>
    <t>inisiatif, tdk fleksibel, terlalu tergantung pada organisasi, berharap</t>
  </si>
  <si>
    <t>'disuapi'.</t>
  </si>
  <si>
    <t>F=0-3</t>
  </si>
  <si>
    <t>Otonom, dapat bekerja sendiri tanpa campur tangan orang lain,</t>
  </si>
  <si>
    <t>motivasi timbul krn pekerjaan itu sendiri - bukan krn pujian dr otoritas.</t>
  </si>
  <si>
    <t>Mempertanyakan otoritas, cenderung tidak puas thdp atasan, loya-</t>
  </si>
  <si>
    <t>litas lebih didasari kepentingan pribadi.</t>
  </si>
  <si>
    <t>F=4-6</t>
  </si>
  <si>
    <t>Loyal pada Perusahaan.</t>
  </si>
  <si>
    <t>F=7</t>
  </si>
  <si>
    <t xml:space="preserve">Loyal pada pribadi atasan.  </t>
  </si>
  <si>
    <t>F=8-9</t>
  </si>
  <si>
    <t>Loyal, berusaha dekat dg pribadi atasan, ingin menyenangkan</t>
  </si>
  <si>
    <t>atasan, sadar akan harapan atasan akan dirinya.  Terlalu memper-</t>
  </si>
  <si>
    <t>hatikan cara menyenangkan atasan, tidak berani berpendirian lain,</t>
  </si>
  <si>
    <t>tidak mandiri.</t>
  </si>
  <si>
    <t>L=0-1</t>
  </si>
  <si>
    <t xml:space="preserve">Puas dengan peran sebagai bawahan, memberikan kesempatan </t>
  </si>
  <si>
    <t>pada orang lain untuk memimpin, tidak dominan. Tidak percaya diri;</t>
  </si>
  <si>
    <t>sama sekali tidak berminat untuk berperan sebagai pemimpin; ber-</t>
  </si>
  <si>
    <t>sikap pasif dalam kelompok.</t>
  </si>
  <si>
    <t>L=2-3</t>
  </si>
  <si>
    <t>Tidak percaya diri dan tidak ingin memimpin atau mengawasi</t>
  </si>
  <si>
    <t>orang lain.</t>
  </si>
  <si>
    <t>L=4</t>
  </si>
  <si>
    <t>Kurang percaya diri dan kurang berminat utk menjadi pemimpin</t>
  </si>
  <si>
    <t>L=5</t>
  </si>
  <si>
    <t>Cukup percaya diri, tidak secara aktif mencari posisi kepemimpinan</t>
  </si>
  <si>
    <t>akan tetapi juga tidak akan menghindarinya.</t>
  </si>
  <si>
    <t>L=6-7</t>
  </si>
  <si>
    <t>Percaya diri dan ingin berperan sebagai pemimpin</t>
  </si>
  <si>
    <t>L=8-9</t>
  </si>
  <si>
    <t>Sangat percaya diri utk berperan sbg atasan &amp; sangat mengharapkan</t>
  </si>
  <si>
    <t>posisi tersebut. Lebih mementingkan citra &amp; status kepemimpinannya</t>
  </si>
  <si>
    <t>dari pada efektifitas kelompok, mungkin akan tampil angkuh atau</t>
  </si>
  <si>
    <t>terlalu percaya diri.</t>
  </si>
  <si>
    <t>P=0-1</t>
  </si>
  <si>
    <t>Permisif, akan memberikan kesempatan pada orang lain untuk</t>
  </si>
  <si>
    <t>memimpin. Tidak mau mengontrol orang lain dan tidak mau</t>
  </si>
  <si>
    <t>mempertanggung jawabkan hasil kerja bawahannya.</t>
  </si>
  <si>
    <t>P=2-3</t>
  </si>
  <si>
    <t>Enggan mengontrol org lain &amp; tidak mau mempertanggung jawabkan</t>
  </si>
  <si>
    <t>hasil kerja bawahannya, lebih memberi kebebasan kpd bawahan utk</t>
  </si>
  <si>
    <t xml:space="preserve">memilih cara sendiri dlm penyelesaian tugas dan meminta bawahan </t>
  </si>
  <si>
    <t>utk mempertanggungjawabkan hasilnya masing-masing.</t>
  </si>
  <si>
    <t>P=4</t>
  </si>
  <si>
    <t>Cenderung enggan melakukan fungsi pengarahan, pengendalian</t>
  </si>
  <si>
    <t>dan pengawasan, kurang aktif memanfaatkan kapasitas bawahan</t>
  </si>
  <si>
    <t>secara optimal, cenderung bekerja sendiri dalam mencapai</t>
  </si>
  <si>
    <t>tujuan kelompok.</t>
  </si>
  <si>
    <t>P=5</t>
  </si>
  <si>
    <t>Bertanggung jawab, akan melakukan fungsi pengarahan, pengendalian</t>
  </si>
  <si>
    <t>dan pengawasan, tapi tidak mendominasi.</t>
  </si>
  <si>
    <t>P=6-7</t>
  </si>
  <si>
    <t>Dominan dan bertanggung jawab, akan melakukan fungsi pengarahan,</t>
  </si>
  <si>
    <t>pengendalian dan pengawasan</t>
  </si>
  <si>
    <t>P=8-9</t>
  </si>
  <si>
    <t>Sangat dominan, sangat mempengaruhi &amp; mengawasi org lain, bertanggung</t>
  </si>
  <si>
    <t xml:space="preserve">jawab atas tindakan &amp; hasil kerja bawahan. Posesif, tdk ingin berada di </t>
  </si>
  <si>
    <t xml:space="preserve">bawah pimpinan org lain, cemas bila tdk berada di posisi pemimpin, </t>
  </si>
  <si>
    <t>mungkin sulit utk bekerja sama dgn rekan yg sejajar kedudukannya.</t>
  </si>
  <si>
    <t>I=0-1</t>
  </si>
  <si>
    <t>Sangat berhati - hati, memikirkan langkah- langkahnya secara ber-</t>
  </si>
  <si>
    <t>sungguh - sungguh. Lamban dlm mengambil keputusan, terlalu</t>
  </si>
  <si>
    <t>lama merenung, cenderung menghindar mengambil keputusan.</t>
  </si>
  <si>
    <t>I=2-3</t>
  </si>
  <si>
    <t>Enggan mengambil keputusan.</t>
  </si>
  <si>
    <t>I=4-5</t>
  </si>
  <si>
    <t>Berhati - hati dlm pengambilan keputusan.</t>
  </si>
  <si>
    <t>I=6-7</t>
  </si>
  <si>
    <t>Cukup percaya diri dlm pengambilan keputusan, mau mengambil</t>
  </si>
  <si>
    <t>resiko, dpt memutuskan dgn cepat, mengikuti alur logika.</t>
  </si>
  <si>
    <t>I=8-9</t>
  </si>
  <si>
    <t>Sangat yakin dl mengambil keputusan, cepat tanggap thd situasi, berani</t>
  </si>
  <si>
    <t>mengambil resiko, mau memanfaatkan kesempatan. Impulsif, dpt mem-</t>
  </si>
  <si>
    <t>buat keputusan yg tdk praktis, cenderung lebih mementingkan kecepatan</t>
  </si>
  <si>
    <t>daripada akurasi, tdk sabar, cenderung meloncat pd keputusan.</t>
  </si>
  <si>
    <t>S=0-2</t>
  </si>
  <si>
    <t>Dpt. bekerja sendiri, tdk membutuhkan kehadiran org lain. Menarik</t>
  </si>
  <si>
    <t>diri, kaku dlm bergaul, canggung dlm situasi sosial, lebih memperha-</t>
  </si>
  <si>
    <t>tikan hal - hal lain daripada manusia.</t>
  </si>
  <si>
    <t>S=3-4</t>
  </si>
  <si>
    <t>Kurang percaya diri &amp; kurang aktif dlm menjalin hubungan sosial.</t>
  </si>
  <si>
    <t>S=5-9</t>
  </si>
  <si>
    <t>Percaya diri &amp; sangat senang bergaul, menyukai interaksi sosial, bisa men-</t>
  </si>
  <si>
    <t>ciptakan suasana yg menyenangkan, mempunyai inisiatif &amp; mampu men-</t>
  </si>
  <si>
    <t>jalin hubungan &amp; komunikasi, memperhatikan org lain. Mungkin membuang-</t>
  </si>
  <si>
    <t>buang waktu utk aktifitas sosial, kurang peduli akan penyelesaian tugas.</t>
  </si>
  <si>
    <t>B=0-2</t>
  </si>
  <si>
    <t>Mandiri ( dari segi emosi ) , tdk mudah dipengaruhi oleh tekanan</t>
  </si>
  <si>
    <t>kelompok. Penyendiri, kurang peka akan sikap &amp; kebutuhan kelom-</t>
  </si>
  <si>
    <t>pok, mungkin sulit menyesuaikan diri.</t>
  </si>
  <si>
    <t>B=3-5</t>
  </si>
  <si>
    <t>Selektif dlm bergabung dg kelompok, hanya mau berhubungan dg</t>
  </si>
  <si>
    <t>kelompok di lingkungan kerja apabila bernilai &amp; sesuai minat, tdk</t>
  </si>
  <si>
    <t>terlalu mudah dipengaruhi.</t>
  </si>
  <si>
    <t>B=6-9</t>
  </si>
  <si>
    <t>Suka bergabung dlm kelompok, sadar akan sikap &amp; kebutuhan ke-</t>
  </si>
  <si>
    <t>lompok, suka bekerja sama, ingin menjadi bagian dari kelompok,</t>
  </si>
  <si>
    <t>ingin disukai &amp; diakui oleh lingkungan; sangat tergantung pd kelom-</t>
  </si>
  <si>
    <t>pok, lebih memperhatikan kebutuhan kelompok daripada pekerjaan.</t>
  </si>
  <si>
    <t>O=0-2</t>
  </si>
  <si>
    <t>Menjaga jarak, lebih memperhatikan hal - hal kedinasan, tdk mudah</t>
  </si>
  <si>
    <t>dipengaruhi oleh individu tertentu, objektif &amp; analitis. Tampil dingin,</t>
  </si>
  <si>
    <t>tdk acuh, tdk ramah, suka berahasia, mungkin tdk sadar akan pe-</t>
  </si>
  <si>
    <t>rasaan org lain, &amp; mungkin sulit menyesuaikan diri.</t>
  </si>
  <si>
    <t>O=3-5</t>
  </si>
  <si>
    <t xml:space="preserve">Tidak mencari atau menghindari hubungan antar pribadi di </t>
  </si>
  <si>
    <t>lingkungan kerja, masih mampu menjaga jarak.</t>
  </si>
  <si>
    <t>O=6-9</t>
  </si>
  <si>
    <t>Peka akan kebutuhan org lain, sangat memikirkan hal - hal yg dibutuhkan</t>
  </si>
  <si>
    <t>org lain, suka menjalin hub persahabatan yg hangat &amp; tulus. Sangat pe-</t>
  </si>
  <si>
    <t>rasa, mudah tersinggung, cenderung subjektif, dpt terlibat terlalu dlm/intim</t>
  </si>
  <si>
    <t>dg individu tertentu dlm pekerjaan, sangat tergantung pd individu tertentu.</t>
  </si>
  <si>
    <t>X=0-1</t>
  </si>
  <si>
    <t>Sederhana, rendah hati, tulus, tidak sombong dan tidak suka menam-</t>
  </si>
  <si>
    <t>pilkan diri. Terlalu sederhana, cenderung merendahkan kapasitas</t>
  </si>
  <si>
    <t>diri, tidak percaya diri, cenderung menarik diri dan pemalu.</t>
  </si>
  <si>
    <t>X=2-3</t>
  </si>
  <si>
    <t>Sederhana, cenderung diam, cenderung pemalu, tidak suka menon-</t>
  </si>
  <si>
    <t>jolkan diri.</t>
  </si>
  <si>
    <t>X=4-5</t>
  </si>
  <si>
    <t>Mengharapkan pengakuan lingkungan dan tidak mau diabaikan</t>
  </si>
  <si>
    <t>tetapi tidak mencari-cari perhatian.</t>
  </si>
  <si>
    <t>X=6-9</t>
  </si>
  <si>
    <t>Bangga akan diri dan gayanya sendiri, senang menjadi pusat perha-</t>
  </si>
  <si>
    <t>tian, mengharapkan penghargaan dari lingkungan. Mencari-cari</t>
  </si>
  <si>
    <t>perhatian dan suka menyombongkan diri.</t>
  </si>
  <si>
    <t>E=0-1</t>
  </si>
  <si>
    <t>Sangat terbuka, terus terang, mudah terbaca (dari air muka, tindakan,</t>
  </si>
  <si>
    <t xml:space="preserve">perkataan, sikap). Tidak dapat mengendalikan emosi, cepat </t>
  </si>
  <si>
    <t>bereaksi, kurang mengindahkan/tidak mempunyai 'nilai' yg meng-</t>
  </si>
  <si>
    <t>haruskannya menahan emosi.</t>
  </si>
  <si>
    <t>E=2-3</t>
  </si>
  <si>
    <t>Terbuka, mudah mengungkap pendapat atau perasaannya menge-</t>
  </si>
  <si>
    <t>nai suatu hal kepada org lain.</t>
  </si>
  <si>
    <t>E=4-6</t>
  </si>
  <si>
    <t>Mampu mengungkap atau menyimpan perasaan, dapat mengen-</t>
  </si>
  <si>
    <t>dalikan emosi.</t>
  </si>
  <si>
    <t>E=7-9</t>
  </si>
  <si>
    <t xml:space="preserve">Mampu menyimpan pendapat atau perasaannya, tenang, dapat </t>
  </si>
  <si>
    <t>mengendalikan emosi, menjaga jarak. Tampil pasif dan tidak acuh,</t>
  </si>
  <si>
    <t>mungkin sulit mengungkapkan emosi/perasaan/pandangan.</t>
  </si>
  <si>
    <t>K=0-1</t>
  </si>
  <si>
    <t>Sabar, tidak menyukai konflik. Mengelak atau menghindar dari konflik,</t>
  </si>
  <si>
    <t xml:space="preserve">pasif, menekan atau menyembunyikan perasaan sesungguhnya, </t>
  </si>
  <si>
    <t>menghindari konfrontasi, lari dari konflik, tidak mau mengakui adanya</t>
  </si>
  <si>
    <t>konflik.</t>
  </si>
  <si>
    <t>K=2-3</t>
  </si>
  <si>
    <t xml:space="preserve">Lebih suka menghindari konflik, akan mencari rasionalisasi untuk </t>
  </si>
  <si>
    <t>dapat menerima situasi dan melihat permasalahan dari sudut pan-</t>
  </si>
  <si>
    <t>dang orang lain.</t>
  </si>
  <si>
    <t>K=4-5</t>
  </si>
  <si>
    <t>Tidak mencari atau menghindari konflik, mau mendengarkan pan-</t>
  </si>
  <si>
    <t>dangan orang lain tetapi dapat menjadi keras kepala saat memper-</t>
  </si>
  <si>
    <t>tahankan pandangannya.</t>
  </si>
  <si>
    <t>K=6-7</t>
  </si>
  <si>
    <t>Akan menghadapi konflik, mengungkapkan serta memaksakan pan-</t>
  </si>
  <si>
    <t xml:space="preserve">dangan dengan cara positif. </t>
  </si>
  <si>
    <t>K=8-9</t>
  </si>
  <si>
    <t>Terbuka, jujur, terus terang, asertif, agresif, reaktif, mudah tersinggung,</t>
  </si>
  <si>
    <t>mudah meledak, curiga, berprasangka, suka berkelahi atau ber-</t>
  </si>
  <si>
    <t>konfrontasi, berpikir negatif.</t>
  </si>
  <si>
    <t>Z=0-1</t>
  </si>
  <si>
    <t>Mudah beradaptasi dg pekerjaan rutin tanpa merasa bosan, tidak mem-</t>
  </si>
  <si>
    <t>butuhkan variasi, menyukai lingkungan stabil dan tidak berubah.</t>
  </si>
  <si>
    <t>Konservatif, menolak perubahan, sulit menerima hal-hal baru, tidak</t>
  </si>
  <si>
    <t>dapat beradaptasi dengan situasi yg  berbeda-beda.</t>
  </si>
  <si>
    <t>Z=2-3</t>
  </si>
  <si>
    <t>Enggan berubah, tidak siap untuk beradaptasi, hanya mau menerima</t>
  </si>
  <si>
    <t xml:space="preserve">perubahan jika alasannya jelas dan meyakinkan. </t>
  </si>
  <si>
    <t>Z=4-5</t>
  </si>
  <si>
    <t xml:space="preserve">Mudah beradaptasi, cukup menyukai perubahan. </t>
  </si>
  <si>
    <t>Z=6-7</t>
  </si>
  <si>
    <t>Antusias terhadap perubahan dan akan mencari hal-hal baru, tetapi</t>
  </si>
  <si>
    <t>masih selektif ( menilai kemanfaatannya ).</t>
  </si>
  <si>
    <t>Z=8-9</t>
  </si>
  <si>
    <t>Sangat menyukai perubahan, gagasan baru/variasi, aktif mencari per-</t>
  </si>
  <si>
    <t>ubahan, antusias dg hal-hal baru, fleksibel dlm berpikir, mudah beradap-</t>
  </si>
  <si>
    <t>tasi pd situasi yg berbeda-beda. Gelisah, frustasi, mudah bosan, sangat</t>
  </si>
  <si>
    <t>membutuhkan variasi, tidak menyukai tugas/situasi yg rutin-monoton.</t>
  </si>
  <si>
    <t>I/V/GM/03</t>
  </si>
  <si>
    <t>URAIAN PAPI KOSTICK</t>
  </si>
  <si>
    <t>:</t>
  </si>
  <si>
    <t>=</t>
  </si>
  <si>
    <t>í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</si>
</sst>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8">
    <font>
      <sz val="10.0"/>
      <color rgb="FF000000"/>
      <name val="Arial"/>
      <scheme val="minor"/>
    </font>
    <font>
      <sz val="8.0"/>
      <color theme="1"/>
      <name val="Arial"/>
    </font>
    <font>
      <b/>
      <sz val="8.0"/>
      <color theme="1"/>
      <name val="Arial"/>
    </font>
    <font>
      <sz val="20.0"/>
      <color theme="1"/>
      <name val="Arial"/>
    </font>
    <font>
      <b/>
      <sz val="20.0"/>
      <color theme="1"/>
      <name val="Arial"/>
    </font>
    <font>
      <b/>
      <sz val="10.0"/>
      <color theme="1"/>
      <name val="Arial"/>
    </font>
    <font>
      <sz val="8.0"/>
      <color rgb="FFFFFFFF"/>
      <name val="Arial"/>
    </font>
    <font>
      <sz val="9.0"/>
      <color rgb="FFFFFFFF"/>
      <name val="Arial"/>
    </font>
    <font>
      <i/>
      <sz val="8.0"/>
      <color rgb="FFFFFFFF"/>
      <name val="Arial"/>
    </font>
    <font>
      <sz val="9.0"/>
      <color theme="1"/>
      <name val="Arial"/>
    </font>
    <font>
      <sz val="10.0"/>
      <color theme="1"/>
      <name val="Verdana"/>
    </font>
    <font>
      <sz val="10.0"/>
      <color theme="1"/>
      <name val="Arial"/>
    </font>
    <font>
      <sz val="12.0"/>
      <color theme="1"/>
      <name val="Arial"/>
    </font>
    <font>
      <b/>
      <sz val="18.0"/>
      <color rgb="FF3366FF"/>
      <name val="Arial"/>
    </font>
    <font>
      <sz val="6.0"/>
      <color theme="1"/>
      <name val="Arial"/>
    </font>
    <font>
      <sz val="12.0"/>
      <color rgb="FFFFFFFF"/>
      <name val="Arial"/>
    </font>
    <font>
      <sz val="14.0"/>
      <color theme="1"/>
      <name val="Tahoma"/>
    </font>
    <font>
      <b/>
      <sz val="14.0"/>
      <color theme="1"/>
      <name val="Book Antiqua"/>
    </font>
    <font>
      <sz val="12.0"/>
      <color theme="1"/>
      <name val="Tahoma"/>
    </font>
    <font>
      <b/>
      <sz val="11.0"/>
      <color theme="1"/>
      <name val="Tahoma"/>
    </font>
    <font>
      <sz val="11.0"/>
      <color theme="1"/>
      <name val="Tahoma"/>
    </font>
    <font>
      <sz val="11.0"/>
      <color rgb="FF0000FF"/>
      <name val="Tahoma"/>
    </font>
    <font>
      <sz val="10.0"/>
      <color theme="1"/>
      <name val="Tahoma"/>
    </font>
    <font>
      <sz val="10.0"/>
      <color rgb="FF0000FF"/>
      <name val="Verdana"/>
    </font>
    <font>
      <b/>
      <sz val="10.0"/>
      <color theme="1"/>
      <name val="Monotype Sorts"/>
    </font>
    <font>
      <sz val="5.0"/>
      <color theme="1"/>
      <name val="Arial"/>
    </font>
    <font>
      <b/>
      <sz val="10.0"/>
      <color theme="1"/>
      <name val="Tahoma"/>
    </font>
    <font>
      <b/>
      <sz val="10.0"/>
      <color rgb="FF0000FF"/>
      <name val="Tahoma"/>
    </font>
  </fonts>
  <fills count="6">
    <fill>
      <patternFill patternType="none"/>
    </fill>
    <fill>
      <patternFill patternType="lightGray"/>
    </fill>
    <fill>
      <patternFill patternType="solid">
        <fgColor rgb="FF99CCFF"/>
        <bgColor rgb="FF99CCFF"/>
      </patternFill>
    </fill>
    <fill>
      <patternFill patternType="solid">
        <fgColor rgb="FFFFCC99"/>
        <bgColor rgb="FFFFCC99"/>
      </patternFill>
    </fill>
    <fill>
      <patternFill patternType="solid">
        <fgColor rgb="FFCCFFFF"/>
        <bgColor rgb="FFCCFFFF"/>
      </patternFill>
    </fill>
    <fill>
      <patternFill patternType="solid">
        <fgColor rgb="FFFFFF99"/>
        <bgColor rgb="FFFFFF99"/>
      </patternFill>
    </fill>
  </fills>
  <borders count="7">
    <border/>
    <border>
      <bottom style="thin">
        <color rgb="FF00000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FFFFFF"/>
      </right>
      <top style="thin">
        <color rgb="FFFFFFFF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</borders>
  <cellStyleXfs count="1">
    <xf borderId="0" fillId="0" fontId="0" numFmtId="0" applyAlignment="1" applyFont="1"/>
  </cellStyleXfs>
  <cellXfs count="6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vertical="center" wrapText="0"/>
    </xf>
    <xf borderId="0" fillId="0" fontId="2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left" shrinkToFit="0" vertical="center" wrapText="0"/>
    </xf>
    <xf borderId="0" fillId="0" fontId="2" numFmtId="0" xfId="0" applyAlignment="1" applyFont="1">
      <alignment horizontal="left" shrinkToFit="0" vertical="center" wrapText="0"/>
    </xf>
    <xf borderId="1" fillId="0" fontId="1" numFmtId="49" xfId="0" applyAlignment="1" applyBorder="1" applyFont="1" applyNumberFormat="1">
      <alignment horizontal="left" shrinkToFit="0" vertical="center" wrapText="0"/>
    </xf>
    <xf borderId="2" fillId="2" fontId="2" numFmtId="0" xfId="0" applyAlignment="1" applyBorder="1" applyFill="1" applyFont="1">
      <alignment horizontal="center" shrinkToFit="0" vertical="center" wrapText="0"/>
    </xf>
    <xf borderId="2" fillId="0" fontId="1" numFmtId="0" xfId="0" applyAlignment="1" applyBorder="1" applyFont="1">
      <alignment horizontal="center" shrinkToFit="0" vertical="center" wrapText="0"/>
    </xf>
    <xf borderId="2" fillId="0" fontId="1" numFmtId="49" xfId="0" applyAlignment="1" applyBorder="1" applyFont="1" applyNumberFormat="1">
      <alignment horizontal="center" shrinkToFit="0" vertical="center" wrapText="0"/>
    </xf>
    <xf borderId="2" fillId="0" fontId="1" numFmtId="49" xfId="0" applyAlignment="1" applyBorder="1" applyFont="1" applyNumberFormat="1">
      <alignment horizontal="center" readingOrder="0" shrinkToFit="0" vertical="center" wrapText="0"/>
    </xf>
    <xf borderId="2" fillId="0" fontId="1" numFmtId="49" xfId="0" applyAlignment="1" applyBorder="1" applyFont="1" applyNumberFormat="1">
      <alignment horizontal="left" readingOrder="0" shrinkToFit="0" vertical="center" wrapText="0"/>
    </xf>
    <xf borderId="0" fillId="0" fontId="1" numFmtId="0" xfId="0" applyAlignment="1" applyFont="1">
      <alignment horizontal="center" readingOrder="0" shrinkToFit="0" vertical="center" wrapText="0"/>
    </xf>
    <xf borderId="2" fillId="0" fontId="1" numFmtId="49" xfId="0" applyAlignment="1" applyBorder="1" applyFont="1" applyNumberFormat="1">
      <alignment horizontal="left" shrinkToFit="0" vertical="center" wrapText="0"/>
    </xf>
    <xf borderId="3" fillId="0" fontId="3" numFmtId="0" xfId="0" applyAlignment="1" applyBorder="1" applyFont="1">
      <alignment horizontal="left" shrinkToFit="0" vertical="bottom" wrapText="0"/>
    </xf>
    <xf borderId="3" fillId="0" fontId="1" numFmtId="0" xfId="0" applyAlignment="1" applyBorder="1" applyFont="1">
      <alignment shrinkToFit="0" vertical="bottom" wrapText="0"/>
    </xf>
    <xf borderId="4" fillId="0" fontId="4" numFmtId="0" xfId="0" applyAlignment="1" applyBorder="1" applyFont="1">
      <alignment horizontal="left" shrinkToFit="0" vertical="bottom" wrapText="0"/>
    </xf>
    <xf borderId="4" fillId="0" fontId="1" numFmtId="0" xfId="0" applyAlignment="1" applyBorder="1" applyFont="1">
      <alignment shrinkToFit="0" vertical="bottom" wrapText="0"/>
    </xf>
    <xf borderId="5" fillId="3" fontId="5" numFmtId="0" xfId="0" applyAlignment="1" applyBorder="1" applyFill="1" applyFont="1">
      <alignment horizontal="center" shrinkToFit="0" vertical="center" wrapText="1"/>
    </xf>
    <xf borderId="5" fillId="3" fontId="1" numFmtId="49" xfId="0" applyAlignment="1" applyBorder="1" applyFont="1" applyNumberFormat="1">
      <alignment shrinkToFit="0" vertical="center" wrapText="0"/>
    </xf>
    <xf borderId="5" fillId="3" fontId="1" numFmtId="49" xfId="0" applyAlignment="1" applyBorder="1" applyFont="1" applyNumberFormat="1">
      <alignment horizontal="center" shrinkToFit="0" vertical="center" wrapText="0"/>
    </xf>
    <xf borderId="5" fillId="4" fontId="2" numFmtId="0" xfId="0" applyAlignment="1" applyBorder="1" applyFill="1" applyFont="1">
      <alignment horizontal="center" shrinkToFit="0" vertical="center" wrapText="0"/>
    </xf>
    <xf borderId="5" fillId="5" fontId="1" numFmtId="0" xfId="0" applyAlignment="1" applyBorder="1" applyFill="1" applyFont="1">
      <alignment horizontal="center" shrinkToFit="0" vertical="bottom" wrapText="0"/>
    </xf>
    <xf borderId="5" fillId="0" fontId="1" numFmtId="0" xfId="0" applyAlignment="1" applyBorder="1" applyFont="1">
      <alignment readingOrder="0" shrinkToFit="0" vertical="bottom" wrapText="0"/>
    </xf>
    <xf borderId="5" fillId="0" fontId="1" numFmtId="0" xfId="0" applyAlignment="1" applyBorder="1" applyFont="1">
      <alignment shrinkToFit="0" vertical="bottom" wrapText="0"/>
    </xf>
    <xf borderId="6" fillId="0" fontId="1" numFmtId="0" xfId="0" applyAlignment="1" applyBorder="1" applyFont="1">
      <alignment shrinkToFit="0" vertical="bottom" wrapText="0"/>
    </xf>
    <xf borderId="0" fillId="0" fontId="1" numFmtId="0" xfId="0" applyAlignment="1" applyFont="1">
      <alignment horizontal="center" shrinkToFit="0" vertical="bottom" wrapText="0"/>
    </xf>
    <xf borderId="0" fillId="0" fontId="1" numFmtId="0" xfId="0" applyAlignment="1" applyFont="1">
      <alignment shrinkToFit="0" vertical="bottom" wrapText="0"/>
    </xf>
    <xf borderId="0" fillId="0" fontId="6" numFmtId="0" xfId="0" applyAlignment="1" applyFont="1">
      <alignment horizontal="center" shrinkToFit="0" vertical="bottom" wrapText="0"/>
    </xf>
    <xf borderId="0" fillId="0" fontId="6" numFmtId="0" xfId="0" applyAlignment="1" applyFont="1">
      <alignment shrinkToFit="0" vertical="bottom" wrapText="0"/>
    </xf>
    <xf borderId="0" fillId="0" fontId="6" numFmtId="0" xfId="0" applyAlignment="1" applyFont="1">
      <alignment horizontal="center" shrinkToFit="0" vertical="center" wrapText="0"/>
    </xf>
    <xf borderId="0" fillId="0" fontId="6" numFmtId="0" xfId="0" applyAlignment="1" applyFont="1">
      <alignment shrinkToFit="0" vertical="center" wrapText="0"/>
    </xf>
    <xf borderId="0" fillId="0" fontId="7" numFmtId="0" xfId="0" applyAlignment="1" applyFont="1">
      <alignment shrinkToFit="0" vertical="center" wrapText="0"/>
    </xf>
    <xf borderId="0" fillId="0" fontId="6" numFmtId="49" xfId="0" applyAlignment="1" applyFont="1" applyNumberFormat="1">
      <alignment horizontal="center" shrinkToFit="0" vertical="center" wrapText="0"/>
    </xf>
    <xf borderId="0" fillId="0" fontId="8" numFmtId="0" xfId="0" applyAlignment="1" applyFont="1">
      <alignment horizontal="center" shrinkToFit="0" vertical="center" wrapText="0"/>
    </xf>
    <xf borderId="0" fillId="0" fontId="9" numFmtId="0" xfId="0" applyAlignment="1" applyFont="1">
      <alignment shrinkToFit="0" vertical="center" wrapText="0"/>
    </xf>
    <xf borderId="0" fillId="0" fontId="7" numFmtId="0" xfId="0" applyAlignment="1" applyFont="1">
      <alignment horizontal="center" shrinkToFit="0" vertical="center" wrapText="0"/>
    </xf>
    <xf borderId="1" fillId="0" fontId="10" numFmtId="0" xfId="0" applyAlignment="1" applyBorder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0" fillId="0" fontId="12" numFmtId="0" xfId="0" applyAlignment="1" applyFont="1">
      <alignment shrinkToFit="0" vertical="bottom" wrapText="0"/>
    </xf>
    <xf borderId="0" fillId="0" fontId="13" numFmtId="0" xfId="0" applyAlignment="1" applyFont="1">
      <alignment shrinkToFit="0" vertical="bottom" wrapText="0"/>
    </xf>
    <xf borderId="0" fillId="0" fontId="14" numFmtId="0" xfId="0" applyAlignment="1" applyFont="1">
      <alignment horizontal="right" shrinkToFit="0" vertical="bottom" wrapText="0"/>
    </xf>
    <xf borderId="0" fillId="0" fontId="15" numFmtId="49" xfId="0" applyAlignment="1" applyFont="1" applyNumberFormat="1">
      <alignment shrinkToFit="0" vertical="center" wrapText="0"/>
    </xf>
    <xf borderId="0" fillId="0" fontId="12" numFmtId="0" xfId="0" applyAlignment="1" applyFont="1">
      <alignment shrinkToFit="0" vertical="center" wrapText="0"/>
    </xf>
    <xf borderId="0" fillId="0" fontId="15" numFmtId="0" xfId="0" applyAlignment="1" applyFont="1">
      <alignment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0" fontId="17" numFmtId="0" xfId="0" applyAlignment="1" applyFont="1">
      <alignment horizontal="center" shrinkToFit="0" vertical="center" wrapText="0"/>
    </xf>
    <xf borderId="0" fillId="0" fontId="12" numFmtId="0" xfId="0" applyAlignment="1" applyFont="1">
      <alignment horizontal="center" shrinkToFit="0" vertical="center" wrapText="0"/>
    </xf>
    <xf borderId="0" fillId="0" fontId="18" numFmtId="0" xfId="0" applyAlignment="1" applyFont="1">
      <alignment shrinkToFit="0" vertical="center" wrapText="0"/>
    </xf>
    <xf borderId="0" fillId="0" fontId="19" numFmtId="0" xfId="0" applyAlignment="1" applyFont="1">
      <alignment shrinkToFit="0" vertical="center" wrapText="0"/>
    </xf>
    <xf borderId="0" fillId="0" fontId="20" numFmtId="0" xfId="0" applyAlignment="1" applyFont="1">
      <alignment shrinkToFit="0" vertical="center" wrapText="0"/>
    </xf>
    <xf borderId="0" fillId="0" fontId="19" numFmtId="0" xfId="0" applyAlignment="1" applyFont="1">
      <alignment horizontal="center" shrinkToFit="0" vertical="center" wrapText="0"/>
    </xf>
    <xf borderId="1" fillId="0" fontId="20" numFmtId="49" xfId="0" applyAlignment="1" applyBorder="1" applyFont="1" applyNumberFormat="1">
      <alignment horizontal="left" shrinkToFit="0" vertical="center" wrapText="0"/>
    </xf>
    <xf borderId="0" fillId="0" fontId="21" numFmtId="0" xfId="0" applyAlignment="1" applyFont="1">
      <alignment horizontal="left" shrinkToFit="0" vertical="center" wrapText="0"/>
    </xf>
    <xf borderId="0" fillId="0" fontId="22" numFmtId="0" xfId="0" applyAlignment="1" applyFont="1">
      <alignment shrinkToFit="0" vertical="center" wrapText="0"/>
    </xf>
    <xf borderId="0" fillId="0" fontId="10" numFmtId="0" xfId="0" applyAlignment="1" applyFont="1">
      <alignment horizontal="center" shrinkToFit="0" vertical="center" wrapText="0"/>
    </xf>
    <xf borderId="0" fillId="0" fontId="23" numFmtId="0" xfId="0" applyAlignment="1" applyFont="1">
      <alignment horizontal="center" shrinkToFit="0" vertical="center" wrapText="0"/>
    </xf>
    <xf borderId="0" fillId="0" fontId="24" numFmtId="0" xfId="0" applyAlignment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0" fontId="5" numFmtId="0" xfId="0" applyAlignment="1" applyFont="1">
      <alignment shrinkToFit="0" vertical="center" wrapText="0"/>
    </xf>
    <xf borderId="0" fillId="0" fontId="25" numFmtId="0" xfId="0" applyAlignment="1" applyFont="1">
      <alignment shrinkToFit="0" vertical="center" wrapText="0"/>
    </xf>
    <xf borderId="0" fillId="0" fontId="11" numFmtId="0" xfId="0" applyAlignment="1" applyFont="1">
      <alignment shrinkToFit="0" vertical="center" wrapText="0"/>
    </xf>
    <xf borderId="0" fillId="0" fontId="26" numFmtId="0" xfId="0" applyAlignment="1" applyFont="1">
      <alignment horizontal="center" shrinkToFit="0" vertical="center" wrapText="0"/>
    </xf>
    <xf borderId="0" fillId="0" fontId="27" numFmtId="0" xfId="0" applyAlignment="1" applyFont="1">
      <alignment horizontal="center" shrinkToFit="0" vertical="center" wrapText="0"/>
    </xf>
  </cellXfs>
  <cellStyles count="1">
    <cellStyle xfId="0" name="Normal" builtinId="0"/>
  </cellStyles>
  <dxfs count="1">
    <dxf>
      <font/>
      <fill>
        <patternFill patternType="solid">
          <fgColor rgb="FFCCFFFF"/>
          <bgColor rgb="FFCCFFFF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93</xdr:row>
      <xdr:rowOff>419100</xdr:rowOff>
    </xdr:from>
    <xdr:ext cx="100679250" cy="16002000"/>
    <xdr:sp>
      <xdr:nvSpPr>
        <xdr:cNvPr id="3" name="Shape 3"/>
        <xdr:cNvSpPr/>
      </xdr:nvSpPr>
      <xdr:spPr>
        <a:xfrm>
          <a:off x="0" y="0"/>
          <a:ext cx="10692000" cy="7560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657225</xdr:colOff>
      <xdr:row>7</xdr:row>
      <xdr:rowOff>95250</xdr:rowOff>
    </xdr:from>
    <xdr:ext cx="1533525" cy="257175"/>
    <xdr:sp>
      <xdr:nvSpPr>
        <xdr:cNvPr id="4" name="Shape 4"/>
        <xdr:cNvSpPr/>
      </xdr:nvSpPr>
      <xdr:spPr>
        <a:xfrm>
          <a:off x="4584000" y="3656175"/>
          <a:ext cx="1524000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Peran sebagai Pimpinan</a:t>
          </a:r>
          <a:endParaRPr sz="1400"/>
        </a:p>
      </xdr:txBody>
    </xdr:sp>
    <xdr:clientData fLocksWithSheet="0"/>
  </xdr:oneCellAnchor>
  <xdr:oneCellAnchor>
    <xdr:from>
      <xdr:col>11</xdr:col>
      <xdr:colOff>676275</xdr:colOff>
      <xdr:row>11</xdr:row>
      <xdr:rowOff>9525</xdr:rowOff>
    </xdr:from>
    <xdr:ext cx="1533525" cy="257175"/>
    <xdr:sp>
      <xdr:nvSpPr>
        <xdr:cNvPr id="5" name="Shape 5"/>
        <xdr:cNvSpPr/>
      </xdr:nvSpPr>
      <xdr:spPr>
        <a:xfrm>
          <a:off x="4584000" y="3656175"/>
          <a:ext cx="1524000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Mengendalikan orang Lain</a:t>
          </a:r>
          <a:endParaRPr sz="1400"/>
        </a:p>
      </xdr:txBody>
    </xdr:sp>
    <xdr:clientData fLocksWithSheet="0"/>
  </xdr:oneCellAnchor>
  <xdr:oneCellAnchor>
    <xdr:from>
      <xdr:col>12</xdr:col>
      <xdr:colOff>457200</xdr:colOff>
      <xdr:row>16</xdr:row>
      <xdr:rowOff>19050</xdr:rowOff>
    </xdr:from>
    <xdr:ext cx="1524000" cy="409575"/>
    <xdr:sp>
      <xdr:nvSpPr>
        <xdr:cNvPr id="6" name="Shape 6"/>
        <xdr:cNvSpPr/>
      </xdr:nvSpPr>
      <xdr:spPr>
        <a:xfrm>
          <a:off x="4588763" y="3579975"/>
          <a:ext cx="1514475" cy="4000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Mudah dalam membuat keputusan</a:t>
          </a:r>
          <a:endParaRPr sz="1400"/>
        </a:p>
      </xdr:txBody>
    </xdr:sp>
    <xdr:clientData fLocksWithSheet="0"/>
  </xdr:oneCellAnchor>
  <xdr:oneCellAnchor>
    <xdr:from>
      <xdr:col>12</xdr:col>
      <xdr:colOff>638175</xdr:colOff>
      <xdr:row>21</xdr:row>
      <xdr:rowOff>133350</xdr:rowOff>
    </xdr:from>
    <xdr:ext cx="1228725" cy="238125"/>
    <xdr:sp>
      <xdr:nvSpPr>
        <xdr:cNvPr id="7" name="Shape 7"/>
        <xdr:cNvSpPr/>
      </xdr:nvSpPr>
      <xdr:spPr>
        <a:xfrm>
          <a:off x="4736400" y="3665700"/>
          <a:ext cx="1219200" cy="2286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Type selalu sibuk</a:t>
          </a:r>
          <a:endParaRPr sz="1400"/>
        </a:p>
      </xdr:txBody>
    </xdr:sp>
    <xdr:clientData fLocksWithSheet="0"/>
  </xdr:oneCellAnchor>
  <xdr:oneCellAnchor>
    <xdr:from>
      <xdr:col>12</xdr:col>
      <xdr:colOff>400050</xdr:colOff>
      <xdr:row>27</xdr:row>
      <xdr:rowOff>85725</xdr:rowOff>
    </xdr:from>
    <xdr:ext cx="1466850" cy="361950"/>
    <xdr:sp>
      <xdr:nvSpPr>
        <xdr:cNvPr id="8" name="Shape 8"/>
        <xdr:cNvSpPr/>
      </xdr:nvSpPr>
      <xdr:spPr>
        <a:xfrm>
          <a:off x="4617338" y="3603788"/>
          <a:ext cx="1457325" cy="3524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 Type orang yang semangat</a:t>
          </a:r>
          <a:endParaRPr sz="1400"/>
        </a:p>
      </xdr:txBody>
    </xdr:sp>
    <xdr:clientData fLocksWithSheet="0"/>
  </xdr:oneCellAnchor>
  <xdr:oneCellAnchor>
    <xdr:from>
      <xdr:col>11</xdr:col>
      <xdr:colOff>581025</xdr:colOff>
      <xdr:row>32</xdr:row>
      <xdr:rowOff>95250</xdr:rowOff>
    </xdr:from>
    <xdr:ext cx="1009650" cy="361950"/>
    <xdr:sp>
      <xdr:nvSpPr>
        <xdr:cNvPr id="9" name="Shape 9"/>
        <xdr:cNvSpPr/>
      </xdr:nvSpPr>
      <xdr:spPr>
        <a:xfrm>
          <a:off x="4845938" y="3603788"/>
          <a:ext cx="1000125" cy="3524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Untuk mendapat perhatian</a:t>
          </a:r>
          <a:endParaRPr sz="1400"/>
        </a:p>
      </xdr:txBody>
    </xdr:sp>
    <xdr:clientData fLocksWithSheet="0"/>
  </xdr:oneCellAnchor>
  <xdr:oneCellAnchor>
    <xdr:from>
      <xdr:col>10</xdr:col>
      <xdr:colOff>628650</xdr:colOff>
      <xdr:row>36</xdr:row>
      <xdr:rowOff>95250</xdr:rowOff>
    </xdr:from>
    <xdr:ext cx="1009650" cy="361950"/>
    <xdr:sp>
      <xdr:nvSpPr>
        <xdr:cNvPr id="10" name="Shape 10"/>
        <xdr:cNvSpPr/>
      </xdr:nvSpPr>
      <xdr:spPr>
        <a:xfrm>
          <a:off x="4845938" y="3603788"/>
          <a:ext cx="1000125" cy="3524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Pergaulan Luas</a:t>
          </a:r>
          <a:endParaRPr sz="1400"/>
        </a:p>
      </xdr:txBody>
    </xdr:sp>
    <xdr:clientData fLocksWithSheet="0"/>
  </xdr:oneCellAnchor>
  <xdr:oneCellAnchor>
    <xdr:from>
      <xdr:col>9</xdr:col>
      <xdr:colOff>361950</xdr:colOff>
      <xdr:row>39</xdr:row>
      <xdr:rowOff>38100</xdr:rowOff>
    </xdr:from>
    <xdr:ext cx="1114425" cy="371475"/>
    <xdr:sp>
      <xdr:nvSpPr>
        <xdr:cNvPr id="11" name="Shape 11"/>
        <xdr:cNvSpPr/>
      </xdr:nvSpPr>
      <xdr:spPr>
        <a:xfrm>
          <a:off x="4793550" y="3599025"/>
          <a:ext cx="1104900" cy="3619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Kebutuhan betah terhadap kelompok</a:t>
          </a:r>
          <a:endParaRPr sz="1400"/>
        </a:p>
      </xdr:txBody>
    </xdr:sp>
    <xdr:clientData fLocksWithSheet="0"/>
  </xdr:oneCellAnchor>
  <xdr:oneCellAnchor>
    <xdr:from>
      <xdr:col>7</xdr:col>
      <xdr:colOff>657225</xdr:colOff>
      <xdr:row>41</xdr:row>
      <xdr:rowOff>0</xdr:rowOff>
    </xdr:from>
    <xdr:ext cx="1371600" cy="361950"/>
    <xdr:sp>
      <xdr:nvSpPr>
        <xdr:cNvPr id="12" name="Shape 12"/>
        <xdr:cNvSpPr/>
      </xdr:nvSpPr>
      <xdr:spPr>
        <a:xfrm>
          <a:off x="4664963" y="3603788"/>
          <a:ext cx="1362075" cy="3524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Kebutuhan u/ mendekati &amp; menyayangi</a:t>
          </a:r>
          <a:endParaRPr sz="1400"/>
        </a:p>
      </xdr:txBody>
    </xdr:sp>
    <xdr:clientData fLocksWithSheet="0"/>
  </xdr:oneCellAnchor>
  <xdr:oneCellAnchor>
    <xdr:from>
      <xdr:col>6</xdr:col>
      <xdr:colOff>123825</xdr:colOff>
      <xdr:row>39</xdr:row>
      <xdr:rowOff>38100</xdr:rowOff>
    </xdr:from>
    <xdr:ext cx="1104900" cy="371475"/>
    <xdr:sp>
      <xdr:nvSpPr>
        <xdr:cNvPr id="13" name="Shape 13"/>
        <xdr:cNvSpPr/>
      </xdr:nvSpPr>
      <xdr:spPr>
        <a:xfrm>
          <a:off x="4798313" y="3599025"/>
          <a:ext cx="1095375" cy="3619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Type Teoritical</a:t>
          </a:r>
          <a:endParaRPr sz="1400"/>
        </a:p>
      </xdr:txBody>
    </xdr:sp>
    <xdr:clientData fLocksWithSheet="0"/>
  </xdr:oneCellAnchor>
  <xdr:oneCellAnchor>
    <xdr:from>
      <xdr:col>3</xdr:col>
      <xdr:colOff>447675</xdr:colOff>
      <xdr:row>36</xdr:row>
      <xdr:rowOff>104775</xdr:rowOff>
    </xdr:from>
    <xdr:ext cx="1114425" cy="361950"/>
    <xdr:sp>
      <xdr:nvSpPr>
        <xdr:cNvPr id="14" name="Shape 14"/>
        <xdr:cNvSpPr/>
      </xdr:nvSpPr>
      <xdr:spPr>
        <a:xfrm>
          <a:off x="4793550" y="3603788"/>
          <a:ext cx="1104900" cy="3524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Suka pekerjaan yang terperinci</a:t>
          </a:r>
          <a:endParaRPr sz="1400"/>
        </a:p>
      </xdr:txBody>
    </xdr:sp>
    <xdr:clientData fLocksWithSheet="0"/>
  </xdr:oneCellAnchor>
  <xdr:oneCellAnchor>
    <xdr:from>
      <xdr:col>2</xdr:col>
      <xdr:colOff>371475</xdr:colOff>
      <xdr:row>32</xdr:row>
      <xdr:rowOff>95250</xdr:rowOff>
    </xdr:from>
    <xdr:ext cx="1114425" cy="361950"/>
    <xdr:sp>
      <xdr:nvSpPr>
        <xdr:cNvPr id="15" name="Shape 15"/>
        <xdr:cNvSpPr/>
      </xdr:nvSpPr>
      <xdr:spPr>
        <a:xfrm>
          <a:off x="4793550" y="3603788"/>
          <a:ext cx="1104900" cy="3524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Type pengatur</a:t>
          </a:r>
          <a:endParaRPr sz="1400"/>
        </a:p>
      </xdr:txBody>
    </xdr:sp>
    <xdr:clientData fLocksWithSheet="0"/>
  </xdr:oneCellAnchor>
  <xdr:oneCellAnchor>
    <xdr:from>
      <xdr:col>1</xdr:col>
      <xdr:colOff>619125</xdr:colOff>
      <xdr:row>27</xdr:row>
      <xdr:rowOff>95250</xdr:rowOff>
    </xdr:from>
    <xdr:ext cx="1114425" cy="180975"/>
    <xdr:sp>
      <xdr:nvSpPr>
        <xdr:cNvPr id="16" name="Shape 16"/>
        <xdr:cNvSpPr/>
      </xdr:nvSpPr>
      <xdr:spPr>
        <a:xfrm>
          <a:off x="4793550" y="3694275"/>
          <a:ext cx="1104900" cy="1714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Hasrat untuk berubah</a:t>
          </a:r>
          <a:endParaRPr sz="1400"/>
        </a:p>
      </xdr:txBody>
    </xdr:sp>
    <xdr:clientData fLocksWithSheet="0"/>
  </xdr:oneCellAnchor>
  <xdr:oneCellAnchor>
    <xdr:from>
      <xdr:col>2</xdr:col>
      <xdr:colOff>95250</xdr:colOff>
      <xdr:row>21</xdr:row>
      <xdr:rowOff>123825</xdr:rowOff>
    </xdr:from>
    <xdr:ext cx="714375" cy="304800"/>
    <xdr:sp>
      <xdr:nvSpPr>
        <xdr:cNvPr id="17" name="Shape 17"/>
        <xdr:cNvSpPr/>
      </xdr:nvSpPr>
      <xdr:spPr>
        <a:xfrm>
          <a:off x="4993575" y="3632363"/>
          <a:ext cx="704850" cy="2952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Pengendalian Emosi</a:t>
          </a:r>
          <a:endParaRPr sz="1400"/>
        </a:p>
      </xdr:txBody>
    </xdr:sp>
    <xdr:clientData fLocksWithSheet="0"/>
  </xdr:oneCellAnchor>
  <xdr:oneCellAnchor>
    <xdr:from>
      <xdr:col>2</xdr:col>
      <xdr:colOff>381000</xdr:colOff>
      <xdr:row>16</xdr:row>
      <xdr:rowOff>9525</xdr:rowOff>
    </xdr:from>
    <xdr:ext cx="600075" cy="190500"/>
    <xdr:sp>
      <xdr:nvSpPr>
        <xdr:cNvPr id="18" name="Shape 18"/>
        <xdr:cNvSpPr/>
      </xdr:nvSpPr>
      <xdr:spPr>
        <a:xfrm>
          <a:off x="5050725" y="3689513"/>
          <a:ext cx="590550" cy="1809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Aggresi</a:t>
          </a:r>
          <a:endParaRPr sz="1400"/>
        </a:p>
      </xdr:txBody>
    </xdr:sp>
    <xdr:clientData fLocksWithSheet="0"/>
  </xdr:oneCellAnchor>
  <xdr:oneCellAnchor>
    <xdr:from>
      <xdr:col>2</xdr:col>
      <xdr:colOff>285750</xdr:colOff>
      <xdr:row>11</xdr:row>
      <xdr:rowOff>9525</xdr:rowOff>
    </xdr:from>
    <xdr:ext cx="1114425" cy="361950"/>
    <xdr:sp>
      <xdr:nvSpPr>
        <xdr:cNvPr id="19" name="Shape 19"/>
        <xdr:cNvSpPr/>
      </xdr:nvSpPr>
      <xdr:spPr>
        <a:xfrm>
          <a:off x="4793550" y="3603788"/>
          <a:ext cx="1104900" cy="3524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Dukungan dari atasan</a:t>
          </a:r>
          <a:endParaRPr sz="1400"/>
        </a:p>
      </xdr:txBody>
    </xdr:sp>
    <xdr:clientData fLocksWithSheet="0"/>
  </xdr:oneCellAnchor>
  <xdr:oneCellAnchor>
    <xdr:from>
      <xdr:col>3</xdr:col>
      <xdr:colOff>190500</xdr:colOff>
      <xdr:row>7</xdr:row>
      <xdr:rowOff>76200</xdr:rowOff>
    </xdr:from>
    <xdr:ext cx="1209675" cy="381000"/>
    <xdr:sp>
      <xdr:nvSpPr>
        <xdr:cNvPr id="20" name="Shape 20"/>
        <xdr:cNvSpPr/>
      </xdr:nvSpPr>
      <xdr:spPr>
        <a:xfrm>
          <a:off x="4745925" y="3594263"/>
          <a:ext cx="1200150" cy="3714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Kebutuhan taat pd aturan &amp; pengarahan</a:t>
          </a:r>
          <a:endParaRPr sz="1400"/>
        </a:p>
      </xdr:txBody>
    </xdr:sp>
    <xdr:clientData fLocksWithSheet="0"/>
  </xdr:oneCellAnchor>
  <xdr:oneCellAnchor>
    <xdr:from>
      <xdr:col>4</xdr:col>
      <xdr:colOff>323850</xdr:colOff>
      <xdr:row>4</xdr:row>
      <xdr:rowOff>95250</xdr:rowOff>
    </xdr:from>
    <xdr:ext cx="1209675" cy="371475"/>
    <xdr:sp>
      <xdr:nvSpPr>
        <xdr:cNvPr id="21" name="Shape 21"/>
        <xdr:cNvSpPr/>
      </xdr:nvSpPr>
      <xdr:spPr>
        <a:xfrm>
          <a:off x="4745925" y="3599025"/>
          <a:ext cx="1200150" cy="3619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Penyelesaian tugas secara pribadi</a:t>
          </a:r>
          <a:endParaRPr sz="1400"/>
        </a:p>
      </xdr:txBody>
    </xdr:sp>
    <xdr:clientData fLocksWithSheet="0"/>
  </xdr:oneCellAnchor>
  <xdr:oneCellAnchor>
    <xdr:from>
      <xdr:col>6</xdr:col>
      <xdr:colOff>114300</xdr:colOff>
      <xdr:row>2</xdr:row>
      <xdr:rowOff>133350</xdr:rowOff>
    </xdr:from>
    <xdr:ext cx="1200150" cy="381000"/>
    <xdr:sp>
      <xdr:nvSpPr>
        <xdr:cNvPr id="22" name="Shape 22"/>
        <xdr:cNvSpPr/>
      </xdr:nvSpPr>
      <xdr:spPr>
        <a:xfrm>
          <a:off x="4750688" y="3594263"/>
          <a:ext cx="1190625" cy="3714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Peranan sebagai pekerja keras</a:t>
          </a:r>
          <a:endParaRPr sz="1400"/>
        </a:p>
      </xdr:txBody>
    </xdr:sp>
    <xdr:clientData fLocksWithSheet="0"/>
  </xdr:oneCellAnchor>
  <xdr:oneCellAnchor>
    <xdr:from>
      <xdr:col>9</xdr:col>
      <xdr:colOff>523875</xdr:colOff>
      <xdr:row>5</xdr:row>
      <xdr:rowOff>38100</xdr:rowOff>
    </xdr:from>
    <xdr:ext cx="1209675" cy="190500"/>
    <xdr:sp>
      <xdr:nvSpPr>
        <xdr:cNvPr id="23" name="Shape 23"/>
        <xdr:cNvSpPr/>
      </xdr:nvSpPr>
      <xdr:spPr>
        <a:xfrm>
          <a:off x="4745925" y="3689513"/>
          <a:ext cx="1200150" cy="1809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i="0" lang="en-US" sz="700" u="none" strike="noStrike">
              <a:solidFill>
                <a:srgbClr val="000000"/>
              </a:solidFill>
              <a:latin typeface="Tahoma"/>
              <a:ea typeface="Tahoma"/>
              <a:cs typeface="Tahoma"/>
              <a:sym typeface="Tahoma"/>
            </a:rPr>
            <a:t>Hasrat untuk berprestasi</a:t>
          </a:r>
          <a:endParaRPr sz="1400"/>
        </a:p>
      </xdr:txBody>
    </xdr:sp>
    <xdr:clientData fLocksWithSheet="0"/>
  </xdr:oneCellAnchor>
  <xdr:oneCellAnchor>
    <xdr:from>
      <xdr:col>6</xdr:col>
      <xdr:colOff>19050</xdr:colOff>
      <xdr:row>1</xdr:row>
      <xdr:rowOff>0</xdr:rowOff>
    </xdr:from>
    <xdr:ext cx="3028950" cy="514350"/>
    <xdr:sp>
      <xdr:nvSpPr>
        <xdr:cNvPr id="24" name="Shape 24"/>
        <xdr:cNvSpPr/>
      </xdr:nvSpPr>
      <xdr:spPr>
        <a:xfrm>
          <a:off x="3836288" y="3527588"/>
          <a:ext cx="3019425" cy="504825"/>
        </a:xfrm>
        <a:custGeom>
          <a:rect b="b" l="l" r="r" t="t"/>
          <a:pathLst>
            <a:path extrusionOk="0" h="54" w="176">
              <a:moveTo>
                <a:pt x="0" y="54"/>
              </a:moveTo>
              <a:lnTo>
                <a:pt x="0" y="0"/>
              </a:lnTo>
              <a:lnTo>
                <a:pt x="176" y="0"/>
              </a:lnTo>
            </a:path>
          </a:pathLst>
        </a:custGeom>
        <a:noFill/>
        <a:ln cap="flat" cmpd="sng" w="9525">
          <a:solidFill>
            <a:srgbClr val="000000"/>
          </a:solidFill>
          <a:prstDash val="solid"/>
          <a:round/>
          <a:headEnd len="med" w="med" type="none"/>
          <a:tailEnd len="med" w="med" type="none"/>
        </a:ln>
      </xdr:spPr>
    </xdr:sp>
    <xdr:clientData fLocksWithSheet="0"/>
  </xdr:oneCellAnchor>
  <xdr:oneCellAnchor>
    <xdr:from>
      <xdr:col>8</xdr:col>
      <xdr:colOff>123825</xdr:colOff>
      <xdr:row>1</xdr:row>
      <xdr:rowOff>0</xdr:rowOff>
    </xdr:from>
    <xdr:ext cx="38100" cy="371475"/>
    <xdr:grpSp>
      <xdr:nvGrpSpPr>
        <xdr:cNvPr id="2" name="Shape 2"/>
        <xdr:cNvGrpSpPr/>
      </xdr:nvGrpSpPr>
      <xdr:grpSpPr>
        <a:xfrm>
          <a:off x="5346000" y="3594263"/>
          <a:ext cx="0" cy="371475"/>
          <a:chOff x="5346000" y="3594263"/>
          <a:chExt cx="0" cy="371475"/>
        </a:xfrm>
      </xdr:grpSpPr>
      <xdr:cxnSp>
        <xdr:nvCxnSpPr>
          <xdr:cNvPr id="25" name="Shape 25"/>
          <xdr:cNvCxnSpPr/>
        </xdr:nvCxnSpPr>
        <xdr:spPr>
          <a:xfrm>
            <a:off x="5346000" y="3594263"/>
            <a:ext cx="0" cy="37147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9</xdr:col>
      <xdr:colOff>381000</xdr:colOff>
      <xdr:row>1</xdr:row>
      <xdr:rowOff>0</xdr:rowOff>
    </xdr:from>
    <xdr:ext cx="38100" cy="514350"/>
    <xdr:grpSp>
      <xdr:nvGrpSpPr>
        <xdr:cNvPr id="2" name="Shape 2"/>
        <xdr:cNvGrpSpPr/>
      </xdr:nvGrpSpPr>
      <xdr:grpSpPr>
        <a:xfrm>
          <a:off x="5346000" y="3522825"/>
          <a:ext cx="0" cy="514350"/>
          <a:chOff x="5346000" y="3522825"/>
          <a:chExt cx="0" cy="514350"/>
        </a:xfrm>
      </xdr:grpSpPr>
      <xdr:cxnSp>
        <xdr:nvCxnSpPr>
          <xdr:cNvPr id="26" name="Shape 26"/>
          <xdr:cNvCxnSpPr/>
        </xdr:nvCxnSpPr>
        <xdr:spPr>
          <a:xfrm>
            <a:off x="5346000" y="3522825"/>
            <a:ext cx="0" cy="51435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11</xdr:col>
      <xdr:colOff>352425</xdr:colOff>
      <xdr:row>7</xdr:row>
      <xdr:rowOff>0</xdr:rowOff>
    </xdr:from>
    <xdr:ext cx="2895600" cy="38100"/>
    <xdr:grpSp>
      <xdr:nvGrpSpPr>
        <xdr:cNvPr id="2" name="Shape 2"/>
        <xdr:cNvGrpSpPr/>
      </xdr:nvGrpSpPr>
      <xdr:grpSpPr>
        <a:xfrm>
          <a:off x="3898200" y="3780000"/>
          <a:ext cx="2895600" cy="0"/>
          <a:chOff x="3898200" y="3780000"/>
          <a:chExt cx="2895600" cy="0"/>
        </a:xfrm>
      </xdr:grpSpPr>
      <xdr:cxnSp>
        <xdr:nvCxnSpPr>
          <xdr:cNvPr id="27" name="Shape 27"/>
          <xdr:cNvCxnSpPr/>
        </xdr:nvCxnSpPr>
        <xdr:spPr>
          <a:xfrm>
            <a:off x="3898200" y="3780000"/>
            <a:ext cx="289560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13</xdr:col>
      <xdr:colOff>200025</xdr:colOff>
      <xdr:row>7</xdr:row>
      <xdr:rowOff>0</xdr:rowOff>
    </xdr:from>
    <xdr:ext cx="828675" cy="1495425"/>
    <xdr:sp>
      <xdr:nvSpPr>
        <xdr:cNvPr id="28" name="Shape 28"/>
        <xdr:cNvSpPr/>
      </xdr:nvSpPr>
      <xdr:spPr>
        <a:xfrm>
          <a:off x="4936425" y="3037050"/>
          <a:ext cx="819150" cy="1485900"/>
        </a:xfrm>
        <a:custGeom>
          <a:rect b="b" l="l" r="r" t="t"/>
          <a:pathLst>
            <a:path extrusionOk="0" h="156" w="76">
              <a:moveTo>
                <a:pt x="0" y="156"/>
              </a:moveTo>
              <a:lnTo>
                <a:pt x="76" y="156"/>
              </a:lnTo>
              <a:lnTo>
                <a:pt x="76" y="0"/>
              </a:lnTo>
            </a:path>
          </a:pathLst>
        </a:custGeom>
        <a:noFill/>
        <a:ln cap="flat" cmpd="sng" w="9525">
          <a:solidFill>
            <a:srgbClr val="000000"/>
          </a:solidFill>
          <a:prstDash val="solid"/>
          <a:round/>
          <a:headEnd len="med" w="med" type="none"/>
          <a:tailEnd len="med" w="med" type="none"/>
        </a:ln>
      </xdr:spPr>
    </xdr:sp>
    <xdr:clientData fLocksWithSheet="0"/>
  </xdr:oneCellAnchor>
  <xdr:oneCellAnchor>
    <xdr:from>
      <xdr:col>13</xdr:col>
      <xdr:colOff>180975</xdr:colOff>
      <xdr:row>10</xdr:row>
      <xdr:rowOff>95250</xdr:rowOff>
    </xdr:from>
    <xdr:ext cx="838200" cy="38100"/>
    <xdr:grpSp>
      <xdr:nvGrpSpPr>
        <xdr:cNvPr id="2" name="Shape 2"/>
        <xdr:cNvGrpSpPr/>
      </xdr:nvGrpSpPr>
      <xdr:grpSpPr>
        <a:xfrm>
          <a:off x="4926900" y="3780000"/>
          <a:ext cx="838200" cy="0"/>
          <a:chOff x="4926900" y="3780000"/>
          <a:chExt cx="838200" cy="0"/>
        </a:xfrm>
      </xdr:grpSpPr>
      <xdr:cxnSp>
        <xdr:nvCxnSpPr>
          <xdr:cNvPr id="29" name="Shape 29"/>
          <xdr:cNvCxnSpPr/>
        </xdr:nvCxnSpPr>
        <xdr:spPr>
          <a:xfrm>
            <a:off x="4926900" y="3780000"/>
            <a:ext cx="83820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13</xdr:col>
      <xdr:colOff>161925</xdr:colOff>
      <xdr:row>21</xdr:row>
      <xdr:rowOff>38100</xdr:rowOff>
    </xdr:from>
    <xdr:ext cx="838200" cy="942975"/>
    <xdr:sp>
      <xdr:nvSpPr>
        <xdr:cNvPr id="30" name="Shape 30"/>
        <xdr:cNvSpPr/>
      </xdr:nvSpPr>
      <xdr:spPr>
        <a:xfrm>
          <a:off x="4931663" y="3313275"/>
          <a:ext cx="828675" cy="933450"/>
        </a:xfrm>
        <a:custGeom>
          <a:rect b="b" l="l" r="r" t="t"/>
          <a:pathLst>
            <a:path extrusionOk="0" h="97" w="77">
              <a:moveTo>
                <a:pt x="0" y="97"/>
              </a:moveTo>
              <a:lnTo>
                <a:pt x="77" y="97"/>
              </a:lnTo>
              <a:lnTo>
                <a:pt x="77" y="0"/>
              </a:lnTo>
            </a:path>
          </a:pathLst>
        </a:custGeom>
        <a:noFill/>
        <a:ln cap="flat" cmpd="sng" w="9525">
          <a:solidFill>
            <a:srgbClr val="000000"/>
          </a:solidFill>
          <a:prstDash val="solid"/>
          <a:round/>
          <a:headEnd len="med" w="med" type="none"/>
          <a:tailEnd len="med" w="med" type="none"/>
        </a:ln>
      </xdr:spPr>
    </xdr:sp>
    <xdr:clientData fLocksWithSheet="0"/>
  </xdr:oneCellAnchor>
  <xdr:oneCellAnchor>
    <xdr:from>
      <xdr:col>13</xdr:col>
      <xdr:colOff>285750</xdr:colOff>
      <xdr:row>21</xdr:row>
      <xdr:rowOff>9525</xdr:rowOff>
    </xdr:from>
    <xdr:ext cx="1485900" cy="38100"/>
    <xdr:grpSp>
      <xdr:nvGrpSpPr>
        <xdr:cNvPr id="2" name="Shape 2"/>
        <xdr:cNvGrpSpPr/>
      </xdr:nvGrpSpPr>
      <xdr:grpSpPr>
        <a:xfrm>
          <a:off x="4603050" y="3780000"/>
          <a:ext cx="1485900" cy="0"/>
          <a:chOff x="4603050" y="3780000"/>
          <a:chExt cx="1485900" cy="0"/>
        </a:xfrm>
      </xdr:grpSpPr>
      <xdr:cxnSp>
        <xdr:nvCxnSpPr>
          <xdr:cNvPr id="31" name="Shape 31"/>
          <xdr:cNvCxnSpPr/>
        </xdr:nvCxnSpPr>
        <xdr:spPr>
          <a:xfrm>
            <a:off x="4603050" y="3780000"/>
            <a:ext cx="148590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9</xdr:col>
      <xdr:colOff>542925</xdr:colOff>
      <xdr:row>31</xdr:row>
      <xdr:rowOff>114300</xdr:rowOff>
    </xdr:from>
    <xdr:ext cx="3228975" cy="1695450"/>
    <xdr:sp>
      <xdr:nvSpPr>
        <xdr:cNvPr id="32" name="Shape 32"/>
        <xdr:cNvSpPr/>
      </xdr:nvSpPr>
      <xdr:spPr>
        <a:xfrm>
          <a:off x="3736275" y="2937038"/>
          <a:ext cx="3219450" cy="1685925"/>
        </a:xfrm>
        <a:custGeom>
          <a:rect b="b" l="l" r="r" t="t"/>
          <a:pathLst>
            <a:path extrusionOk="0" h="177" w="296">
              <a:moveTo>
                <a:pt x="0" y="177"/>
              </a:moveTo>
              <a:lnTo>
                <a:pt x="296" y="177"/>
              </a:lnTo>
              <a:lnTo>
                <a:pt x="296" y="0"/>
              </a:lnTo>
            </a:path>
          </a:pathLst>
        </a:custGeom>
        <a:noFill/>
        <a:ln cap="flat" cmpd="sng" w="9525">
          <a:solidFill>
            <a:srgbClr val="000000"/>
          </a:solidFill>
          <a:prstDash val="solid"/>
          <a:round/>
          <a:headEnd len="med" w="med" type="none"/>
          <a:tailEnd len="med" w="med" type="none"/>
        </a:ln>
      </xdr:spPr>
    </xdr:sp>
    <xdr:clientData fLocksWithSheet="0"/>
  </xdr:oneCellAnchor>
  <xdr:oneCellAnchor>
    <xdr:from>
      <xdr:col>12</xdr:col>
      <xdr:colOff>295275</xdr:colOff>
      <xdr:row>31</xdr:row>
      <xdr:rowOff>104775</xdr:rowOff>
    </xdr:from>
    <xdr:ext cx="2114550" cy="38100"/>
    <xdr:grpSp>
      <xdr:nvGrpSpPr>
        <xdr:cNvPr id="2" name="Shape 2"/>
        <xdr:cNvGrpSpPr/>
      </xdr:nvGrpSpPr>
      <xdr:grpSpPr>
        <a:xfrm>
          <a:off x="4288725" y="3780000"/>
          <a:ext cx="2114550" cy="0"/>
          <a:chOff x="4288725" y="3780000"/>
          <a:chExt cx="2114550" cy="0"/>
        </a:xfrm>
      </xdr:grpSpPr>
      <xdr:cxnSp>
        <xdr:nvCxnSpPr>
          <xdr:cNvPr id="33" name="Shape 33"/>
          <xdr:cNvCxnSpPr/>
        </xdr:nvCxnSpPr>
        <xdr:spPr>
          <a:xfrm>
            <a:off x="4288725" y="3780000"/>
            <a:ext cx="211455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11</xdr:col>
      <xdr:colOff>161925</xdr:colOff>
      <xdr:row>39</xdr:row>
      <xdr:rowOff>38100</xdr:rowOff>
    </xdr:from>
    <xdr:ext cx="2209800" cy="38100"/>
    <xdr:grpSp>
      <xdr:nvGrpSpPr>
        <xdr:cNvPr id="2" name="Shape 2"/>
        <xdr:cNvGrpSpPr/>
      </xdr:nvGrpSpPr>
      <xdr:grpSpPr>
        <a:xfrm>
          <a:off x="4241100" y="3780000"/>
          <a:ext cx="2209800" cy="0"/>
          <a:chOff x="4241100" y="3780000"/>
          <a:chExt cx="2209800" cy="0"/>
        </a:xfrm>
      </xdr:grpSpPr>
      <xdr:cxnSp>
        <xdr:nvCxnSpPr>
          <xdr:cNvPr id="34" name="Shape 34"/>
          <xdr:cNvCxnSpPr/>
        </xdr:nvCxnSpPr>
        <xdr:spPr>
          <a:xfrm>
            <a:off x="4241100" y="3780000"/>
            <a:ext cx="220980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11</xdr:col>
      <xdr:colOff>333375</xdr:colOff>
      <xdr:row>36</xdr:row>
      <xdr:rowOff>-19050</xdr:rowOff>
    </xdr:from>
    <xdr:ext cx="2047875" cy="38100"/>
    <xdr:grpSp>
      <xdr:nvGrpSpPr>
        <xdr:cNvPr id="2" name="Shape 2"/>
        <xdr:cNvGrpSpPr/>
      </xdr:nvGrpSpPr>
      <xdr:grpSpPr>
        <a:xfrm>
          <a:off x="4322063" y="3780000"/>
          <a:ext cx="2047875" cy="0"/>
          <a:chOff x="4322063" y="3780000"/>
          <a:chExt cx="2047875" cy="0"/>
        </a:xfrm>
      </xdr:grpSpPr>
      <xdr:cxnSp>
        <xdr:nvCxnSpPr>
          <xdr:cNvPr id="35" name="Shape 35"/>
          <xdr:cNvCxnSpPr/>
        </xdr:nvCxnSpPr>
        <xdr:spPr>
          <a:xfrm>
            <a:off x="4322063" y="3780000"/>
            <a:ext cx="2047875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</xdr:col>
      <xdr:colOff>657225</xdr:colOff>
      <xdr:row>32</xdr:row>
      <xdr:rowOff>9525</xdr:rowOff>
    </xdr:from>
    <xdr:ext cx="1190625" cy="1133475"/>
    <xdr:sp>
      <xdr:nvSpPr>
        <xdr:cNvPr id="36" name="Shape 36"/>
        <xdr:cNvSpPr/>
      </xdr:nvSpPr>
      <xdr:spPr>
        <a:xfrm>
          <a:off x="4755450" y="3218025"/>
          <a:ext cx="1181100" cy="1123950"/>
        </a:xfrm>
        <a:custGeom>
          <a:rect b="b" l="l" r="r" t="t"/>
          <a:pathLst>
            <a:path extrusionOk="0" h="117" w="67">
              <a:moveTo>
                <a:pt x="67" y="0"/>
              </a:moveTo>
              <a:lnTo>
                <a:pt x="0" y="0"/>
              </a:lnTo>
              <a:lnTo>
                <a:pt x="0" y="117"/>
              </a:lnTo>
            </a:path>
          </a:pathLst>
        </a:custGeom>
        <a:noFill/>
        <a:ln cap="flat" cmpd="sng" w="9525">
          <a:solidFill>
            <a:srgbClr val="000000"/>
          </a:solidFill>
          <a:prstDash val="solid"/>
          <a:round/>
          <a:headEnd len="med" w="med" type="none"/>
          <a:tailEnd len="med" w="med" type="none"/>
        </a:ln>
      </xdr:spPr>
    </xdr:sp>
    <xdr:clientData fLocksWithSheet="0"/>
  </xdr:oneCellAnchor>
  <xdr:oneCellAnchor>
    <xdr:from>
      <xdr:col>1</xdr:col>
      <xdr:colOff>85725</xdr:colOff>
      <xdr:row>39</xdr:row>
      <xdr:rowOff>-19050</xdr:rowOff>
    </xdr:from>
    <xdr:ext cx="3352800" cy="38100"/>
    <xdr:grpSp>
      <xdr:nvGrpSpPr>
        <xdr:cNvPr id="2" name="Shape 2"/>
        <xdr:cNvGrpSpPr/>
      </xdr:nvGrpSpPr>
      <xdr:grpSpPr>
        <a:xfrm>
          <a:off x="3669600" y="3780000"/>
          <a:ext cx="3352800" cy="0"/>
          <a:chOff x="3669600" y="3780000"/>
          <a:chExt cx="3352800" cy="0"/>
        </a:xfrm>
      </xdr:grpSpPr>
      <xdr:cxnSp>
        <xdr:nvCxnSpPr>
          <xdr:cNvPr id="37" name="Shape 37"/>
          <xdr:cNvCxnSpPr/>
        </xdr:nvCxnSpPr>
        <xdr:spPr>
          <a:xfrm>
            <a:off x="3669600" y="3780000"/>
            <a:ext cx="335280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</xdr:col>
      <xdr:colOff>638175</xdr:colOff>
      <xdr:row>15</xdr:row>
      <xdr:rowOff>104775</xdr:rowOff>
    </xdr:from>
    <xdr:ext cx="695325" cy="1790700"/>
    <xdr:sp>
      <xdr:nvSpPr>
        <xdr:cNvPr id="38" name="Shape 38"/>
        <xdr:cNvSpPr/>
      </xdr:nvSpPr>
      <xdr:spPr>
        <a:xfrm>
          <a:off x="4998338" y="2889413"/>
          <a:ext cx="695325" cy="1781175"/>
        </a:xfrm>
        <a:custGeom>
          <a:rect b="b" l="l" r="r" t="t"/>
          <a:pathLst>
            <a:path extrusionOk="0" h="117" w="67">
              <a:moveTo>
                <a:pt x="67" y="0"/>
              </a:moveTo>
              <a:lnTo>
                <a:pt x="0" y="0"/>
              </a:lnTo>
              <a:lnTo>
                <a:pt x="0" y="117"/>
              </a:lnTo>
            </a:path>
          </a:pathLst>
        </a:custGeom>
        <a:noFill/>
        <a:ln cap="flat" cmpd="sng" w="9525">
          <a:solidFill>
            <a:srgbClr val="000000"/>
          </a:solidFill>
          <a:prstDash val="solid"/>
          <a:round/>
          <a:headEnd len="med" w="med" type="none"/>
          <a:tailEnd len="med" w="med" type="none"/>
        </a:ln>
      </xdr:spPr>
    </xdr:sp>
    <xdr:clientData fLocksWithSheet="0"/>
  </xdr:oneCellAnchor>
  <xdr:oneCellAnchor>
    <xdr:from>
      <xdr:col>1</xdr:col>
      <xdr:colOff>95250</xdr:colOff>
      <xdr:row>26</xdr:row>
      <xdr:rowOff>104775</xdr:rowOff>
    </xdr:from>
    <xdr:ext cx="1219200" cy="38100"/>
    <xdr:grpSp>
      <xdr:nvGrpSpPr>
        <xdr:cNvPr id="2" name="Shape 2"/>
        <xdr:cNvGrpSpPr/>
      </xdr:nvGrpSpPr>
      <xdr:grpSpPr>
        <a:xfrm>
          <a:off x="4736400" y="3780000"/>
          <a:ext cx="1219200" cy="0"/>
          <a:chOff x="4736400" y="3780000"/>
          <a:chExt cx="1219200" cy="0"/>
        </a:xfrm>
      </xdr:grpSpPr>
      <xdr:cxnSp>
        <xdr:nvCxnSpPr>
          <xdr:cNvPr id="39" name="Shape 39"/>
          <xdr:cNvCxnSpPr/>
        </xdr:nvCxnSpPr>
        <xdr:spPr>
          <a:xfrm rot="10800000">
            <a:off x="4736400" y="3780000"/>
            <a:ext cx="121920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</xdr:col>
      <xdr:colOff>647700</xdr:colOff>
      <xdr:row>21</xdr:row>
      <xdr:rowOff>47625</xdr:rowOff>
    </xdr:from>
    <xdr:ext cx="600075" cy="38100"/>
    <xdr:grpSp>
      <xdr:nvGrpSpPr>
        <xdr:cNvPr id="2" name="Shape 2"/>
        <xdr:cNvGrpSpPr/>
      </xdr:nvGrpSpPr>
      <xdr:grpSpPr>
        <a:xfrm>
          <a:off x="5045963" y="3780000"/>
          <a:ext cx="600075" cy="0"/>
          <a:chOff x="5045963" y="3780000"/>
          <a:chExt cx="600075" cy="0"/>
        </a:xfrm>
      </xdr:grpSpPr>
      <xdr:cxnSp>
        <xdr:nvCxnSpPr>
          <xdr:cNvPr id="40" name="Shape 40"/>
          <xdr:cNvCxnSpPr/>
        </xdr:nvCxnSpPr>
        <xdr:spPr>
          <a:xfrm rot="10800000">
            <a:off x="5045963" y="3780000"/>
            <a:ext cx="600075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</xdr:col>
      <xdr:colOff>666750</xdr:colOff>
      <xdr:row>36</xdr:row>
      <xdr:rowOff>0</xdr:rowOff>
    </xdr:from>
    <xdr:ext cx="1895475" cy="38100"/>
    <xdr:grpSp>
      <xdr:nvGrpSpPr>
        <xdr:cNvPr id="2" name="Shape 2"/>
        <xdr:cNvGrpSpPr/>
      </xdr:nvGrpSpPr>
      <xdr:grpSpPr>
        <a:xfrm>
          <a:off x="4398263" y="3780000"/>
          <a:ext cx="1895475" cy="0"/>
          <a:chOff x="4398263" y="3780000"/>
          <a:chExt cx="1895475" cy="0"/>
        </a:xfrm>
      </xdr:grpSpPr>
      <xdr:cxnSp>
        <xdr:nvCxnSpPr>
          <xdr:cNvPr id="41" name="Shape 41"/>
          <xdr:cNvCxnSpPr/>
        </xdr:nvCxnSpPr>
        <xdr:spPr>
          <a:xfrm rot="10800000">
            <a:off x="4398263" y="3780000"/>
            <a:ext cx="1895475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1</xdr:col>
      <xdr:colOff>619125</xdr:colOff>
      <xdr:row>6</xdr:row>
      <xdr:rowOff>171450</xdr:rowOff>
    </xdr:from>
    <xdr:ext cx="1895475" cy="666750"/>
    <xdr:sp>
      <xdr:nvSpPr>
        <xdr:cNvPr id="42" name="Shape 42"/>
        <xdr:cNvSpPr/>
      </xdr:nvSpPr>
      <xdr:spPr>
        <a:xfrm>
          <a:off x="4403025" y="3451388"/>
          <a:ext cx="1885950" cy="657225"/>
        </a:xfrm>
        <a:custGeom>
          <a:rect b="b" l="l" r="r" t="t"/>
          <a:pathLst>
            <a:path extrusionOk="0" h="69" w="173">
              <a:moveTo>
                <a:pt x="173" y="0"/>
              </a:moveTo>
              <a:lnTo>
                <a:pt x="0" y="0"/>
              </a:lnTo>
              <a:lnTo>
                <a:pt x="0" y="69"/>
              </a:lnTo>
            </a:path>
          </a:pathLst>
        </a:custGeom>
        <a:noFill/>
        <a:ln cap="flat" cmpd="sng" w="9525">
          <a:solidFill>
            <a:srgbClr val="000000"/>
          </a:solidFill>
          <a:prstDash val="solid"/>
          <a:round/>
          <a:headEnd len="med" w="med" type="none"/>
          <a:tailEnd len="med" w="med" type="none"/>
        </a:ln>
      </xdr:spPr>
    </xdr:sp>
    <xdr:clientData fLocksWithSheet="0"/>
  </xdr:oneCellAnchor>
  <xdr:oneCellAnchor>
    <xdr:from>
      <xdr:col>1</xdr:col>
      <xdr:colOff>133350</xdr:colOff>
      <xdr:row>10</xdr:row>
      <xdr:rowOff>47625</xdr:rowOff>
    </xdr:from>
    <xdr:ext cx="1733550" cy="38100"/>
    <xdr:grpSp>
      <xdr:nvGrpSpPr>
        <xdr:cNvPr id="2" name="Shape 2"/>
        <xdr:cNvGrpSpPr/>
      </xdr:nvGrpSpPr>
      <xdr:grpSpPr>
        <a:xfrm>
          <a:off x="4479225" y="3780000"/>
          <a:ext cx="1733550" cy="0"/>
          <a:chOff x="4479225" y="3780000"/>
          <a:chExt cx="1733550" cy="0"/>
        </a:xfrm>
      </xdr:grpSpPr>
      <xdr:cxnSp>
        <xdr:nvCxnSpPr>
          <xdr:cNvPr id="43" name="Shape 43"/>
          <xdr:cNvCxnSpPr/>
        </xdr:nvCxnSpPr>
        <xdr:spPr>
          <a:xfrm rot="10800000">
            <a:off x="4479225" y="3780000"/>
            <a:ext cx="1733550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miter lim="800000"/>
            <a:headEnd len="med" w="med" type="none"/>
            <a:tailEnd len="med" w="med" type="none"/>
          </a:ln>
        </xdr:spPr>
      </xdr:cxnSp>
    </xdr:grpSp>
    <xdr:clientData fLocksWithSheet="0"/>
  </xdr:oneCellAnchor>
  <xdr:oneCellAnchor>
    <xdr:from>
      <xdr:col>0</xdr:col>
      <xdr:colOff>600075</xdr:colOff>
      <xdr:row>39</xdr:row>
      <xdr:rowOff>57150</xdr:rowOff>
    </xdr:from>
    <xdr:ext cx="1962150" cy="285750"/>
    <xdr:sp>
      <xdr:nvSpPr>
        <xdr:cNvPr id="44" name="Shape 44"/>
        <xdr:cNvSpPr/>
      </xdr:nvSpPr>
      <xdr:spPr>
        <a:xfrm>
          <a:off x="4369688" y="3641888"/>
          <a:ext cx="1952625" cy="2762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FF6600"/>
              </a:solidFill>
              <a:latin typeface="Verdana"/>
              <a:ea typeface="Verdana"/>
              <a:cs typeface="Verdana"/>
              <a:sym typeface="Verdana"/>
            </a:rPr>
            <a:t>GAYA KERJA</a:t>
          </a:r>
          <a:endParaRPr sz="1400"/>
        </a:p>
      </xdr:txBody>
    </xdr:sp>
    <xdr:clientData fLocksWithSheet="0"/>
  </xdr:oneCellAnchor>
  <xdr:oneCellAnchor>
    <xdr:from>
      <xdr:col>0</xdr:col>
      <xdr:colOff>647700</xdr:colOff>
      <xdr:row>26</xdr:row>
      <xdr:rowOff>123825</xdr:rowOff>
    </xdr:from>
    <xdr:ext cx="1171575" cy="276225"/>
    <xdr:sp>
      <xdr:nvSpPr>
        <xdr:cNvPr id="45" name="Shape 45"/>
        <xdr:cNvSpPr/>
      </xdr:nvSpPr>
      <xdr:spPr>
        <a:xfrm>
          <a:off x="4764975" y="3646650"/>
          <a:ext cx="1162050" cy="266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FF6600"/>
              </a:solidFill>
              <a:latin typeface="Verdana"/>
              <a:ea typeface="Verdana"/>
              <a:cs typeface="Verdana"/>
              <a:sym typeface="Verdana"/>
            </a:rPr>
            <a:t>SIFAT</a:t>
          </a:r>
          <a:endParaRPr sz="1400"/>
        </a:p>
      </xdr:txBody>
    </xdr:sp>
    <xdr:clientData fLocksWithSheet="0"/>
  </xdr:oneCellAnchor>
  <xdr:oneCellAnchor>
    <xdr:from>
      <xdr:col>14</xdr:col>
      <xdr:colOff>352425</xdr:colOff>
      <xdr:row>32</xdr:row>
      <xdr:rowOff>9525</xdr:rowOff>
    </xdr:from>
    <xdr:ext cx="1428750" cy="276225"/>
    <xdr:sp>
      <xdr:nvSpPr>
        <xdr:cNvPr id="46" name="Shape 46"/>
        <xdr:cNvSpPr/>
      </xdr:nvSpPr>
      <xdr:spPr>
        <a:xfrm>
          <a:off x="4636388" y="3646650"/>
          <a:ext cx="1419225" cy="266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FF6600"/>
              </a:solidFill>
              <a:latin typeface="Verdana"/>
              <a:ea typeface="Verdana"/>
              <a:cs typeface="Verdana"/>
              <a:sym typeface="Verdana"/>
            </a:rPr>
            <a:t>PERGAULAN</a:t>
          </a:r>
          <a:endParaRPr sz="1400"/>
        </a:p>
      </xdr:txBody>
    </xdr:sp>
    <xdr:clientData fLocksWithSheet="0"/>
  </xdr:oneCellAnchor>
  <xdr:oneCellAnchor>
    <xdr:from>
      <xdr:col>14</xdr:col>
      <xdr:colOff>323850</xdr:colOff>
      <xdr:row>21</xdr:row>
      <xdr:rowOff>38100</xdr:rowOff>
    </xdr:from>
    <xdr:ext cx="1447800" cy="276225"/>
    <xdr:sp>
      <xdr:nvSpPr>
        <xdr:cNvPr id="47" name="Shape 47"/>
        <xdr:cNvSpPr/>
      </xdr:nvSpPr>
      <xdr:spPr>
        <a:xfrm>
          <a:off x="4626863" y="3646650"/>
          <a:ext cx="1438275" cy="266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FF6600"/>
              </a:solidFill>
              <a:latin typeface="Verdana"/>
              <a:ea typeface="Verdana"/>
              <a:cs typeface="Verdana"/>
              <a:sym typeface="Verdana"/>
            </a:rPr>
            <a:t>AKTIVITAS</a:t>
          </a:r>
          <a:endParaRPr sz="1400"/>
        </a:p>
      </xdr:txBody>
    </xdr:sp>
    <xdr:clientData fLocksWithSheet="0"/>
  </xdr:oneCellAnchor>
  <xdr:oneCellAnchor>
    <xdr:from>
      <xdr:col>14</xdr:col>
      <xdr:colOff>371475</xdr:colOff>
      <xdr:row>7</xdr:row>
      <xdr:rowOff>9525</xdr:rowOff>
    </xdr:from>
    <xdr:ext cx="1409700" cy="266700"/>
    <xdr:sp>
      <xdr:nvSpPr>
        <xdr:cNvPr id="48" name="Shape 48"/>
        <xdr:cNvSpPr/>
      </xdr:nvSpPr>
      <xdr:spPr>
        <a:xfrm>
          <a:off x="4645913" y="3651413"/>
          <a:ext cx="1400175" cy="2571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FF6600"/>
              </a:solidFill>
              <a:latin typeface="Verdana"/>
              <a:ea typeface="Verdana"/>
              <a:cs typeface="Verdana"/>
              <a:sym typeface="Verdana"/>
            </a:rPr>
            <a:t>KEPEMIMPINAN</a:t>
          </a:r>
          <a:endParaRPr sz="1400"/>
        </a:p>
      </xdr:txBody>
    </xdr:sp>
    <xdr:clientData fLocksWithSheet="0"/>
  </xdr:oneCellAnchor>
  <xdr:oneCellAnchor>
    <xdr:from>
      <xdr:col>9</xdr:col>
      <xdr:colOff>438150</xdr:colOff>
      <xdr:row>1</xdr:row>
      <xdr:rowOff>9525</xdr:rowOff>
    </xdr:from>
    <xdr:ext cx="1819275" cy="276225"/>
    <xdr:sp>
      <xdr:nvSpPr>
        <xdr:cNvPr id="49" name="Shape 49"/>
        <xdr:cNvSpPr/>
      </xdr:nvSpPr>
      <xdr:spPr>
        <a:xfrm>
          <a:off x="4441125" y="3646650"/>
          <a:ext cx="1809750" cy="266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FF6600"/>
              </a:solidFill>
              <a:latin typeface="Verdana"/>
              <a:ea typeface="Verdana"/>
              <a:cs typeface="Verdana"/>
              <a:sym typeface="Verdana"/>
            </a:rPr>
            <a:t>ARAH KERJA</a:t>
          </a:r>
          <a:endParaRPr sz="1400"/>
        </a:p>
      </xdr:txBody>
    </xdr:sp>
    <xdr:clientData fLocksWithSheet="0"/>
  </xdr:oneCellAnchor>
  <xdr:oneCellAnchor>
    <xdr:from>
      <xdr:col>0</xdr:col>
      <xdr:colOff>390525</xdr:colOff>
      <xdr:row>10</xdr:row>
      <xdr:rowOff>76200</xdr:rowOff>
    </xdr:from>
    <xdr:ext cx="1200150" cy="276225"/>
    <xdr:sp>
      <xdr:nvSpPr>
        <xdr:cNvPr id="50" name="Shape 50"/>
        <xdr:cNvSpPr/>
      </xdr:nvSpPr>
      <xdr:spPr>
        <a:xfrm>
          <a:off x="4750688" y="3646650"/>
          <a:ext cx="1190625" cy="266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FF6600"/>
              </a:solidFill>
              <a:latin typeface="Verdana"/>
              <a:ea typeface="Verdana"/>
              <a:cs typeface="Verdana"/>
              <a:sym typeface="Verdana"/>
            </a:rPr>
            <a:t>KETAATAN</a:t>
          </a:r>
          <a:endParaRPr sz="1400"/>
        </a:p>
      </xdr:txBody>
    </xdr:sp>
    <xdr:clientData fLocksWithSheet="0"/>
  </xdr:oneCellAnchor>
  <xdr:oneCellAnchor>
    <xdr:from>
      <xdr:col>0</xdr:col>
      <xdr:colOff>704850</xdr:colOff>
      <xdr:row>43</xdr:row>
      <xdr:rowOff>57150</xdr:rowOff>
    </xdr:from>
    <xdr:ext cx="333375" cy="171450"/>
    <xdr:sp>
      <xdr:nvSpPr>
        <xdr:cNvPr id="51" name="Shape 51"/>
        <xdr:cNvSpPr/>
      </xdr:nvSpPr>
      <xdr:spPr>
        <a:xfrm>
          <a:off x="5184075" y="3699038"/>
          <a:ext cx="323850" cy="161925"/>
        </a:xfrm>
        <a:prstGeom prst="rect">
          <a:avLst/>
        </a:prstGeom>
        <a:solidFill>
          <a:srgbClr val="FF8080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76200</xdr:colOff>
      <xdr:row>43</xdr:row>
      <xdr:rowOff>57150</xdr:rowOff>
    </xdr:from>
    <xdr:ext cx="1524000" cy="209550"/>
    <xdr:sp>
      <xdr:nvSpPr>
        <xdr:cNvPr id="52" name="Shape 52"/>
        <xdr:cNvSpPr/>
      </xdr:nvSpPr>
      <xdr:spPr>
        <a:xfrm>
          <a:off x="4588763" y="3679988"/>
          <a:ext cx="1514475" cy="2000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1000" u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Perlu ditingkatkan</a:t>
          </a:r>
          <a:endParaRPr sz="1400"/>
        </a:p>
      </xdr:txBody>
    </xdr:sp>
    <xdr:clientData fLocksWithSheet="0"/>
  </xdr:oneCellAnchor>
  <xdr:oneCellAnchor>
    <xdr:from>
      <xdr:col>0</xdr:col>
      <xdr:colOff>704850</xdr:colOff>
      <xdr:row>42</xdr:row>
      <xdr:rowOff>9525</xdr:rowOff>
    </xdr:from>
    <xdr:ext cx="333375" cy="171450"/>
    <xdr:sp>
      <xdr:nvSpPr>
        <xdr:cNvPr id="53" name="Shape 53"/>
        <xdr:cNvSpPr/>
      </xdr:nvSpPr>
      <xdr:spPr>
        <a:xfrm>
          <a:off x="5184075" y="3699038"/>
          <a:ext cx="323850" cy="161925"/>
        </a:xfrm>
        <a:prstGeom prst="rect">
          <a:avLst/>
        </a:prstGeom>
        <a:solidFill>
          <a:srgbClr val="FFFF00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76200</xdr:colOff>
      <xdr:row>42</xdr:row>
      <xdr:rowOff>0</xdr:rowOff>
    </xdr:from>
    <xdr:ext cx="1524000" cy="200025"/>
    <xdr:sp>
      <xdr:nvSpPr>
        <xdr:cNvPr id="54" name="Shape 54"/>
        <xdr:cNvSpPr/>
      </xdr:nvSpPr>
      <xdr:spPr>
        <a:xfrm>
          <a:off x="4588763" y="3684750"/>
          <a:ext cx="1514475" cy="1905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1000" u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Acceptable</a:t>
          </a:r>
          <a:endParaRPr sz="1400"/>
        </a:p>
      </xdr:txBody>
    </xdr:sp>
    <xdr:clientData fLocksWithSheet="0"/>
  </xdr:oneCellAnchor>
  <xdr:oneCellAnchor>
    <xdr:from>
      <xdr:col>0</xdr:col>
      <xdr:colOff>704850</xdr:colOff>
      <xdr:row>44</xdr:row>
      <xdr:rowOff>95250</xdr:rowOff>
    </xdr:from>
    <xdr:ext cx="333375" cy="161925"/>
    <xdr:sp>
      <xdr:nvSpPr>
        <xdr:cNvPr id="55" name="Shape 55"/>
        <xdr:cNvSpPr/>
      </xdr:nvSpPr>
      <xdr:spPr>
        <a:xfrm>
          <a:off x="5184075" y="3699038"/>
          <a:ext cx="323850" cy="161925"/>
        </a:xfrm>
        <a:prstGeom prst="rect">
          <a:avLst/>
        </a:prstGeom>
        <a:noFill/>
        <a:ln cap="flat" cmpd="sng" w="9525">
          <a:solidFill>
            <a:srgbClr val="969696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76200</xdr:colOff>
      <xdr:row>44</xdr:row>
      <xdr:rowOff>95250</xdr:rowOff>
    </xdr:from>
    <xdr:ext cx="1524000" cy="200025"/>
    <xdr:sp>
      <xdr:nvSpPr>
        <xdr:cNvPr id="56" name="Shape 56"/>
        <xdr:cNvSpPr/>
      </xdr:nvSpPr>
      <xdr:spPr>
        <a:xfrm>
          <a:off x="4588763" y="3684750"/>
          <a:ext cx="1514475" cy="1905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1000" u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Optimal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2.63" defaultRowHeight="15.0"/>
  <cols>
    <col customWidth="1" min="1" max="1" width="3.63"/>
    <col customWidth="1" min="2" max="2" width="8.75"/>
    <col customWidth="1" min="3" max="3" width="13.75"/>
    <col customWidth="1" min="4" max="4" width="30.13"/>
    <col customWidth="1" min="5" max="5" width="16.0"/>
    <col customWidth="1" min="6" max="6" width="18.0"/>
    <col customWidth="1" min="7" max="7" width="2.13"/>
    <col customWidth="1" hidden="1" min="8" max="8" width="6.88"/>
    <col customWidth="1" hidden="1" min="9" max="9" width="11.88"/>
    <col customWidth="1" hidden="1" min="10" max="10" width="11.38"/>
    <col customWidth="1" min="11" max="26" width="8.0"/>
  </cols>
  <sheetData>
    <row r="1" ht="11.25" customHeight="1">
      <c r="A1" s="1"/>
      <c r="B1" s="2"/>
      <c r="C1" s="1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1.25" customHeight="1">
      <c r="A2" s="1"/>
      <c r="B2" s="4" t="s">
        <v>0</v>
      </c>
      <c r="C2" s="1"/>
      <c r="D2" s="5" t="s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1.25" customHeight="1">
      <c r="A3" s="1"/>
      <c r="B3" s="3"/>
      <c r="C3" s="1"/>
      <c r="D3" s="3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20.25" customHeight="1">
      <c r="A4" s="6" t="s">
        <v>2</v>
      </c>
      <c r="B4" s="6" t="s">
        <v>3</v>
      </c>
      <c r="C4" s="6" t="s">
        <v>4</v>
      </c>
      <c r="D4" s="6" t="s">
        <v>5</v>
      </c>
      <c r="E4" s="6" t="s">
        <v>6</v>
      </c>
      <c r="F4" s="6" t="s">
        <v>7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1.25" customHeight="1">
      <c r="A5" s="7">
        <v>1.0</v>
      </c>
      <c r="B5" s="8" t="s">
        <v>8</v>
      </c>
      <c r="C5" s="9" t="s">
        <v>9</v>
      </c>
      <c r="D5" s="10" t="s">
        <v>10</v>
      </c>
      <c r="E5" s="9" t="s">
        <v>11</v>
      </c>
      <c r="F5" s="9" t="s">
        <v>12</v>
      </c>
      <c r="G5" s="1"/>
      <c r="H5" s="1"/>
      <c r="I5" s="1"/>
      <c r="J5" s="1" t="s">
        <v>13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1.25" customHeight="1">
      <c r="A6" s="7">
        <v>2.0</v>
      </c>
      <c r="B6" s="1" t="s">
        <v>14</v>
      </c>
      <c r="C6" s="11">
        <v>2.0</v>
      </c>
      <c r="D6" s="10" t="s">
        <v>15</v>
      </c>
      <c r="E6" s="8"/>
      <c r="F6" s="8"/>
      <c r="G6" s="1"/>
      <c r="H6" s="1"/>
      <c r="I6" s="1"/>
      <c r="J6" s="1" t="s">
        <v>13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1.25" customHeight="1">
      <c r="A7" s="7">
        <v>3.0</v>
      </c>
      <c r="B7" s="8" t="s">
        <v>16</v>
      </c>
      <c r="C7" s="9" t="s">
        <v>17</v>
      </c>
      <c r="D7" s="10" t="s">
        <v>18</v>
      </c>
      <c r="E7" s="8"/>
      <c r="F7" s="8"/>
      <c r="G7" s="1"/>
      <c r="H7" s="1"/>
      <c r="I7" s="1"/>
      <c r="J7" s="1" t="s">
        <v>13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1.25" customHeight="1">
      <c r="A8" s="7">
        <v>4.0</v>
      </c>
      <c r="B8" s="8" t="s">
        <v>19</v>
      </c>
      <c r="C8" s="8"/>
      <c r="D8" s="12"/>
      <c r="E8" s="8"/>
      <c r="F8" s="8"/>
      <c r="G8" s="1"/>
      <c r="H8" s="1"/>
      <c r="I8" s="1"/>
      <c r="J8" s="1" t="s">
        <v>13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1.25" customHeight="1">
      <c r="A9" s="7">
        <v>5.0</v>
      </c>
      <c r="B9" s="8" t="s">
        <v>20</v>
      </c>
      <c r="C9" s="8"/>
      <c r="D9" s="12"/>
      <c r="E9" s="8"/>
      <c r="F9" s="8"/>
      <c r="G9" s="1"/>
      <c r="H9" s="1"/>
      <c r="I9" s="1"/>
      <c r="J9" s="1" t="s">
        <v>13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1.25" customHeight="1">
      <c r="A10" s="7">
        <v>6.0</v>
      </c>
      <c r="B10" s="8" t="s">
        <v>21</v>
      </c>
      <c r="C10" s="8"/>
      <c r="D10" s="12"/>
      <c r="E10" s="8"/>
      <c r="F10" s="8"/>
      <c r="G10" s="1"/>
      <c r="H10" s="1"/>
      <c r="I10" s="1"/>
      <c r="J10" s="1" t="s">
        <v>13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1.25" customHeight="1">
      <c r="A11" s="7">
        <v>7.0</v>
      </c>
      <c r="B11" s="8" t="s">
        <v>22</v>
      </c>
      <c r="C11" s="8"/>
      <c r="D11" s="12"/>
      <c r="E11" s="8"/>
      <c r="F11" s="8"/>
      <c r="G11" s="1"/>
      <c r="H11" s="1"/>
      <c r="I11" s="1"/>
      <c r="J11" s="1" t="s">
        <v>13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1.25" customHeight="1">
      <c r="A12" s="7">
        <v>8.0</v>
      </c>
      <c r="B12" s="8" t="s">
        <v>23</v>
      </c>
      <c r="C12" s="8"/>
      <c r="D12" s="12"/>
      <c r="E12" s="8"/>
      <c r="F12" s="8"/>
      <c r="G12" s="1"/>
      <c r="H12" s="1"/>
      <c r="I12" s="1"/>
      <c r="J12" s="1" t="s">
        <v>13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1.25" customHeight="1">
      <c r="A13" s="7">
        <v>9.0</v>
      </c>
      <c r="B13" s="8" t="s">
        <v>24</v>
      </c>
      <c r="C13" s="8"/>
      <c r="D13" s="12"/>
      <c r="E13" s="8"/>
      <c r="F13" s="8"/>
      <c r="G13" s="1"/>
      <c r="H13" s="1"/>
      <c r="I13" s="1"/>
      <c r="J13" s="1" t="s">
        <v>13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1.25" customHeight="1">
      <c r="A14" s="7">
        <v>10.0</v>
      </c>
      <c r="B14" s="8" t="s">
        <v>25</v>
      </c>
      <c r="C14" s="8"/>
      <c r="D14" s="12"/>
      <c r="E14" s="8"/>
      <c r="F14" s="8"/>
      <c r="G14" s="1"/>
      <c r="H14" s="1"/>
      <c r="I14" s="1"/>
      <c r="J14" s="1" t="s">
        <v>13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1.25" customHeight="1">
      <c r="A15" s="7">
        <v>11.0</v>
      </c>
      <c r="B15" s="8" t="s">
        <v>26</v>
      </c>
      <c r="C15" s="8"/>
      <c r="D15" s="12"/>
      <c r="E15" s="8"/>
      <c r="F15" s="8"/>
      <c r="G15" s="1"/>
      <c r="H15" s="1"/>
      <c r="I15" s="1"/>
      <c r="J15" s="1" t="s">
        <v>13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1.25" customHeight="1">
      <c r="A16" s="7">
        <v>12.0</v>
      </c>
      <c r="B16" s="8" t="s">
        <v>27</v>
      </c>
      <c r="C16" s="8"/>
      <c r="D16" s="12"/>
      <c r="E16" s="8"/>
      <c r="F16" s="8"/>
      <c r="G16" s="1"/>
      <c r="H16" s="1"/>
      <c r="I16" s="1"/>
      <c r="J16" s="1" t="s">
        <v>13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1.25" customHeight="1">
      <c r="A17" s="7">
        <v>13.0</v>
      </c>
      <c r="B17" s="8" t="s">
        <v>28</v>
      </c>
      <c r="C17" s="8"/>
      <c r="D17" s="12"/>
      <c r="E17" s="8"/>
      <c r="F17" s="8"/>
      <c r="G17" s="1"/>
      <c r="H17" s="1"/>
      <c r="I17" s="1"/>
      <c r="J17" s="1" t="s">
        <v>13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1.25" customHeight="1">
      <c r="A18" s="7">
        <v>14.0</v>
      </c>
      <c r="B18" s="8" t="s">
        <v>29</v>
      </c>
      <c r="C18" s="8"/>
      <c r="D18" s="12"/>
      <c r="E18" s="8"/>
      <c r="F18" s="8"/>
      <c r="G18" s="1"/>
      <c r="H18" s="1"/>
      <c r="I18" s="1"/>
      <c r="J18" s="1" t="s">
        <v>13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1.25" customHeight="1">
      <c r="A19" s="7">
        <v>15.0</v>
      </c>
      <c r="B19" s="8" t="s">
        <v>30</v>
      </c>
      <c r="C19" s="8"/>
      <c r="D19" s="12"/>
      <c r="E19" s="8"/>
      <c r="F19" s="8"/>
      <c r="G19" s="1"/>
      <c r="H19" s="1"/>
      <c r="I19" s="1"/>
      <c r="J19" s="1" t="s">
        <v>13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1.25" customHeight="1">
      <c r="A20" s="7">
        <v>16.0</v>
      </c>
      <c r="B20" s="8" t="s">
        <v>31</v>
      </c>
      <c r="C20" s="8"/>
      <c r="D20" s="12"/>
      <c r="E20" s="8"/>
      <c r="F20" s="8"/>
      <c r="G20" s="1"/>
      <c r="H20" s="1"/>
      <c r="I20" s="1"/>
      <c r="J20" s="1" t="s">
        <v>13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1.25" customHeight="1">
      <c r="A21" s="7">
        <v>17.0</v>
      </c>
      <c r="B21" s="8" t="s">
        <v>32</v>
      </c>
      <c r="C21" s="8"/>
      <c r="D21" s="12"/>
      <c r="E21" s="8"/>
      <c r="F21" s="8"/>
      <c r="G21" s="1"/>
      <c r="H21" s="1"/>
      <c r="I21" s="1"/>
      <c r="J21" s="1" t="s">
        <v>13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1.25" customHeight="1">
      <c r="A22" s="7">
        <v>18.0</v>
      </c>
      <c r="B22" s="8" t="s">
        <v>33</v>
      </c>
      <c r="C22" s="8"/>
      <c r="D22" s="12"/>
      <c r="E22" s="8"/>
      <c r="F22" s="8"/>
      <c r="G22" s="1"/>
      <c r="H22" s="1"/>
      <c r="I22" s="1"/>
      <c r="J22" s="1" t="s">
        <v>13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1.25" customHeight="1">
      <c r="A23" s="7">
        <v>19.0</v>
      </c>
      <c r="B23" s="8" t="s">
        <v>34</v>
      </c>
      <c r="C23" s="8"/>
      <c r="D23" s="12"/>
      <c r="E23" s="8"/>
      <c r="F23" s="8"/>
      <c r="G23" s="1"/>
      <c r="H23" s="1"/>
      <c r="I23" s="1"/>
      <c r="J23" s="1" t="s">
        <v>13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1.25" customHeight="1">
      <c r="A24" s="7">
        <v>20.0</v>
      </c>
      <c r="B24" s="8" t="s">
        <v>35</v>
      </c>
      <c r="C24" s="8"/>
      <c r="D24" s="12"/>
      <c r="E24" s="8"/>
      <c r="F24" s="8"/>
      <c r="G24" s="1"/>
      <c r="H24" s="1"/>
      <c r="I24" s="1"/>
      <c r="J24" s="1" t="s">
        <v>13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1.25" customHeight="1">
      <c r="A25" s="7">
        <v>21.0</v>
      </c>
      <c r="B25" s="8" t="s">
        <v>36</v>
      </c>
      <c r="C25" s="8"/>
      <c r="D25" s="12"/>
      <c r="E25" s="8"/>
      <c r="F25" s="8"/>
      <c r="G25" s="1"/>
      <c r="H25" s="1"/>
      <c r="I25" s="1"/>
      <c r="J25" s="1" t="s">
        <v>13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1.25" customHeight="1">
      <c r="A26" s="7">
        <v>22.0</v>
      </c>
      <c r="B26" s="8" t="s">
        <v>37</v>
      </c>
      <c r="C26" s="8"/>
      <c r="D26" s="12"/>
      <c r="E26" s="8"/>
      <c r="F26" s="8"/>
      <c r="G26" s="1"/>
      <c r="H26" s="1"/>
      <c r="I26" s="1"/>
      <c r="J26" s="1" t="s">
        <v>13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1.25" customHeight="1">
      <c r="A27" s="7">
        <v>23.0</v>
      </c>
      <c r="B27" s="8" t="s">
        <v>38</v>
      </c>
      <c r="C27" s="8"/>
      <c r="D27" s="12"/>
      <c r="E27" s="8"/>
      <c r="F27" s="8"/>
      <c r="G27" s="1"/>
      <c r="H27" s="1"/>
      <c r="I27" s="1"/>
      <c r="J27" s="1" t="s">
        <v>13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1.25" customHeight="1">
      <c r="A28" s="7">
        <v>24.0</v>
      </c>
      <c r="B28" s="8" t="s">
        <v>39</v>
      </c>
      <c r="C28" s="8"/>
      <c r="D28" s="12"/>
      <c r="E28" s="8"/>
      <c r="F28" s="8"/>
      <c r="G28" s="1"/>
      <c r="H28" s="1"/>
      <c r="I28" s="1"/>
      <c r="J28" s="1" t="s">
        <v>13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1.25" customHeight="1">
      <c r="A29" s="7">
        <v>25.0</v>
      </c>
      <c r="B29" s="8" t="s">
        <v>40</v>
      </c>
      <c r="C29" s="8"/>
      <c r="D29" s="12"/>
      <c r="E29" s="8"/>
      <c r="F29" s="8"/>
      <c r="G29" s="1"/>
      <c r="H29" s="1"/>
      <c r="I29" s="1"/>
      <c r="J29" s="1" t="s">
        <v>13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1.25" customHeight="1">
      <c r="A30" s="7">
        <v>26.0</v>
      </c>
      <c r="B30" s="8" t="s">
        <v>41</v>
      </c>
      <c r="C30" s="8"/>
      <c r="D30" s="12"/>
      <c r="E30" s="8"/>
      <c r="F30" s="8"/>
      <c r="G30" s="1"/>
      <c r="H30" s="1"/>
      <c r="I30" s="1"/>
      <c r="J30" s="1" t="s">
        <v>13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1.25" customHeight="1">
      <c r="A31" s="7">
        <v>27.0</v>
      </c>
      <c r="B31" s="8" t="s">
        <v>42</v>
      </c>
      <c r="C31" s="8"/>
      <c r="D31" s="12"/>
      <c r="E31" s="8"/>
      <c r="F31" s="8"/>
      <c r="G31" s="1"/>
      <c r="H31" s="1"/>
      <c r="I31" s="1"/>
      <c r="J31" s="1" t="s">
        <v>13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1.25" customHeight="1">
      <c r="A32" s="7">
        <v>28.0</v>
      </c>
      <c r="B32" s="8" t="s">
        <v>43</v>
      </c>
      <c r="C32" s="8"/>
      <c r="D32" s="12"/>
      <c r="E32" s="8"/>
      <c r="F32" s="8"/>
      <c r="G32" s="1"/>
      <c r="H32" s="1"/>
      <c r="I32" s="1"/>
      <c r="J32" s="1" t="s">
        <v>13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1.25" customHeight="1">
      <c r="A33" s="7">
        <v>29.0</v>
      </c>
      <c r="B33" s="8" t="s">
        <v>44</v>
      </c>
      <c r="C33" s="8"/>
      <c r="D33" s="12"/>
      <c r="E33" s="8"/>
      <c r="F33" s="8"/>
      <c r="G33" s="1"/>
      <c r="H33" s="1"/>
      <c r="I33" s="1"/>
      <c r="J33" s="1" t="s">
        <v>13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1.25" customHeight="1">
      <c r="A34" s="7">
        <v>30.0</v>
      </c>
      <c r="B34" s="8" t="s">
        <v>45</v>
      </c>
      <c r="C34" s="8"/>
      <c r="D34" s="12"/>
      <c r="E34" s="8"/>
      <c r="F34" s="8"/>
      <c r="G34" s="1"/>
      <c r="H34" s="1"/>
      <c r="I34" s="1"/>
      <c r="J34" s="1" t="s">
        <v>13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1.25" customHeight="1">
      <c r="A35" s="7">
        <v>31.0</v>
      </c>
      <c r="B35" s="8" t="s">
        <v>46</v>
      </c>
      <c r="C35" s="8"/>
      <c r="D35" s="12"/>
      <c r="E35" s="8"/>
      <c r="F35" s="8"/>
      <c r="G35" s="1"/>
      <c r="H35" s="1"/>
      <c r="I35" s="1"/>
      <c r="J35" s="1" t="s">
        <v>13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1.25" customHeight="1">
      <c r="A36" s="7">
        <v>32.0</v>
      </c>
      <c r="B36" s="8" t="s">
        <v>47</v>
      </c>
      <c r="C36" s="8"/>
      <c r="D36" s="12"/>
      <c r="E36" s="8"/>
      <c r="F36" s="8"/>
      <c r="G36" s="1"/>
      <c r="H36" s="1"/>
      <c r="I36" s="1"/>
      <c r="J36" s="1" t="s">
        <v>13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1.25" customHeight="1">
      <c r="A37" s="7">
        <v>33.0</v>
      </c>
      <c r="B37" s="8" t="s">
        <v>48</v>
      </c>
      <c r="C37" s="8"/>
      <c r="D37" s="12"/>
      <c r="E37" s="8"/>
      <c r="F37" s="8"/>
      <c r="G37" s="1"/>
      <c r="H37" s="1"/>
      <c r="I37" s="1"/>
      <c r="J37" s="1" t="s">
        <v>13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1.25" customHeight="1">
      <c r="A38" s="7">
        <v>34.0</v>
      </c>
      <c r="B38" s="8" t="s">
        <v>49</v>
      </c>
      <c r="C38" s="8"/>
      <c r="D38" s="12"/>
      <c r="E38" s="8"/>
      <c r="F38" s="8"/>
      <c r="G38" s="1"/>
      <c r="H38" s="1"/>
      <c r="I38" s="1"/>
      <c r="J38" s="1" t="s">
        <v>13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1.25" customHeight="1">
      <c r="A39" s="7">
        <v>35.0</v>
      </c>
      <c r="B39" s="8" t="s">
        <v>50</v>
      </c>
      <c r="C39" s="8"/>
      <c r="D39" s="12"/>
      <c r="E39" s="8"/>
      <c r="F39" s="8"/>
      <c r="G39" s="1"/>
      <c r="H39" s="1"/>
      <c r="I39" s="1"/>
      <c r="J39" s="1" t="s">
        <v>13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1.25" customHeight="1">
      <c r="A40" s="7">
        <v>36.0</v>
      </c>
      <c r="B40" s="8" t="s">
        <v>51</v>
      </c>
      <c r="C40" s="8"/>
      <c r="D40" s="12"/>
      <c r="E40" s="8"/>
      <c r="F40" s="8"/>
      <c r="G40" s="1"/>
      <c r="H40" s="1"/>
      <c r="I40" s="1"/>
      <c r="J40" s="1" t="s">
        <v>13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1.25" customHeight="1">
      <c r="A41" s="7">
        <v>37.0</v>
      </c>
      <c r="B41" s="8" t="s">
        <v>52</v>
      </c>
      <c r="C41" s="8"/>
      <c r="D41" s="12"/>
      <c r="E41" s="8"/>
      <c r="F41" s="8"/>
      <c r="G41" s="1"/>
      <c r="H41" s="1"/>
      <c r="I41" s="1"/>
      <c r="J41" s="1" t="s">
        <v>13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1.25" customHeight="1">
      <c r="A42" s="7">
        <v>38.0</v>
      </c>
      <c r="B42" s="8" t="s">
        <v>53</v>
      </c>
      <c r="C42" s="8"/>
      <c r="D42" s="12"/>
      <c r="E42" s="8"/>
      <c r="F42" s="8"/>
      <c r="G42" s="1"/>
      <c r="H42" s="1"/>
      <c r="I42" s="1"/>
      <c r="J42" s="1" t="s">
        <v>13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1.25" customHeight="1">
      <c r="A43" s="7">
        <v>39.0</v>
      </c>
      <c r="B43" s="8" t="s">
        <v>54</v>
      </c>
      <c r="C43" s="8"/>
      <c r="D43" s="12"/>
      <c r="E43" s="8"/>
      <c r="F43" s="8"/>
      <c r="G43" s="1"/>
      <c r="H43" s="1"/>
      <c r="I43" s="1"/>
      <c r="J43" s="1" t="s">
        <v>13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1.25" customHeight="1">
      <c r="A44" s="7">
        <v>40.0</v>
      </c>
      <c r="B44" s="8" t="s">
        <v>55</v>
      </c>
      <c r="C44" s="8"/>
      <c r="D44" s="12"/>
      <c r="E44" s="8"/>
      <c r="F44" s="8"/>
      <c r="G44" s="1"/>
      <c r="H44" s="1"/>
      <c r="I44" s="1"/>
      <c r="J44" s="1" t="s">
        <v>13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1.25" customHeight="1">
      <c r="A45" s="7">
        <v>41.0</v>
      </c>
      <c r="B45" s="8" t="s">
        <v>56</v>
      </c>
      <c r="C45" s="8"/>
      <c r="D45" s="12"/>
      <c r="E45" s="8"/>
      <c r="F45" s="8"/>
      <c r="G45" s="1"/>
      <c r="H45" s="1"/>
      <c r="I45" s="1"/>
      <c r="J45" s="1" t="s">
        <v>13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1.25" customHeight="1">
      <c r="A46" s="7">
        <v>42.0</v>
      </c>
      <c r="B46" s="8" t="s">
        <v>57</v>
      </c>
      <c r="C46" s="8"/>
      <c r="D46" s="12"/>
      <c r="E46" s="8"/>
      <c r="F46" s="8"/>
      <c r="G46" s="1"/>
      <c r="H46" s="1"/>
      <c r="I46" s="1"/>
      <c r="J46" s="1" t="s">
        <v>13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1.25" customHeight="1">
      <c r="A47" s="7">
        <v>43.0</v>
      </c>
      <c r="B47" s="8" t="s">
        <v>58</v>
      </c>
      <c r="C47" s="8"/>
      <c r="D47" s="12"/>
      <c r="E47" s="8"/>
      <c r="F47" s="8"/>
      <c r="G47" s="1"/>
      <c r="H47" s="1"/>
      <c r="I47" s="1"/>
      <c r="J47" s="1" t="s">
        <v>13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1.25" customHeight="1">
      <c r="A48" s="7">
        <v>44.0</v>
      </c>
      <c r="B48" s="8" t="s">
        <v>59</v>
      </c>
      <c r="C48" s="8"/>
      <c r="D48" s="12"/>
      <c r="E48" s="8"/>
      <c r="F48" s="8"/>
      <c r="G48" s="1"/>
      <c r="H48" s="1"/>
      <c r="I48" s="1"/>
      <c r="J48" s="1" t="s">
        <v>13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1.25" customHeight="1">
      <c r="A49" s="7">
        <v>45.0</v>
      </c>
      <c r="B49" s="8" t="s">
        <v>60</v>
      </c>
      <c r="C49" s="8"/>
      <c r="D49" s="12"/>
      <c r="E49" s="8"/>
      <c r="F49" s="8"/>
      <c r="G49" s="1"/>
      <c r="H49" s="1"/>
      <c r="I49" s="1"/>
      <c r="J49" s="1" t="s">
        <v>13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1.25" customHeight="1">
      <c r="A50" s="7">
        <v>46.0</v>
      </c>
      <c r="B50" s="8" t="s">
        <v>61</v>
      </c>
      <c r="C50" s="8"/>
      <c r="D50" s="12"/>
      <c r="E50" s="8"/>
      <c r="F50" s="8"/>
      <c r="G50" s="1"/>
      <c r="H50" s="1"/>
      <c r="I50" s="1"/>
      <c r="J50" s="1" t="s">
        <v>13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1.25" customHeight="1">
      <c r="A51" s="7">
        <v>47.0</v>
      </c>
      <c r="B51" s="8" t="s">
        <v>62</v>
      </c>
      <c r="C51" s="8"/>
      <c r="D51" s="12"/>
      <c r="E51" s="8"/>
      <c r="F51" s="8"/>
      <c r="G51" s="1"/>
      <c r="H51" s="1"/>
      <c r="I51" s="1"/>
      <c r="J51" s="1" t="s">
        <v>13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1.25" customHeight="1">
      <c r="A52" s="7">
        <v>48.0</v>
      </c>
      <c r="B52" s="8" t="s">
        <v>63</v>
      </c>
      <c r="C52" s="8"/>
      <c r="D52" s="12"/>
      <c r="E52" s="8"/>
      <c r="F52" s="8"/>
      <c r="G52" s="1"/>
      <c r="H52" s="1"/>
      <c r="I52" s="1"/>
      <c r="J52" s="1" t="s">
        <v>13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1.25" customHeight="1">
      <c r="A53" s="7">
        <v>49.0</v>
      </c>
      <c r="B53" s="8" t="s">
        <v>64</v>
      </c>
      <c r="C53" s="8"/>
      <c r="D53" s="12"/>
      <c r="E53" s="8"/>
      <c r="F53" s="8"/>
      <c r="G53" s="1"/>
      <c r="H53" s="1"/>
      <c r="I53" s="1"/>
      <c r="J53" s="1" t="s">
        <v>13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1.25" customHeight="1">
      <c r="A54" s="7">
        <v>50.0</v>
      </c>
      <c r="B54" s="8" t="s">
        <v>65</v>
      </c>
      <c r="C54" s="8"/>
      <c r="D54" s="12"/>
      <c r="E54" s="8"/>
      <c r="F54" s="8"/>
      <c r="G54" s="1"/>
      <c r="H54" s="1"/>
      <c r="I54" s="1"/>
      <c r="J54" s="1" t="s">
        <v>13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1.25" customHeight="1">
      <c r="A55" s="7">
        <v>51.0</v>
      </c>
      <c r="B55" s="8" t="s">
        <v>66</v>
      </c>
      <c r="C55" s="8"/>
      <c r="D55" s="12"/>
      <c r="E55" s="8"/>
      <c r="F55" s="8"/>
      <c r="G55" s="1"/>
      <c r="H55" s="1"/>
      <c r="I55" s="1"/>
      <c r="J55" s="1" t="s">
        <v>13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1.25" customHeight="1">
      <c r="A56" s="7">
        <v>52.0</v>
      </c>
      <c r="B56" s="8" t="s">
        <v>67</v>
      </c>
      <c r="C56" s="8"/>
      <c r="D56" s="12"/>
      <c r="E56" s="8"/>
      <c r="F56" s="8"/>
      <c r="G56" s="1"/>
      <c r="H56" s="1"/>
      <c r="I56" s="1"/>
      <c r="J56" s="1" t="s">
        <v>13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1.25" customHeight="1">
      <c r="A57" s="7">
        <v>53.0</v>
      </c>
      <c r="B57" s="8" t="s">
        <v>68</v>
      </c>
      <c r="C57" s="8"/>
      <c r="D57" s="12"/>
      <c r="E57" s="8"/>
      <c r="F57" s="8"/>
      <c r="G57" s="1"/>
      <c r="H57" s="1"/>
      <c r="I57" s="1"/>
      <c r="J57" s="1" t="s">
        <v>13</v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1.25" customHeight="1">
      <c r="A58" s="7">
        <v>54.0</v>
      </c>
      <c r="B58" s="8" t="s">
        <v>69</v>
      </c>
      <c r="C58" s="8"/>
      <c r="D58" s="12"/>
      <c r="E58" s="8"/>
      <c r="F58" s="8"/>
      <c r="G58" s="1"/>
      <c r="H58" s="1"/>
      <c r="I58" s="1"/>
      <c r="J58" s="1" t="s">
        <v>13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1.25" customHeight="1">
      <c r="A59" s="7">
        <v>55.0</v>
      </c>
      <c r="B59" s="8" t="s">
        <v>70</v>
      </c>
      <c r="C59" s="8"/>
      <c r="D59" s="12"/>
      <c r="E59" s="8"/>
      <c r="F59" s="8"/>
      <c r="G59" s="1"/>
      <c r="H59" s="1"/>
      <c r="I59" s="1"/>
      <c r="J59" s="1" t="s">
        <v>13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1.25" customHeight="1">
      <c r="A60" s="7">
        <v>56.0</v>
      </c>
      <c r="B60" s="8" t="s">
        <v>71</v>
      </c>
      <c r="C60" s="8"/>
      <c r="D60" s="12"/>
      <c r="E60" s="8"/>
      <c r="F60" s="8"/>
      <c r="G60" s="1"/>
      <c r="H60" s="1"/>
      <c r="I60" s="1"/>
      <c r="J60" s="1" t="s">
        <v>13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1.25" customHeight="1">
      <c r="A61" s="7">
        <v>57.0</v>
      </c>
      <c r="B61" s="8" t="s">
        <v>72</v>
      </c>
      <c r="C61" s="8"/>
      <c r="D61" s="12"/>
      <c r="E61" s="8"/>
      <c r="F61" s="8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1.25" customHeight="1">
      <c r="A62" s="7">
        <v>58.0</v>
      </c>
      <c r="B62" s="8" t="s">
        <v>73</v>
      </c>
      <c r="C62" s="8"/>
      <c r="D62" s="12"/>
      <c r="E62" s="8"/>
      <c r="F62" s="8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1.25" customHeight="1">
      <c r="A63" s="7">
        <v>59.0</v>
      </c>
      <c r="B63" s="8" t="s">
        <v>74</v>
      </c>
      <c r="C63" s="8"/>
      <c r="D63" s="12"/>
      <c r="E63" s="8"/>
      <c r="F63" s="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1.25" customHeight="1">
      <c r="A64" s="7">
        <v>60.0</v>
      </c>
      <c r="B64" s="8" t="s">
        <v>75</v>
      </c>
      <c r="C64" s="8"/>
      <c r="D64" s="12"/>
      <c r="E64" s="8"/>
      <c r="F64" s="8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1.25" customHeight="1">
      <c r="A65" s="7">
        <v>61.0</v>
      </c>
      <c r="B65" s="8" t="s">
        <v>76</v>
      </c>
      <c r="C65" s="8"/>
      <c r="D65" s="12"/>
      <c r="E65" s="8"/>
      <c r="F65" s="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1.25" customHeight="1">
      <c r="A66" s="7">
        <v>62.0</v>
      </c>
      <c r="B66" s="8" t="s">
        <v>77</v>
      </c>
      <c r="C66" s="8"/>
      <c r="D66" s="12"/>
      <c r="E66" s="8"/>
      <c r="F66" s="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1.25" customHeight="1">
      <c r="A67" s="7">
        <v>63.0</v>
      </c>
      <c r="B67" s="8" t="s">
        <v>78</v>
      </c>
      <c r="C67" s="8"/>
      <c r="D67" s="12"/>
      <c r="E67" s="8"/>
      <c r="F67" s="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1.25" customHeight="1">
      <c r="A68" s="7">
        <v>64.0</v>
      </c>
      <c r="B68" s="8" t="s">
        <v>79</v>
      </c>
      <c r="C68" s="8"/>
      <c r="D68" s="12"/>
      <c r="E68" s="8"/>
      <c r="F68" s="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1.25" customHeight="1">
      <c r="A69" s="7">
        <v>65.0</v>
      </c>
      <c r="B69" s="8" t="s">
        <v>80</v>
      </c>
      <c r="C69" s="8"/>
      <c r="D69" s="12"/>
      <c r="E69" s="8"/>
      <c r="F69" s="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1.25" customHeight="1">
      <c r="A70" s="7">
        <v>66.0</v>
      </c>
      <c r="B70" s="8" t="s">
        <v>81</v>
      </c>
      <c r="C70" s="8"/>
      <c r="D70" s="12"/>
      <c r="E70" s="8"/>
      <c r="F70" s="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1.25" customHeight="1">
      <c r="A71" s="7">
        <v>67.0</v>
      </c>
      <c r="B71" s="8" t="s">
        <v>82</v>
      </c>
      <c r="C71" s="8"/>
      <c r="D71" s="12"/>
      <c r="E71" s="8"/>
      <c r="F71" s="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1.25" customHeight="1">
      <c r="A72" s="7">
        <v>68.0</v>
      </c>
      <c r="B72" s="8" t="s">
        <v>83</v>
      </c>
      <c r="C72" s="8"/>
      <c r="D72" s="12"/>
      <c r="E72" s="8"/>
      <c r="F72" s="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1.25" customHeight="1">
      <c r="A73" s="7">
        <v>69.0</v>
      </c>
      <c r="B73" s="8" t="s">
        <v>84</v>
      </c>
      <c r="C73" s="8"/>
      <c r="D73" s="12"/>
      <c r="E73" s="8"/>
      <c r="F73" s="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1.25" customHeight="1">
      <c r="A74" s="7">
        <v>70.0</v>
      </c>
      <c r="B74" s="8" t="s">
        <v>85</v>
      </c>
      <c r="C74" s="8"/>
      <c r="D74" s="12"/>
      <c r="E74" s="8"/>
      <c r="F74" s="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1.25" customHeight="1">
      <c r="A75" s="7">
        <v>71.0</v>
      </c>
      <c r="B75" s="8" t="s">
        <v>86</v>
      </c>
      <c r="C75" s="8"/>
      <c r="D75" s="12"/>
      <c r="E75" s="8"/>
      <c r="F75" s="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1.25" customHeight="1">
      <c r="A76" s="7">
        <v>72.0</v>
      </c>
      <c r="B76" s="8" t="s">
        <v>87</v>
      </c>
      <c r="C76" s="8"/>
      <c r="D76" s="12"/>
      <c r="E76" s="8"/>
      <c r="F76" s="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1.25" customHeight="1">
      <c r="A77" s="7">
        <v>73.0</v>
      </c>
      <c r="B77" s="8" t="s">
        <v>88</v>
      </c>
      <c r="C77" s="8"/>
      <c r="D77" s="12"/>
      <c r="E77" s="8"/>
      <c r="F77" s="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1.25" customHeight="1">
      <c r="A78" s="7">
        <v>74.0</v>
      </c>
      <c r="B78" s="8" t="s">
        <v>89</v>
      </c>
      <c r="C78" s="8"/>
      <c r="D78" s="12"/>
      <c r="E78" s="8"/>
      <c r="F78" s="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1.25" customHeight="1">
      <c r="A79" s="7">
        <v>75.0</v>
      </c>
      <c r="B79" s="8" t="s">
        <v>90</v>
      </c>
      <c r="C79" s="8"/>
      <c r="D79" s="12"/>
      <c r="E79" s="8"/>
      <c r="F79" s="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1.25" customHeight="1">
      <c r="A80" s="7">
        <v>76.0</v>
      </c>
      <c r="B80" s="8" t="s">
        <v>91</v>
      </c>
      <c r="C80" s="8"/>
      <c r="D80" s="12"/>
      <c r="E80" s="8"/>
      <c r="F80" s="8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1.25" customHeight="1">
      <c r="A81" s="7">
        <v>77.0</v>
      </c>
      <c r="B81" s="8" t="s">
        <v>92</v>
      </c>
      <c r="C81" s="8"/>
      <c r="D81" s="12"/>
      <c r="E81" s="8"/>
      <c r="F81" s="8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1.25" customHeight="1">
      <c r="A82" s="7">
        <v>78.0</v>
      </c>
      <c r="B82" s="8" t="s">
        <v>93</v>
      </c>
      <c r="C82" s="8"/>
      <c r="D82" s="12"/>
      <c r="E82" s="8"/>
      <c r="F82" s="8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1.25" customHeight="1">
      <c r="A83" s="7">
        <v>79.0</v>
      </c>
      <c r="B83" s="8" t="s">
        <v>94</v>
      </c>
      <c r="C83" s="8"/>
      <c r="D83" s="12"/>
      <c r="E83" s="8"/>
      <c r="F83" s="8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1.25" customHeight="1">
      <c r="A84" s="7">
        <v>80.0</v>
      </c>
      <c r="B84" s="8" t="s">
        <v>95</v>
      </c>
      <c r="C84" s="8"/>
      <c r="D84" s="12"/>
      <c r="E84" s="8"/>
      <c r="F84" s="8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1.25" customHeight="1">
      <c r="A85" s="7">
        <v>81.0</v>
      </c>
      <c r="B85" s="8" t="s">
        <v>96</v>
      </c>
      <c r="C85" s="8"/>
      <c r="D85" s="12"/>
      <c r="E85" s="8"/>
      <c r="F85" s="8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1.25" customHeight="1">
      <c r="A86" s="7">
        <v>82.0</v>
      </c>
      <c r="B86" s="8" t="s">
        <v>97</v>
      </c>
      <c r="C86" s="8"/>
      <c r="D86" s="12"/>
      <c r="E86" s="8"/>
      <c r="F86" s="8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1.25" customHeight="1">
      <c r="A87" s="7">
        <v>83.0</v>
      </c>
      <c r="B87" s="8" t="s">
        <v>98</v>
      </c>
      <c r="C87" s="8"/>
      <c r="D87" s="12"/>
      <c r="E87" s="8"/>
      <c r="F87" s="8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1.25" customHeight="1">
      <c r="A88" s="7">
        <v>84.0</v>
      </c>
      <c r="B88" s="8" t="s">
        <v>99</v>
      </c>
      <c r="C88" s="8"/>
      <c r="D88" s="12"/>
      <c r="E88" s="8"/>
      <c r="F88" s="8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1.25" customHeight="1">
      <c r="A89" s="7">
        <v>85.0</v>
      </c>
      <c r="B89" s="8" t="s">
        <v>100</v>
      </c>
      <c r="C89" s="8"/>
      <c r="D89" s="12"/>
      <c r="E89" s="8"/>
      <c r="F89" s="8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1.25" customHeight="1">
      <c r="A90" s="7">
        <v>86.0</v>
      </c>
      <c r="B90" s="8" t="s">
        <v>101</v>
      </c>
      <c r="C90" s="8"/>
      <c r="D90" s="12"/>
      <c r="E90" s="8"/>
      <c r="F90" s="8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1.25" customHeight="1">
      <c r="A91" s="7">
        <v>87.0</v>
      </c>
      <c r="B91" s="8" t="s">
        <v>102</v>
      </c>
      <c r="C91" s="8"/>
      <c r="D91" s="12"/>
      <c r="E91" s="8"/>
      <c r="F91" s="8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1.25" customHeight="1">
      <c r="A92" s="7">
        <v>88.0</v>
      </c>
      <c r="B92" s="8" t="s">
        <v>103</v>
      </c>
      <c r="C92" s="8"/>
      <c r="D92" s="12"/>
      <c r="E92" s="8"/>
      <c r="F92" s="8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1.25" customHeight="1">
      <c r="A93" s="7">
        <v>89.0</v>
      </c>
      <c r="B93" s="8" t="s">
        <v>104</v>
      </c>
      <c r="C93" s="8"/>
      <c r="D93" s="12"/>
      <c r="E93" s="8"/>
      <c r="F93" s="8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1.25" customHeight="1">
      <c r="A94" s="7">
        <v>90.0</v>
      </c>
      <c r="B94" s="8" t="s">
        <v>105</v>
      </c>
      <c r="C94" s="8"/>
      <c r="D94" s="12"/>
      <c r="E94" s="8"/>
      <c r="F94" s="8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1.25" customHeight="1">
      <c r="A95" s="7">
        <v>91.0</v>
      </c>
      <c r="B95" s="8" t="s">
        <v>106</v>
      </c>
      <c r="C95" s="8"/>
      <c r="D95" s="12"/>
      <c r="E95" s="8"/>
      <c r="F95" s="8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1.25" customHeight="1">
      <c r="A96" s="7">
        <v>92.0</v>
      </c>
      <c r="B96" s="8" t="s">
        <v>107</v>
      </c>
      <c r="C96" s="8"/>
      <c r="D96" s="12"/>
      <c r="E96" s="8"/>
      <c r="F96" s="8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1.25" customHeight="1">
      <c r="A97" s="7">
        <v>93.0</v>
      </c>
      <c r="B97" s="8" t="s">
        <v>108</v>
      </c>
      <c r="C97" s="8"/>
      <c r="D97" s="12"/>
      <c r="E97" s="8"/>
      <c r="F97" s="8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1.25" customHeight="1">
      <c r="A98" s="7">
        <v>94.0</v>
      </c>
      <c r="B98" s="8" t="s">
        <v>109</v>
      </c>
      <c r="C98" s="8"/>
      <c r="D98" s="12"/>
      <c r="E98" s="8"/>
      <c r="F98" s="8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1.25" customHeight="1">
      <c r="A99" s="7">
        <v>95.0</v>
      </c>
      <c r="B99" s="8" t="s">
        <v>110</v>
      </c>
      <c r="C99" s="8"/>
      <c r="D99" s="12"/>
      <c r="E99" s="8"/>
      <c r="F99" s="8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1.25" customHeight="1">
      <c r="A100" s="7">
        <v>96.0</v>
      </c>
      <c r="B100" s="8" t="s">
        <v>111</v>
      </c>
      <c r="C100" s="8"/>
      <c r="D100" s="12"/>
      <c r="E100" s="8"/>
      <c r="F100" s="8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1.25" customHeight="1">
      <c r="A101" s="7">
        <v>97.0</v>
      </c>
      <c r="B101" s="8" t="s">
        <v>112</v>
      </c>
      <c r="C101" s="8"/>
      <c r="D101" s="12"/>
      <c r="E101" s="8"/>
      <c r="F101" s="8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1.25" customHeight="1">
      <c r="A102" s="7">
        <v>98.0</v>
      </c>
      <c r="B102" s="8" t="s">
        <v>113</v>
      </c>
      <c r="C102" s="8"/>
      <c r="D102" s="12"/>
      <c r="E102" s="8"/>
      <c r="F102" s="8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1.25" customHeight="1">
      <c r="A103" s="7">
        <v>99.0</v>
      </c>
      <c r="B103" s="8" t="s">
        <v>114</v>
      </c>
      <c r="C103" s="8"/>
      <c r="D103" s="12"/>
      <c r="E103" s="8"/>
      <c r="F103" s="8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1.25" customHeight="1">
      <c r="A104" s="7">
        <v>100.0</v>
      </c>
      <c r="B104" s="8" t="s">
        <v>115</v>
      </c>
      <c r="C104" s="8"/>
      <c r="D104" s="12"/>
      <c r="E104" s="8"/>
      <c r="F104" s="8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1.25" customHeight="1">
      <c r="A105" s="7">
        <v>101.0</v>
      </c>
      <c r="B105" s="8"/>
      <c r="C105" s="8"/>
      <c r="D105" s="12"/>
      <c r="E105" s="8"/>
      <c r="F105" s="8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1.25" customHeight="1">
      <c r="A106" s="7">
        <v>102.0</v>
      </c>
      <c r="B106" s="8"/>
      <c r="C106" s="8"/>
      <c r="D106" s="12"/>
      <c r="E106" s="8"/>
      <c r="F106" s="8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1.25" customHeight="1">
      <c r="A107" s="7">
        <v>103.0</v>
      </c>
      <c r="B107" s="8"/>
      <c r="C107" s="8"/>
      <c r="D107" s="12"/>
      <c r="E107" s="8"/>
      <c r="F107" s="8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1.25" customHeight="1">
      <c r="A108" s="7">
        <v>104.0</v>
      </c>
      <c r="B108" s="8"/>
      <c r="C108" s="8"/>
      <c r="D108" s="12"/>
      <c r="E108" s="8"/>
      <c r="F108" s="8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1.25" customHeight="1">
      <c r="A109" s="7">
        <v>105.0</v>
      </c>
      <c r="B109" s="8"/>
      <c r="C109" s="8"/>
      <c r="D109" s="12"/>
      <c r="E109" s="8"/>
      <c r="F109" s="8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1.25" customHeight="1">
      <c r="A110" s="7">
        <v>106.0</v>
      </c>
      <c r="B110" s="8"/>
      <c r="C110" s="8"/>
      <c r="D110" s="12"/>
      <c r="E110" s="8"/>
      <c r="F110" s="8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1.25" customHeight="1">
      <c r="A111" s="7">
        <v>107.0</v>
      </c>
      <c r="B111" s="8"/>
      <c r="C111" s="8"/>
      <c r="D111" s="12"/>
      <c r="E111" s="8"/>
      <c r="F111" s="8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1.25" customHeight="1">
      <c r="A112" s="7">
        <v>108.0</v>
      </c>
      <c r="B112" s="8"/>
      <c r="C112" s="8"/>
      <c r="D112" s="12"/>
      <c r="E112" s="8"/>
      <c r="F112" s="8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1.25" customHeight="1">
      <c r="A113" s="7">
        <v>109.0</v>
      </c>
      <c r="B113" s="8"/>
      <c r="C113" s="8"/>
      <c r="D113" s="12"/>
      <c r="E113" s="8"/>
      <c r="F113" s="8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1.25" customHeight="1">
      <c r="A114" s="7">
        <v>110.0</v>
      </c>
      <c r="B114" s="8"/>
      <c r="C114" s="8"/>
      <c r="D114" s="12"/>
      <c r="E114" s="8"/>
      <c r="F114" s="8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1.25" customHeight="1">
      <c r="A115" s="7">
        <v>111.0</v>
      </c>
      <c r="B115" s="8"/>
      <c r="C115" s="8"/>
      <c r="D115" s="12"/>
      <c r="E115" s="8"/>
      <c r="F115" s="8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1.25" customHeight="1">
      <c r="A116" s="7">
        <v>112.0</v>
      </c>
      <c r="B116" s="8"/>
      <c r="C116" s="8"/>
      <c r="D116" s="12"/>
      <c r="E116" s="8"/>
      <c r="F116" s="8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1.25" customHeight="1">
      <c r="A117" s="7">
        <v>113.0</v>
      </c>
      <c r="B117" s="8"/>
      <c r="C117" s="8"/>
      <c r="D117" s="12"/>
      <c r="E117" s="8"/>
      <c r="F117" s="8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1.25" customHeight="1">
      <c r="A118" s="7">
        <v>114.0</v>
      </c>
      <c r="B118" s="8"/>
      <c r="C118" s="8"/>
      <c r="D118" s="12"/>
      <c r="E118" s="8"/>
      <c r="F118" s="8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1.25" customHeight="1">
      <c r="A119" s="7">
        <v>115.0</v>
      </c>
      <c r="B119" s="8"/>
      <c r="C119" s="8"/>
      <c r="D119" s="12"/>
      <c r="E119" s="8"/>
      <c r="F119" s="8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1.25" customHeight="1">
      <c r="A120" s="7">
        <v>116.0</v>
      </c>
      <c r="B120" s="8"/>
      <c r="C120" s="8"/>
      <c r="D120" s="12"/>
      <c r="E120" s="8"/>
      <c r="F120" s="8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1.25" customHeight="1">
      <c r="A121" s="7">
        <v>117.0</v>
      </c>
      <c r="B121" s="8"/>
      <c r="C121" s="8"/>
      <c r="D121" s="12"/>
      <c r="E121" s="8"/>
      <c r="F121" s="8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1.25" customHeight="1">
      <c r="A122" s="7">
        <v>118.0</v>
      </c>
      <c r="B122" s="8"/>
      <c r="C122" s="8"/>
      <c r="D122" s="12"/>
      <c r="E122" s="8"/>
      <c r="F122" s="8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1.25" customHeight="1">
      <c r="A123" s="7">
        <v>119.0</v>
      </c>
      <c r="B123" s="8"/>
      <c r="C123" s="8"/>
      <c r="D123" s="12"/>
      <c r="E123" s="8"/>
      <c r="F123" s="8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1.25" customHeight="1">
      <c r="A124" s="7">
        <v>120.0</v>
      </c>
      <c r="B124" s="8"/>
      <c r="C124" s="8"/>
      <c r="D124" s="12"/>
      <c r="E124" s="8"/>
      <c r="F124" s="8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1.25" customHeight="1">
      <c r="A125" s="7">
        <v>121.0</v>
      </c>
      <c r="B125" s="8"/>
      <c r="C125" s="8"/>
      <c r="D125" s="12"/>
      <c r="E125" s="8"/>
      <c r="F125" s="8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1.25" customHeight="1">
      <c r="A126" s="7">
        <v>122.0</v>
      </c>
      <c r="B126" s="8"/>
      <c r="C126" s="8"/>
      <c r="D126" s="12"/>
      <c r="E126" s="8"/>
      <c r="F126" s="8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1.25" customHeight="1">
      <c r="A127" s="7">
        <v>123.0</v>
      </c>
      <c r="B127" s="8"/>
      <c r="C127" s="8"/>
      <c r="D127" s="12"/>
      <c r="E127" s="8"/>
      <c r="F127" s="8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1.25" customHeight="1">
      <c r="A128" s="7">
        <v>124.0</v>
      </c>
      <c r="B128" s="8"/>
      <c r="C128" s="8"/>
      <c r="D128" s="12"/>
      <c r="E128" s="8"/>
      <c r="F128" s="8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1.25" customHeight="1">
      <c r="A129" s="7">
        <v>125.0</v>
      </c>
      <c r="B129" s="8"/>
      <c r="C129" s="8"/>
      <c r="D129" s="12"/>
      <c r="E129" s="8"/>
      <c r="F129" s="8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1.25" customHeight="1">
      <c r="A130" s="7">
        <v>126.0</v>
      </c>
      <c r="B130" s="8"/>
      <c r="C130" s="8"/>
      <c r="D130" s="12"/>
      <c r="E130" s="8"/>
      <c r="F130" s="8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1.25" customHeight="1">
      <c r="A131" s="7">
        <v>127.0</v>
      </c>
      <c r="B131" s="8"/>
      <c r="C131" s="8"/>
      <c r="D131" s="12"/>
      <c r="E131" s="8"/>
      <c r="F131" s="8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1.25" customHeight="1">
      <c r="A132" s="7">
        <v>128.0</v>
      </c>
      <c r="B132" s="8"/>
      <c r="C132" s="8"/>
      <c r="D132" s="12"/>
      <c r="E132" s="8"/>
      <c r="F132" s="8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1.25" customHeight="1">
      <c r="A133" s="7">
        <v>129.0</v>
      </c>
      <c r="B133" s="8"/>
      <c r="C133" s="8"/>
      <c r="D133" s="12"/>
      <c r="E133" s="8"/>
      <c r="F133" s="8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1.25" customHeight="1">
      <c r="A134" s="7">
        <v>130.0</v>
      </c>
      <c r="B134" s="8"/>
      <c r="C134" s="8"/>
      <c r="D134" s="12"/>
      <c r="E134" s="8"/>
      <c r="F134" s="8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1.25" customHeight="1">
      <c r="A135" s="7">
        <v>131.0</v>
      </c>
      <c r="B135" s="8"/>
      <c r="C135" s="8"/>
      <c r="D135" s="12"/>
      <c r="E135" s="8"/>
      <c r="F135" s="8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1.25" customHeight="1">
      <c r="A136" s="7">
        <v>132.0</v>
      </c>
      <c r="B136" s="8"/>
      <c r="C136" s="8"/>
      <c r="D136" s="12"/>
      <c r="E136" s="8"/>
      <c r="F136" s="8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1.25" customHeight="1">
      <c r="A137" s="7">
        <v>133.0</v>
      </c>
      <c r="B137" s="8"/>
      <c r="C137" s="8"/>
      <c r="D137" s="12"/>
      <c r="E137" s="8"/>
      <c r="F137" s="8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1.25" customHeight="1">
      <c r="A138" s="7">
        <v>134.0</v>
      </c>
      <c r="B138" s="8"/>
      <c r="C138" s="8"/>
      <c r="D138" s="12"/>
      <c r="E138" s="8"/>
      <c r="F138" s="8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1.25" customHeight="1">
      <c r="A139" s="7">
        <v>135.0</v>
      </c>
      <c r="B139" s="8"/>
      <c r="C139" s="8"/>
      <c r="D139" s="12"/>
      <c r="E139" s="8"/>
      <c r="F139" s="8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1.25" customHeight="1">
      <c r="A140" s="7">
        <v>136.0</v>
      </c>
      <c r="B140" s="8"/>
      <c r="C140" s="8"/>
      <c r="D140" s="12"/>
      <c r="E140" s="8"/>
      <c r="F140" s="8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1.25" customHeight="1">
      <c r="A141" s="7">
        <v>137.0</v>
      </c>
      <c r="B141" s="8"/>
      <c r="C141" s="8"/>
      <c r="D141" s="12"/>
      <c r="E141" s="8"/>
      <c r="F141" s="8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1.25" customHeight="1">
      <c r="A142" s="7">
        <v>138.0</v>
      </c>
      <c r="B142" s="8"/>
      <c r="C142" s="8"/>
      <c r="D142" s="12"/>
      <c r="E142" s="8"/>
      <c r="F142" s="8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1.25" customHeight="1">
      <c r="A143" s="7">
        <v>139.0</v>
      </c>
      <c r="B143" s="8"/>
      <c r="C143" s="8"/>
      <c r="D143" s="12"/>
      <c r="E143" s="8"/>
      <c r="F143" s="8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1.25" customHeight="1">
      <c r="A144" s="7">
        <v>140.0</v>
      </c>
      <c r="B144" s="8"/>
      <c r="C144" s="8"/>
      <c r="D144" s="12"/>
      <c r="E144" s="8"/>
      <c r="F144" s="8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1.25" customHeight="1">
      <c r="A145" s="7">
        <v>141.0</v>
      </c>
      <c r="B145" s="8"/>
      <c r="C145" s="8"/>
      <c r="D145" s="12"/>
      <c r="E145" s="8"/>
      <c r="F145" s="8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1.25" customHeight="1">
      <c r="A146" s="7">
        <v>142.0</v>
      </c>
      <c r="B146" s="8"/>
      <c r="C146" s="8"/>
      <c r="D146" s="12"/>
      <c r="E146" s="8"/>
      <c r="F146" s="8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1.25" customHeight="1">
      <c r="A147" s="7">
        <v>143.0</v>
      </c>
      <c r="B147" s="8"/>
      <c r="C147" s="8"/>
      <c r="D147" s="12"/>
      <c r="E147" s="8"/>
      <c r="F147" s="8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1.25" customHeight="1">
      <c r="A148" s="7">
        <v>144.0</v>
      </c>
      <c r="B148" s="8"/>
      <c r="C148" s="8"/>
      <c r="D148" s="12"/>
      <c r="E148" s="8"/>
      <c r="F148" s="8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1.25" customHeight="1">
      <c r="A149" s="7">
        <v>145.0</v>
      </c>
      <c r="B149" s="8"/>
      <c r="C149" s="8"/>
      <c r="D149" s="12"/>
      <c r="E149" s="8"/>
      <c r="F149" s="8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1.25" customHeight="1">
      <c r="A150" s="7">
        <v>146.0</v>
      </c>
      <c r="B150" s="8"/>
      <c r="C150" s="8"/>
      <c r="D150" s="12"/>
      <c r="E150" s="8"/>
      <c r="F150" s="8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1.25" customHeight="1">
      <c r="A151" s="7">
        <v>147.0</v>
      </c>
      <c r="B151" s="8"/>
      <c r="C151" s="8"/>
      <c r="D151" s="12"/>
      <c r="E151" s="8"/>
      <c r="F151" s="8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1.25" customHeight="1">
      <c r="A152" s="7">
        <v>148.0</v>
      </c>
      <c r="B152" s="8"/>
      <c r="C152" s="8"/>
      <c r="D152" s="12"/>
      <c r="E152" s="8"/>
      <c r="F152" s="8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1.25" customHeight="1">
      <c r="A153" s="7">
        <v>149.0</v>
      </c>
      <c r="B153" s="8"/>
      <c r="C153" s="8"/>
      <c r="D153" s="12"/>
      <c r="E153" s="8"/>
      <c r="F153" s="8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1.25" customHeight="1">
      <c r="A154" s="7">
        <v>150.0</v>
      </c>
      <c r="B154" s="8"/>
      <c r="C154" s="8"/>
      <c r="D154" s="12"/>
      <c r="E154" s="8"/>
      <c r="F154" s="8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1.25" customHeight="1">
      <c r="A155" s="7">
        <v>151.0</v>
      </c>
      <c r="B155" s="8"/>
      <c r="C155" s="8"/>
      <c r="D155" s="12"/>
      <c r="E155" s="8"/>
      <c r="F155" s="8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1.25" customHeight="1">
      <c r="A156" s="7">
        <v>152.0</v>
      </c>
      <c r="B156" s="8"/>
      <c r="C156" s="8"/>
      <c r="D156" s="12"/>
      <c r="E156" s="8"/>
      <c r="F156" s="8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1.25" customHeight="1">
      <c r="A157" s="7">
        <v>153.0</v>
      </c>
      <c r="B157" s="8"/>
      <c r="C157" s="8"/>
      <c r="D157" s="12"/>
      <c r="E157" s="8"/>
      <c r="F157" s="8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1.25" customHeight="1">
      <c r="A158" s="7">
        <v>154.0</v>
      </c>
      <c r="B158" s="8"/>
      <c r="C158" s="8"/>
      <c r="D158" s="12"/>
      <c r="E158" s="8"/>
      <c r="F158" s="8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1.25" customHeight="1">
      <c r="A159" s="7">
        <v>155.0</v>
      </c>
      <c r="B159" s="8"/>
      <c r="C159" s="8"/>
      <c r="D159" s="12"/>
      <c r="E159" s="8"/>
      <c r="F159" s="8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1.25" customHeight="1">
      <c r="A160" s="7">
        <v>156.0</v>
      </c>
      <c r="B160" s="8"/>
      <c r="C160" s="8"/>
      <c r="D160" s="12"/>
      <c r="E160" s="8"/>
      <c r="F160" s="8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1.25" customHeight="1">
      <c r="A161" s="7">
        <v>157.0</v>
      </c>
      <c r="B161" s="8"/>
      <c r="C161" s="8"/>
      <c r="D161" s="12"/>
      <c r="E161" s="8"/>
      <c r="F161" s="8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1.25" customHeight="1">
      <c r="A162" s="7">
        <v>158.0</v>
      </c>
      <c r="B162" s="8"/>
      <c r="C162" s="8"/>
      <c r="D162" s="12"/>
      <c r="E162" s="8"/>
      <c r="F162" s="8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1.25" customHeight="1">
      <c r="A163" s="7">
        <v>159.0</v>
      </c>
      <c r="B163" s="8"/>
      <c r="C163" s="8"/>
      <c r="D163" s="12"/>
      <c r="E163" s="8"/>
      <c r="F163" s="8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1.25" customHeight="1">
      <c r="A164" s="7">
        <v>160.0</v>
      </c>
      <c r="B164" s="8"/>
      <c r="C164" s="8"/>
      <c r="D164" s="12"/>
      <c r="E164" s="8"/>
      <c r="F164" s="8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1.25" customHeight="1">
      <c r="A165" s="7">
        <v>161.0</v>
      </c>
      <c r="B165" s="8"/>
      <c r="C165" s="8"/>
      <c r="D165" s="12"/>
      <c r="E165" s="8"/>
      <c r="F165" s="8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1.25" customHeight="1">
      <c r="A166" s="7">
        <v>162.0</v>
      </c>
      <c r="B166" s="8"/>
      <c r="C166" s="8"/>
      <c r="D166" s="12"/>
      <c r="E166" s="8"/>
      <c r="F166" s="8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1.25" customHeight="1">
      <c r="A167" s="7">
        <v>163.0</v>
      </c>
      <c r="B167" s="8"/>
      <c r="C167" s="8"/>
      <c r="D167" s="12"/>
      <c r="E167" s="8"/>
      <c r="F167" s="8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1.25" customHeight="1">
      <c r="A168" s="7">
        <v>164.0</v>
      </c>
      <c r="B168" s="8"/>
      <c r="C168" s="8"/>
      <c r="D168" s="12"/>
      <c r="E168" s="8"/>
      <c r="F168" s="8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1.25" customHeight="1">
      <c r="A169" s="7">
        <v>165.0</v>
      </c>
      <c r="B169" s="8"/>
      <c r="C169" s="8"/>
      <c r="D169" s="12"/>
      <c r="E169" s="8"/>
      <c r="F169" s="8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1.25" customHeight="1">
      <c r="A170" s="7">
        <v>166.0</v>
      </c>
      <c r="B170" s="8"/>
      <c r="C170" s="8"/>
      <c r="D170" s="12"/>
      <c r="E170" s="8"/>
      <c r="F170" s="8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1.25" customHeight="1">
      <c r="A171" s="7">
        <v>167.0</v>
      </c>
      <c r="B171" s="8"/>
      <c r="C171" s="8"/>
      <c r="D171" s="12"/>
      <c r="E171" s="8"/>
      <c r="F171" s="8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1.25" customHeight="1">
      <c r="A172" s="7">
        <v>168.0</v>
      </c>
      <c r="B172" s="8"/>
      <c r="C172" s="8"/>
      <c r="D172" s="12"/>
      <c r="E172" s="8"/>
      <c r="F172" s="8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1.25" customHeight="1">
      <c r="A173" s="7">
        <v>169.0</v>
      </c>
      <c r="B173" s="8"/>
      <c r="C173" s="8"/>
      <c r="D173" s="12"/>
      <c r="E173" s="8"/>
      <c r="F173" s="8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1.25" customHeight="1">
      <c r="A174" s="7">
        <v>170.0</v>
      </c>
      <c r="B174" s="8"/>
      <c r="C174" s="8"/>
      <c r="D174" s="12"/>
      <c r="E174" s="8"/>
      <c r="F174" s="8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1.25" customHeight="1">
      <c r="A175" s="7">
        <v>171.0</v>
      </c>
      <c r="B175" s="8"/>
      <c r="C175" s="8"/>
      <c r="D175" s="12"/>
      <c r="E175" s="8"/>
      <c r="F175" s="8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1.25" customHeight="1">
      <c r="A176" s="7">
        <v>172.0</v>
      </c>
      <c r="B176" s="8"/>
      <c r="C176" s="8"/>
      <c r="D176" s="12"/>
      <c r="E176" s="8"/>
      <c r="F176" s="8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1.25" customHeight="1">
      <c r="A177" s="7">
        <v>173.0</v>
      </c>
      <c r="B177" s="8"/>
      <c r="C177" s="8"/>
      <c r="D177" s="12"/>
      <c r="E177" s="8"/>
      <c r="F177" s="8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1.25" customHeight="1">
      <c r="A178" s="7">
        <v>174.0</v>
      </c>
      <c r="B178" s="8"/>
      <c r="C178" s="8"/>
      <c r="D178" s="12"/>
      <c r="E178" s="8"/>
      <c r="F178" s="8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1.25" customHeight="1">
      <c r="A179" s="7">
        <v>175.0</v>
      </c>
      <c r="B179" s="8"/>
      <c r="C179" s="8"/>
      <c r="D179" s="12"/>
      <c r="E179" s="8"/>
      <c r="F179" s="8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1.25" customHeight="1">
      <c r="A180" s="7">
        <v>176.0</v>
      </c>
      <c r="B180" s="8"/>
      <c r="C180" s="8"/>
      <c r="D180" s="12"/>
      <c r="E180" s="8"/>
      <c r="F180" s="8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1.25" customHeight="1">
      <c r="A181" s="7">
        <v>177.0</v>
      </c>
      <c r="B181" s="8"/>
      <c r="C181" s="8"/>
      <c r="D181" s="12"/>
      <c r="E181" s="8"/>
      <c r="F181" s="8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1.25" customHeight="1">
      <c r="A182" s="7">
        <v>178.0</v>
      </c>
      <c r="B182" s="8"/>
      <c r="C182" s="8"/>
      <c r="D182" s="12"/>
      <c r="E182" s="8"/>
      <c r="F182" s="8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1.25" customHeight="1">
      <c r="A183" s="7">
        <v>179.0</v>
      </c>
      <c r="B183" s="8"/>
      <c r="C183" s="8"/>
      <c r="D183" s="12"/>
      <c r="E183" s="8"/>
      <c r="F183" s="8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1.25" customHeight="1">
      <c r="A184" s="7">
        <v>180.0</v>
      </c>
      <c r="B184" s="8"/>
      <c r="C184" s="8"/>
      <c r="D184" s="12"/>
      <c r="E184" s="8"/>
      <c r="F184" s="8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1.25" customHeight="1">
      <c r="A185" s="7">
        <v>181.0</v>
      </c>
      <c r="B185" s="8"/>
      <c r="C185" s="8"/>
      <c r="D185" s="12"/>
      <c r="E185" s="8"/>
      <c r="F185" s="8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1.25" customHeight="1">
      <c r="A186" s="7">
        <v>182.0</v>
      </c>
      <c r="B186" s="8"/>
      <c r="C186" s="8"/>
      <c r="D186" s="12"/>
      <c r="E186" s="8"/>
      <c r="F186" s="8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1.25" customHeight="1">
      <c r="A187" s="7">
        <v>183.0</v>
      </c>
      <c r="B187" s="8"/>
      <c r="C187" s="8"/>
      <c r="D187" s="12"/>
      <c r="E187" s="8"/>
      <c r="F187" s="8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1.25" customHeight="1">
      <c r="A188" s="7">
        <v>184.0</v>
      </c>
      <c r="B188" s="8"/>
      <c r="C188" s="8"/>
      <c r="D188" s="12"/>
      <c r="E188" s="8"/>
      <c r="F188" s="8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1.25" customHeight="1">
      <c r="A189" s="7">
        <v>185.0</v>
      </c>
      <c r="B189" s="8"/>
      <c r="C189" s="8"/>
      <c r="D189" s="12"/>
      <c r="E189" s="8"/>
      <c r="F189" s="8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1.25" customHeight="1">
      <c r="A190" s="7">
        <v>186.0</v>
      </c>
      <c r="B190" s="8"/>
      <c r="C190" s="8"/>
      <c r="D190" s="12"/>
      <c r="E190" s="8"/>
      <c r="F190" s="8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1.25" customHeight="1">
      <c r="A191" s="7">
        <v>187.0</v>
      </c>
      <c r="B191" s="8"/>
      <c r="C191" s="8"/>
      <c r="D191" s="12"/>
      <c r="E191" s="8"/>
      <c r="F191" s="8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1.25" customHeight="1">
      <c r="A192" s="7">
        <v>188.0</v>
      </c>
      <c r="B192" s="8"/>
      <c r="C192" s="8"/>
      <c r="D192" s="12"/>
      <c r="E192" s="8"/>
      <c r="F192" s="8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1.25" customHeight="1">
      <c r="A193" s="7">
        <v>189.0</v>
      </c>
      <c r="B193" s="8"/>
      <c r="C193" s="8"/>
      <c r="D193" s="12"/>
      <c r="E193" s="8"/>
      <c r="F193" s="8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1.25" customHeight="1">
      <c r="A194" s="7">
        <v>190.0</v>
      </c>
      <c r="B194" s="8"/>
      <c r="C194" s="8"/>
      <c r="D194" s="12"/>
      <c r="E194" s="8"/>
      <c r="F194" s="8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1.25" customHeight="1">
      <c r="A195" s="7">
        <v>191.0</v>
      </c>
      <c r="B195" s="8"/>
      <c r="C195" s="8"/>
      <c r="D195" s="12"/>
      <c r="E195" s="8"/>
      <c r="F195" s="8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1.25" customHeight="1">
      <c r="A196" s="7">
        <v>192.0</v>
      </c>
      <c r="B196" s="8"/>
      <c r="C196" s="8"/>
      <c r="D196" s="12"/>
      <c r="E196" s="8"/>
      <c r="F196" s="8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1.25" customHeight="1">
      <c r="A197" s="7">
        <v>193.0</v>
      </c>
      <c r="B197" s="8"/>
      <c r="C197" s="8"/>
      <c r="D197" s="12"/>
      <c r="E197" s="8"/>
      <c r="F197" s="8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1.25" customHeight="1">
      <c r="A198" s="7">
        <v>194.0</v>
      </c>
      <c r="B198" s="8"/>
      <c r="C198" s="8"/>
      <c r="D198" s="12"/>
      <c r="E198" s="8"/>
      <c r="F198" s="8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1.25" customHeight="1">
      <c r="A199" s="7">
        <v>195.0</v>
      </c>
      <c r="B199" s="8"/>
      <c r="C199" s="8"/>
      <c r="D199" s="12"/>
      <c r="E199" s="8"/>
      <c r="F199" s="8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1.25" customHeight="1">
      <c r="A200" s="7">
        <v>196.0</v>
      </c>
      <c r="B200" s="8"/>
      <c r="C200" s="8"/>
      <c r="D200" s="12"/>
      <c r="E200" s="8"/>
      <c r="F200" s="8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1.25" customHeight="1">
      <c r="A201" s="7">
        <v>197.0</v>
      </c>
      <c r="B201" s="8"/>
      <c r="C201" s="8"/>
      <c r="D201" s="12"/>
      <c r="E201" s="8"/>
      <c r="F201" s="8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1.25" customHeight="1">
      <c r="A202" s="7">
        <v>198.0</v>
      </c>
      <c r="B202" s="8"/>
      <c r="C202" s="8"/>
      <c r="D202" s="12"/>
      <c r="E202" s="8"/>
      <c r="F202" s="8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1.25" customHeight="1">
      <c r="A203" s="7">
        <v>199.0</v>
      </c>
      <c r="B203" s="8"/>
      <c r="C203" s="8"/>
      <c r="D203" s="12"/>
      <c r="E203" s="8"/>
      <c r="F203" s="8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1.25" customHeight="1">
      <c r="A204" s="7">
        <v>200.0</v>
      </c>
      <c r="B204" s="8"/>
      <c r="C204" s="8"/>
      <c r="D204" s="12"/>
      <c r="E204" s="8"/>
      <c r="F204" s="8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1.25" customHeight="1">
      <c r="A205" s="7">
        <v>201.0</v>
      </c>
      <c r="B205" s="8"/>
      <c r="C205" s="8"/>
      <c r="D205" s="12"/>
      <c r="E205" s="8"/>
      <c r="F205" s="8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1.25" customHeight="1">
      <c r="A206" s="7">
        <v>202.0</v>
      </c>
      <c r="B206" s="8"/>
      <c r="C206" s="8"/>
      <c r="D206" s="12"/>
      <c r="E206" s="8"/>
      <c r="F206" s="8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1.25" customHeight="1">
      <c r="A207" s="7">
        <v>203.0</v>
      </c>
      <c r="B207" s="8"/>
      <c r="C207" s="8"/>
      <c r="D207" s="12"/>
      <c r="E207" s="8"/>
      <c r="F207" s="8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1.25" customHeight="1">
      <c r="A208" s="7">
        <v>204.0</v>
      </c>
      <c r="B208" s="8"/>
      <c r="C208" s="8"/>
      <c r="D208" s="12"/>
      <c r="E208" s="8"/>
      <c r="F208" s="8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1.25" customHeight="1">
      <c r="A209" s="7">
        <v>205.0</v>
      </c>
      <c r="B209" s="8"/>
      <c r="C209" s="8"/>
      <c r="D209" s="12"/>
      <c r="E209" s="8"/>
      <c r="F209" s="8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1.25" customHeight="1">
      <c r="A210" s="7">
        <v>206.0</v>
      </c>
      <c r="B210" s="8"/>
      <c r="C210" s="8"/>
      <c r="D210" s="12"/>
      <c r="E210" s="8"/>
      <c r="F210" s="8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1.25" customHeight="1">
      <c r="A211" s="7">
        <v>207.0</v>
      </c>
      <c r="B211" s="8"/>
      <c r="C211" s="8"/>
      <c r="D211" s="12"/>
      <c r="E211" s="8"/>
      <c r="F211" s="8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1.25" customHeight="1">
      <c r="A212" s="7">
        <v>208.0</v>
      </c>
      <c r="B212" s="8"/>
      <c r="C212" s="8"/>
      <c r="D212" s="12"/>
      <c r="E212" s="8"/>
      <c r="F212" s="8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1.25" customHeight="1">
      <c r="A213" s="7">
        <v>209.0</v>
      </c>
      <c r="B213" s="8"/>
      <c r="C213" s="8"/>
      <c r="D213" s="12"/>
      <c r="E213" s="8"/>
      <c r="F213" s="8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1.25" customHeight="1">
      <c r="A214" s="7">
        <v>210.0</v>
      </c>
      <c r="B214" s="8"/>
      <c r="C214" s="8"/>
      <c r="D214" s="12"/>
      <c r="E214" s="8"/>
      <c r="F214" s="8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1.25" customHeight="1">
      <c r="A215" s="7">
        <v>211.0</v>
      </c>
      <c r="B215" s="8"/>
      <c r="C215" s="8"/>
      <c r="D215" s="12"/>
      <c r="E215" s="8"/>
      <c r="F215" s="8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1.25" customHeight="1">
      <c r="A216" s="7">
        <v>212.0</v>
      </c>
      <c r="B216" s="8"/>
      <c r="C216" s="8"/>
      <c r="D216" s="12"/>
      <c r="E216" s="8"/>
      <c r="F216" s="8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1.25" customHeight="1">
      <c r="A217" s="7">
        <v>213.0</v>
      </c>
      <c r="B217" s="8"/>
      <c r="C217" s="8"/>
      <c r="D217" s="12"/>
      <c r="E217" s="8"/>
      <c r="F217" s="8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1.25" customHeight="1">
      <c r="A218" s="7">
        <v>214.0</v>
      </c>
      <c r="B218" s="8"/>
      <c r="C218" s="8"/>
      <c r="D218" s="12"/>
      <c r="E218" s="8"/>
      <c r="F218" s="8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1.25" customHeight="1">
      <c r="A219" s="7">
        <v>215.0</v>
      </c>
      <c r="B219" s="8"/>
      <c r="C219" s="8"/>
      <c r="D219" s="12"/>
      <c r="E219" s="8"/>
      <c r="F219" s="8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1.25" customHeight="1">
      <c r="A220" s="7">
        <v>216.0</v>
      </c>
      <c r="B220" s="8"/>
      <c r="C220" s="8"/>
      <c r="D220" s="12"/>
      <c r="E220" s="8"/>
      <c r="F220" s="8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1.25" customHeight="1">
      <c r="A221" s="7">
        <v>217.0</v>
      </c>
      <c r="B221" s="8"/>
      <c r="C221" s="8"/>
      <c r="D221" s="12"/>
      <c r="E221" s="8"/>
      <c r="F221" s="8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1.25" customHeight="1">
      <c r="A222" s="7">
        <v>218.0</v>
      </c>
      <c r="B222" s="8"/>
      <c r="C222" s="8"/>
      <c r="D222" s="12"/>
      <c r="E222" s="8"/>
      <c r="F222" s="8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1.25" customHeight="1">
      <c r="A223" s="7">
        <v>219.0</v>
      </c>
      <c r="B223" s="8"/>
      <c r="C223" s="8"/>
      <c r="D223" s="12"/>
      <c r="E223" s="8"/>
      <c r="F223" s="8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1.25" customHeight="1">
      <c r="A224" s="7">
        <v>220.0</v>
      </c>
      <c r="B224" s="8"/>
      <c r="C224" s="8"/>
      <c r="D224" s="12"/>
      <c r="E224" s="8"/>
      <c r="F224" s="8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1.25" customHeight="1">
      <c r="A225" s="7">
        <v>221.0</v>
      </c>
      <c r="B225" s="8"/>
      <c r="C225" s="8"/>
      <c r="D225" s="12"/>
      <c r="E225" s="8"/>
      <c r="F225" s="8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1.25" customHeight="1">
      <c r="A226" s="7">
        <v>222.0</v>
      </c>
      <c r="B226" s="8"/>
      <c r="C226" s="8"/>
      <c r="D226" s="12"/>
      <c r="E226" s="8"/>
      <c r="F226" s="8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1.25" customHeight="1">
      <c r="A227" s="7">
        <v>223.0</v>
      </c>
      <c r="B227" s="8"/>
      <c r="C227" s="8"/>
      <c r="D227" s="12"/>
      <c r="E227" s="8"/>
      <c r="F227" s="8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1.25" customHeight="1">
      <c r="A228" s="7">
        <v>224.0</v>
      </c>
      <c r="B228" s="8"/>
      <c r="C228" s="8"/>
      <c r="D228" s="12"/>
      <c r="E228" s="8"/>
      <c r="F228" s="8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1.25" customHeight="1">
      <c r="A229" s="7">
        <v>225.0</v>
      </c>
      <c r="B229" s="8"/>
      <c r="C229" s="8"/>
      <c r="D229" s="12"/>
      <c r="E229" s="8"/>
      <c r="F229" s="8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1.25" customHeight="1">
      <c r="A230" s="7">
        <v>226.0</v>
      </c>
      <c r="B230" s="8"/>
      <c r="C230" s="8"/>
      <c r="D230" s="12"/>
      <c r="E230" s="8"/>
      <c r="F230" s="8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1.25" customHeight="1">
      <c r="A231" s="7">
        <v>227.0</v>
      </c>
      <c r="B231" s="8"/>
      <c r="C231" s="8"/>
      <c r="D231" s="12"/>
      <c r="E231" s="8"/>
      <c r="F231" s="8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1.25" customHeight="1">
      <c r="A232" s="7">
        <v>228.0</v>
      </c>
      <c r="B232" s="8"/>
      <c r="C232" s="8"/>
      <c r="D232" s="12"/>
      <c r="E232" s="8"/>
      <c r="F232" s="8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1.25" customHeight="1">
      <c r="A233" s="7">
        <v>229.0</v>
      </c>
      <c r="B233" s="8"/>
      <c r="C233" s="8"/>
      <c r="D233" s="12"/>
      <c r="E233" s="8"/>
      <c r="F233" s="8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1.25" customHeight="1">
      <c r="A234" s="7">
        <v>230.0</v>
      </c>
      <c r="B234" s="8"/>
      <c r="C234" s="8"/>
      <c r="D234" s="12"/>
      <c r="E234" s="8"/>
      <c r="F234" s="8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1.25" customHeight="1">
      <c r="A235" s="7">
        <v>231.0</v>
      </c>
      <c r="B235" s="8"/>
      <c r="C235" s="8"/>
      <c r="D235" s="12"/>
      <c r="E235" s="8"/>
      <c r="F235" s="8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1.25" customHeight="1">
      <c r="A236" s="7">
        <v>232.0</v>
      </c>
      <c r="B236" s="8"/>
      <c r="C236" s="8"/>
      <c r="D236" s="12"/>
      <c r="E236" s="8"/>
      <c r="F236" s="8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1.25" customHeight="1">
      <c r="A237" s="7">
        <v>233.0</v>
      </c>
      <c r="B237" s="8"/>
      <c r="C237" s="8"/>
      <c r="D237" s="12"/>
      <c r="E237" s="8"/>
      <c r="F237" s="8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1.25" customHeight="1">
      <c r="A238" s="7">
        <v>234.0</v>
      </c>
      <c r="B238" s="8"/>
      <c r="C238" s="8"/>
      <c r="D238" s="12"/>
      <c r="E238" s="8"/>
      <c r="F238" s="8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1.25" customHeight="1">
      <c r="A239" s="7">
        <v>235.0</v>
      </c>
      <c r="B239" s="8"/>
      <c r="C239" s="8"/>
      <c r="D239" s="12"/>
      <c r="E239" s="8"/>
      <c r="F239" s="8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1.25" customHeight="1">
      <c r="A240" s="7">
        <v>236.0</v>
      </c>
      <c r="B240" s="8"/>
      <c r="C240" s="8"/>
      <c r="D240" s="12"/>
      <c r="E240" s="8"/>
      <c r="F240" s="8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1.25" customHeight="1">
      <c r="A241" s="7">
        <v>237.0</v>
      </c>
      <c r="B241" s="8"/>
      <c r="C241" s="8"/>
      <c r="D241" s="12"/>
      <c r="E241" s="8"/>
      <c r="F241" s="8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1.25" customHeight="1">
      <c r="A242" s="7">
        <v>238.0</v>
      </c>
      <c r="B242" s="8"/>
      <c r="C242" s="8"/>
      <c r="D242" s="12"/>
      <c r="E242" s="8"/>
      <c r="F242" s="8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1.25" customHeight="1">
      <c r="A243" s="7">
        <v>239.0</v>
      </c>
      <c r="B243" s="8"/>
      <c r="C243" s="8"/>
      <c r="D243" s="12"/>
      <c r="E243" s="8"/>
      <c r="F243" s="8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1.25" customHeight="1">
      <c r="A244" s="7">
        <v>240.0</v>
      </c>
      <c r="B244" s="8"/>
      <c r="C244" s="8"/>
      <c r="D244" s="12"/>
      <c r="E244" s="8"/>
      <c r="F244" s="8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1.25" customHeight="1">
      <c r="A245" s="7">
        <v>241.0</v>
      </c>
      <c r="B245" s="8"/>
      <c r="C245" s="8"/>
      <c r="D245" s="12"/>
      <c r="E245" s="8"/>
      <c r="F245" s="8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1.25" customHeight="1">
      <c r="A246" s="7">
        <v>242.0</v>
      </c>
      <c r="B246" s="8"/>
      <c r="C246" s="8"/>
      <c r="D246" s="12"/>
      <c r="E246" s="8"/>
      <c r="F246" s="8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1.25" customHeight="1">
      <c r="A247" s="7">
        <v>243.0</v>
      </c>
      <c r="B247" s="8"/>
      <c r="C247" s="8"/>
      <c r="D247" s="12"/>
      <c r="E247" s="8"/>
      <c r="F247" s="8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1.25" customHeight="1">
      <c r="A248" s="7">
        <v>244.0</v>
      </c>
      <c r="B248" s="8"/>
      <c r="C248" s="8"/>
      <c r="D248" s="12"/>
      <c r="E248" s="8"/>
      <c r="F248" s="8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1.25" customHeight="1">
      <c r="A249" s="7">
        <v>245.0</v>
      </c>
      <c r="B249" s="8"/>
      <c r="C249" s="8"/>
      <c r="D249" s="12"/>
      <c r="E249" s="8"/>
      <c r="F249" s="8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1.25" customHeight="1">
      <c r="A250" s="7">
        <v>246.0</v>
      </c>
      <c r="B250" s="8"/>
      <c r="C250" s="8"/>
      <c r="D250" s="12"/>
      <c r="E250" s="8"/>
      <c r="F250" s="8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1.25" customHeight="1">
      <c r="A251" s="7">
        <v>247.0</v>
      </c>
      <c r="B251" s="8"/>
      <c r="C251" s="8"/>
      <c r="D251" s="12"/>
      <c r="E251" s="8"/>
      <c r="F251" s="8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1.25" customHeight="1">
      <c r="A252" s="7">
        <v>248.0</v>
      </c>
      <c r="B252" s="8"/>
      <c r="C252" s="8"/>
      <c r="D252" s="12"/>
      <c r="E252" s="8"/>
      <c r="F252" s="8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1.25" customHeight="1">
      <c r="A253" s="7">
        <v>249.0</v>
      </c>
      <c r="B253" s="8"/>
      <c r="C253" s="8"/>
      <c r="D253" s="12"/>
      <c r="E253" s="8"/>
      <c r="F253" s="8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1.25" customHeight="1">
      <c r="A254" s="7">
        <v>250.0</v>
      </c>
      <c r="B254" s="8"/>
      <c r="C254" s="8"/>
      <c r="D254" s="12"/>
      <c r="E254" s="8"/>
      <c r="F254" s="8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1.25" customHeight="1">
      <c r="A255" s="1"/>
      <c r="B255" s="1"/>
      <c r="C255" s="1"/>
      <c r="D255" s="3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1.25" customHeight="1">
      <c r="A256" s="1"/>
      <c r="B256" s="1"/>
      <c r="C256" s="1"/>
      <c r="D256" s="3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1.25" customHeight="1">
      <c r="A257" s="1"/>
      <c r="B257" s="1"/>
      <c r="C257" s="1"/>
      <c r="D257" s="3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1.25" customHeight="1">
      <c r="A258" s="1"/>
      <c r="B258" s="1"/>
      <c r="C258" s="1"/>
      <c r="D258" s="3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1.25" customHeight="1">
      <c r="A259" s="1"/>
      <c r="B259" s="1"/>
      <c r="C259" s="1"/>
      <c r="D259" s="3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1.25" customHeight="1">
      <c r="A260" s="1"/>
      <c r="B260" s="1"/>
      <c r="C260" s="1"/>
      <c r="D260" s="3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1.25" customHeight="1">
      <c r="A261" s="1"/>
      <c r="B261" s="1"/>
      <c r="C261" s="1"/>
      <c r="D261" s="3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1.25" customHeight="1">
      <c r="A262" s="1"/>
      <c r="B262" s="1"/>
      <c r="C262" s="1"/>
      <c r="D262" s="3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1.25" customHeight="1">
      <c r="A263" s="1"/>
      <c r="B263" s="1"/>
      <c r="C263" s="1"/>
      <c r="D263" s="3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1.25" customHeight="1">
      <c r="A264" s="1"/>
      <c r="B264" s="1"/>
      <c r="C264" s="1"/>
      <c r="D264" s="3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1.25" customHeight="1">
      <c r="A265" s="1"/>
      <c r="B265" s="1"/>
      <c r="C265" s="1"/>
      <c r="D265" s="3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1.25" customHeight="1">
      <c r="A266" s="1"/>
      <c r="B266" s="1"/>
      <c r="C266" s="1"/>
      <c r="D266" s="3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1.25" customHeight="1">
      <c r="A267" s="1"/>
      <c r="B267" s="1"/>
      <c r="C267" s="1"/>
      <c r="D267" s="3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1.25" customHeight="1">
      <c r="A268" s="1"/>
      <c r="B268" s="1"/>
      <c r="C268" s="1"/>
      <c r="D268" s="3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1.25" customHeight="1">
      <c r="A269" s="1"/>
      <c r="B269" s="1"/>
      <c r="C269" s="1"/>
      <c r="D269" s="3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1.25" customHeight="1">
      <c r="A270" s="1"/>
      <c r="B270" s="1"/>
      <c r="C270" s="1"/>
      <c r="D270" s="3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1.25" customHeight="1">
      <c r="A271" s="1"/>
      <c r="B271" s="1"/>
      <c r="C271" s="1"/>
      <c r="D271" s="3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1.25" customHeight="1">
      <c r="A272" s="1"/>
      <c r="B272" s="1"/>
      <c r="C272" s="1"/>
      <c r="D272" s="3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1.25" customHeight="1">
      <c r="A273" s="1"/>
      <c r="B273" s="1"/>
      <c r="C273" s="1"/>
      <c r="D273" s="3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1.25" customHeight="1">
      <c r="A274" s="1"/>
      <c r="B274" s="1"/>
      <c r="C274" s="1"/>
      <c r="D274" s="3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1.25" customHeight="1">
      <c r="A275" s="1"/>
      <c r="B275" s="1"/>
      <c r="C275" s="1"/>
      <c r="D275" s="3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1.25" customHeight="1">
      <c r="A276" s="1"/>
      <c r="B276" s="1"/>
      <c r="C276" s="1"/>
      <c r="D276" s="3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1.25" customHeight="1">
      <c r="A277" s="1"/>
      <c r="B277" s="1"/>
      <c r="C277" s="1"/>
      <c r="D277" s="3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1.25" customHeight="1">
      <c r="A278" s="1"/>
      <c r="B278" s="1"/>
      <c r="C278" s="1"/>
      <c r="D278" s="3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1.25" customHeight="1">
      <c r="A279" s="1"/>
      <c r="B279" s="1"/>
      <c r="C279" s="1"/>
      <c r="D279" s="3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1.25" customHeight="1">
      <c r="A280" s="1"/>
      <c r="B280" s="1"/>
      <c r="C280" s="1"/>
      <c r="D280" s="3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1.25" customHeight="1">
      <c r="A281" s="1"/>
      <c r="B281" s="1"/>
      <c r="C281" s="1"/>
      <c r="D281" s="3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1.25" customHeight="1">
      <c r="A282" s="1"/>
      <c r="B282" s="1"/>
      <c r="C282" s="1"/>
      <c r="D282" s="3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1.25" customHeight="1">
      <c r="A283" s="1"/>
      <c r="B283" s="1"/>
      <c r="C283" s="1"/>
      <c r="D283" s="3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1.25" customHeight="1">
      <c r="A284" s="1"/>
      <c r="B284" s="1"/>
      <c r="C284" s="1"/>
      <c r="D284" s="3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1.25" customHeight="1">
      <c r="A285" s="1"/>
      <c r="B285" s="1"/>
      <c r="C285" s="1"/>
      <c r="D285" s="3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1.25" customHeight="1">
      <c r="A286" s="1"/>
      <c r="B286" s="1"/>
      <c r="C286" s="1"/>
      <c r="D286" s="3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1.25" customHeight="1">
      <c r="A287" s="1"/>
      <c r="B287" s="1"/>
      <c r="C287" s="1"/>
      <c r="D287" s="3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1.25" customHeight="1">
      <c r="A288" s="1"/>
      <c r="B288" s="1"/>
      <c r="C288" s="1"/>
      <c r="D288" s="3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1.25" customHeight="1">
      <c r="A289" s="1"/>
      <c r="B289" s="1"/>
      <c r="C289" s="1"/>
      <c r="D289" s="3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1.25" customHeight="1">
      <c r="A290" s="1"/>
      <c r="B290" s="1"/>
      <c r="C290" s="1"/>
      <c r="D290" s="3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1.25" customHeight="1">
      <c r="A291" s="1"/>
      <c r="B291" s="1"/>
      <c r="C291" s="1"/>
      <c r="D291" s="3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1.25" customHeight="1">
      <c r="A292" s="1"/>
      <c r="B292" s="1"/>
      <c r="C292" s="1"/>
      <c r="D292" s="3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1.25" customHeight="1">
      <c r="A293" s="1"/>
      <c r="B293" s="1"/>
      <c r="C293" s="1"/>
      <c r="D293" s="3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1.25" customHeight="1">
      <c r="A294" s="1"/>
      <c r="B294" s="1"/>
      <c r="C294" s="1"/>
      <c r="D294" s="3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1.25" customHeight="1">
      <c r="A295" s="1"/>
      <c r="B295" s="1"/>
      <c r="C295" s="1"/>
      <c r="D295" s="3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1.25" customHeight="1">
      <c r="A296" s="1"/>
      <c r="B296" s="1"/>
      <c r="C296" s="1"/>
      <c r="D296" s="3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1.25" customHeight="1">
      <c r="A297" s="1"/>
      <c r="B297" s="1"/>
      <c r="C297" s="1"/>
      <c r="D297" s="3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1.25" customHeight="1">
      <c r="A298" s="1"/>
      <c r="B298" s="1"/>
      <c r="C298" s="1"/>
      <c r="D298" s="3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1.25" customHeight="1">
      <c r="A299" s="1"/>
      <c r="B299" s="1"/>
      <c r="C299" s="1"/>
      <c r="D299" s="3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1.25" customHeight="1">
      <c r="A300" s="1"/>
      <c r="B300" s="1"/>
      <c r="C300" s="1"/>
      <c r="D300" s="3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1.25" customHeight="1">
      <c r="A301" s="1"/>
      <c r="B301" s="1"/>
      <c r="C301" s="1"/>
      <c r="D301" s="3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1.25" customHeight="1">
      <c r="A302" s="1"/>
      <c r="B302" s="1"/>
      <c r="C302" s="1"/>
      <c r="D302" s="3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1.25" customHeight="1">
      <c r="A303" s="1"/>
      <c r="B303" s="1"/>
      <c r="C303" s="1"/>
      <c r="D303" s="3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1.25" customHeight="1">
      <c r="A304" s="1"/>
      <c r="B304" s="1"/>
      <c r="C304" s="1"/>
      <c r="D304" s="3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1.25" customHeight="1">
      <c r="A305" s="1"/>
      <c r="B305" s="1"/>
      <c r="C305" s="1"/>
      <c r="D305" s="3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1.25" customHeight="1">
      <c r="A306" s="1"/>
      <c r="B306" s="1"/>
      <c r="C306" s="1"/>
      <c r="D306" s="3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1.25" customHeight="1">
      <c r="A307" s="1"/>
      <c r="B307" s="1"/>
      <c r="C307" s="1"/>
      <c r="D307" s="3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1.25" customHeight="1">
      <c r="A308" s="1"/>
      <c r="B308" s="1"/>
      <c r="C308" s="1"/>
      <c r="D308" s="3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1.25" customHeight="1">
      <c r="A309" s="1"/>
      <c r="B309" s="1"/>
      <c r="C309" s="1"/>
      <c r="D309" s="3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1.25" customHeight="1">
      <c r="A310" s="1"/>
      <c r="B310" s="1"/>
      <c r="C310" s="1"/>
      <c r="D310" s="3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1.25" customHeight="1">
      <c r="A311" s="1"/>
      <c r="B311" s="1"/>
      <c r="C311" s="1"/>
      <c r="D311" s="3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1.25" customHeight="1">
      <c r="A312" s="1"/>
      <c r="B312" s="1"/>
      <c r="C312" s="1"/>
      <c r="D312" s="3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1.25" customHeight="1">
      <c r="A313" s="1"/>
      <c r="B313" s="1"/>
      <c r="C313" s="1"/>
      <c r="D313" s="3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1.25" customHeight="1">
      <c r="A314" s="1"/>
      <c r="B314" s="1"/>
      <c r="C314" s="1"/>
      <c r="D314" s="3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1.25" customHeight="1">
      <c r="A315" s="1"/>
      <c r="B315" s="1"/>
      <c r="C315" s="1"/>
      <c r="D315" s="3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1.25" customHeight="1">
      <c r="A316" s="1"/>
      <c r="B316" s="1"/>
      <c r="C316" s="1"/>
      <c r="D316" s="3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1.25" customHeight="1">
      <c r="A317" s="1"/>
      <c r="B317" s="1"/>
      <c r="C317" s="1"/>
      <c r="D317" s="3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1.25" customHeight="1">
      <c r="A318" s="1"/>
      <c r="B318" s="1"/>
      <c r="C318" s="1"/>
      <c r="D318" s="3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1.25" customHeight="1">
      <c r="A319" s="1"/>
      <c r="B319" s="1"/>
      <c r="C319" s="1"/>
      <c r="D319" s="3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1.25" customHeight="1">
      <c r="A320" s="1"/>
      <c r="B320" s="1"/>
      <c r="C320" s="1"/>
      <c r="D320" s="3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1.25" customHeight="1">
      <c r="A321" s="1"/>
      <c r="B321" s="1"/>
      <c r="C321" s="1"/>
      <c r="D321" s="3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1.25" customHeight="1">
      <c r="A322" s="1"/>
      <c r="B322" s="1"/>
      <c r="C322" s="1"/>
      <c r="D322" s="3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1.25" customHeight="1">
      <c r="A323" s="1"/>
      <c r="B323" s="1"/>
      <c r="C323" s="1"/>
      <c r="D323" s="3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1.25" customHeight="1">
      <c r="A324" s="1"/>
      <c r="B324" s="1"/>
      <c r="C324" s="1"/>
      <c r="D324" s="3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1.25" customHeight="1">
      <c r="A325" s="1"/>
      <c r="B325" s="1"/>
      <c r="C325" s="1"/>
      <c r="D325" s="3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1.25" customHeight="1">
      <c r="A326" s="1"/>
      <c r="B326" s="1"/>
      <c r="C326" s="1"/>
      <c r="D326" s="3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1.25" customHeight="1">
      <c r="A327" s="1"/>
      <c r="B327" s="1"/>
      <c r="C327" s="1"/>
      <c r="D327" s="3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1.25" customHeight="1">
      <c r="A328" s="1"/>
      <c r="B328" s="1"/>
      <c r="C328" s="1"/>
      <c r="D328" s="3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1.25" customHeight="1">
      <c r="A329" s="1"/>
      <c r="B329" s="1"/>
      <c r="C329" s="1"/>
      <c r="D329" s="3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1.25" customHeight="1">
      <c r="A330" s="1"/>
      <c r="B330" s="1"/>
      <c r="C330" s="1"/>
      <c r="D330" s="3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1.25" customHeight="1">
      <c r="A331" s="1"/>
      <c r="B331" s="1"/>
      <c r="C331" s="1"/>
      <c r="D331" s="3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1.25" customHeight="1">
      <c r="A332" s="1"/>
      <c r="B332" s="1"/>
      <c r="C332" s="1"/>
      <c r="D332" s="3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1.25" customHeight="1">
      <c r="A333" s="1"/>
      <c r="B333" s="1"/>
      <c r="C333" s="1"/>
      <c r="D333" s="3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1.25" customHeight="1">
      <c r="A334" s="1"/>
      <c r="B334" s="1"/>
      <c r="C334" s="1"/>
      <c r="D334" s="3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1.25" customHeight="1">
      <c r="A335" s="1"/>
      <c r="B335" s="1"/>
      <c r="C335" s="1"/>
      <c r="D335" s="3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1.25" customHeight="1">
      <c r="A336" s="1"/>
      <c r="B336" s="1"/>
      <c r="C336" s="1"/>
      <c r="D336" s="3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1.25" customHeight="1">
      <c r="A337" s="1"/>
      <c r="B337" s="1"/>
      <c r="C337" s="1"/>
      <c r="D337" s="3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1.25" customHeight="1">
      <c r="A338" s="1"/>
      <c r="B338" s="1"/>
      <c r="C338" s="1"/>
      <c r="D338" s="3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1.25" customHeight="1">
      <c r="A339" s="1"/>
      <c r="B339" s="1"/>
      <c r="C339" s="1"/>
      <c r="D339" s="3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1.25" customHeight="1">
      <c r="A340" s="1"/>
      <c r="B340" s="1"/>
      <c r="C340" s="1"/>
      <c r="D340" s="3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1.25" customHeight="1">
      <c r="A341" s="1"/>
      <c r="B341" s="1"/>
      <c r="C341" s="1"/>
      <c r="D341" s="3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1.25" customHeight="1">
      <c r="A342" s="1"/>
      <c r="B342" s="1"/>
      <c r="C342" s="1"/>
      <c r="D342" s="3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1.25" customHeight="1">
      <c r="A343" s="1"/>
      <c r="B343" s="1"/>
      <c r="C343" s="1"/>
      <c r="D343" s="3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1.25" customHeight="1">
      <c r="A344" s="1"/>
      <c r="B344" s="1"/>
      <c r="C344" s="1"/>
      <c r="D344" s="3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1.25" customHeight="1">
      <c r="A345" s="1"/>
      <c r="B345" s="1"/>
      <c r="C345" s="1"/>
      <c r="D345" s="3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1.25" customHeight="1">
      <c r="A346" s="1"/>
      <c r="B346" s="1"/>
      <c r="C346" s="1"/>
      <c r="D346" s="3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1.25" customHeight="1">
      <c r="A347" s="1"/>
      <c r="B347" s="1"/>
      <c r="C347" s="1"/>
      <c r="D347" s="3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1.25" customHeight="1">
      <c r="A348" s="1"/>
      <c r="B348" s="1"/>
      <c r="C348" s="1"/>
      <c r="D348" s="3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1.25" customHeight="1">
      <c r="A349" s="1"/>
      <c r="B349" s="1"/>
      <c r="C349" s="1"/>
      <c r="D349" s="3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1.25" customHeight="1">
      <c r="A350" s="1"/>
      <c r="B350" s="1"/>
      <c r="C350" s="1"/>
      <c r="D350" s="3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1.25" customHeight="1">
      <c r="A351" s="1"/>
      <c r="B351" s="1"/>
      <c r="C351" s="1"/>
      <c r="D351" s="3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1.25" customHeight="1">
      <c r="A352" s="1"/>
      <c r="B352" s="1"/>
      <c r="C352" s="1"/>
      <c r="D352" s="3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1.25" customHeight="1">
      <c r="A353" s="1"/>
      <c r="B353" s="1"/>
      <c r="C353" s="1"/>
      <c r="D353" s="3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1.25" customHeight="1">
      <c r="A354" s="1"/>
      <c r="B354" s="1"/>
      <c r="C354" s="1"/>
      <c r="D354" s="3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1.25" customHeight="1">
      <c r="A355" s="1"/>
      <c r="B355" s="1"/>
      <c r="C355" s="1"/>
      <c r="D355" s="3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1.25" customHeight="1">
      <c r="A356" s="1"/>
      <c r="B356" s="1"/>
      <c r="C356" s="1"/>
      <c r="D356" s="3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1.25" customHeight="1">
      <c r="A357" s="1"/>
      <c r="B357" s="1"/>
      <c r="C357" s="1"/>
      <c r="D357" s="3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1.25" customHeight="1">
      <c r="A358" s="1"/>
      <c r="B358" s="1"/>
      <c r="C358" s="1"/>
      <c r="D358" s="3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1.25" customHeight="1">
      <c r="A359" s="1"/>
      <c r="B359" s="1"/>
      <c r="C359" s="1"/>
      <c r="D359" s="3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1.25" customHeight="1">
      <c r="A360" s="1"/>
      <c r="B360" s="1"/>
      <c r="C360" s="1"/>
      <c r="D360" s="3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1.25" customHeight="1">
      <c r="A361" s="1"/>
      <c r="B361" s="1"/>
      <c r="C361" s="1"/>
      <c r="D361" s="3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1.25" customHeight="1">
      <c r="A362" s="1"/>
      <c r="B362" s="1"/>
      <c r="C362" s="1"/>
      <c r="D362" s="3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1.25" customHeight="1">
      <c r="A363" s="1"/>
      <c r="B363" s="1"/>
      <c r="C363" s="1"/>
      <c r="D363" s="3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1.25" customHeight="1">
      <c r="A364" s="1"/>
      <c r="B364" s="1"/>
      <c r="C364" s="1"/>
      <c r="D364" s="3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1.25" customHeight="1">
      <c r="A365" s="1"/>
      <c r="B365" s="1"/>
      <c r="C365" s="1"/>
      <c r="D365" s="3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1.25" customHeight="1">
      <c r="A366" s="1"/>
      <c r="B366" s="1"/>
      <c r="C366" s="1"/>
      <c r="D366" s="3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1.25" customHeight="1">
      <c r="A367" s="1"/>
      <c r="B367" s="1"/>
      <c r="C367" s="1"/>
      <c r="D367" s="3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1.25" customHeight="1">
      <c r="A368" s="1"/>
      <c r="B368" s="1"/>
      <c r="C368" s="1"/>
      <c r="D368" s="3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1.25" customHeight="1">
      <c r="A369" s="1"/>
      <c r="B369" s="1"/>
      <c r="C369" s="1"/>
      <c r="D369" s="3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1.25" customHeight="1">
      <c r="A370" s="1"/>
      <c r="B370" s="1"/>
      <c r="C370" s="1"/>
      <c r="D370" s="3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1.25" customHeight="1">
      <c r="A371" s="1"/>
      <c r="B371" s="1"/>
      <c r="C371" s="1"/>
      <c r="D371" s="3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1.25" customHeight="1">
      <c r="A372" s="1"/>
      <c r="B372" s="1"/>
      <c r="C372" s="1"/>
      <c r="D372" s="3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1.25" customHeight="1">
      <c r="A373" s="1"/>
      <c r="B373" s="1"/>
      <c r="C373" s="1"/>
      <c r="D373" s="3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1.25" customHeight="1">
      <c r="A374" s="1"/>
      <c r="B374" s="1"/>
      <c r="C374" s="1"/>
      <c r="D374" s="3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1.25" customHeight="1">
      <c r="A375" s="1"/>
      <c r="B375" s="1"/>
      <c r="C375" s="1"/>
      <c r="D375" s="3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1.25" customHeight="1">
      <c r="A376" s="1"/>
      <c r="B376" s="1"/>
      <c r="C376" s="1"/>
      <c r="D376" s="3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1.25" customHeight="1">
      <c r="A377" s="1"/>
      <c r="B377" s="1"/>
      <c r="C377" s="1"/>
      <c r="D377" s="3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1.25" customHeight="1">
      <c r="A378" s="1"/>
      <c r="B378" s="1"/>
      <c r="C378" s="1"/>
      <c r="D378" s="3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1.25" customHeight="1">
      <c r="A379" s="1"/>
      <c r="B379" s="1"/>
      <c r="C379" s="1"/>
      <c r="D379" s="3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1.25" customHeight="1">
      <c r="A380" s="1"/>
      <c r="B380" s="1"/>
      <c r="C380" s="1"/>
      <c r="D380" s="3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1.25" customHeight="1">
      <c r="A381" s="1"/>
      <c r="B381" s="1"/>
      <c r="C381" s="1"/>
      <c r="D381" s="3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1.25" customHeight="1">
      <c r="A382" s="1"/>
      <c r="B382" s="1"/>
      <c r="C382" s="1"/>
      <c r="D382" s="3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1.25" customHeight="1">
      <c r="A383" s="1"/>
      <c r="B383" s="1"/>
      <c r="C383" s="1"/>
      <c r="D383" s="3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1.25" customHeight="1">
      <c r="A384" s="1"/>
      <c r="B384" s="1"/>
      <c r="C384" s="1"/>
      <c r="D384" s="3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1.25" customHeight="1">
      <c r="A385" s="1"/>
      <c r="B385" s="1"/>
      <c r="C385" s="1"/>
      <c r="D385" s="3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1.25" customHeight="1">
      <c r="A386" s="1"/>
      <c r="B386" s="1"/>
      <c r="C386" s="1"/>
      <c r="D386" s="3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1.25" customHeight="1">
      <c r="A387" s="1"/>
      <c r="B387" s="1"/>
      <c r="C387" s="1"/>
      <c r="D387" s="3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1.25" customHeight="1">
      <c r="A388" s="1"/>
      <c r="B388" s="1"/>
      <c r="C388" s="1"/>
      <c r="D388" s="3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1.25" customHeight="1">
      <c r="A389" s="1"/>
      <c r="B389" s="1"/>
      <c r="C389" s="1"/>
      <c r="D389" s="3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1.25" customHeight="1">
      <c r="A390" s="1"/>
      <c r="B390" s="1"/>
      <c r="C390" s="1"/>
      <c r="D390" s="3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1.25" customHeight="1">
      <c r="A391" s="1"/>
      <c r="B391" s="1"/>
      <c r="C391" s="1"/>
      <c r="D391" s="3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1.25" customHeight="1">
      <c r="A392" s="1"/>
      <c r="B392" s="1"/>
      <c r="C392" s="1"/>
      <c r="D392" s="3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1.25" customHeight="1">
      <c r="A393" s="1"/>
      <c r="B393" s="1"/>
      <c r="C393" s="1"/>
      <c r="D393" s="3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1.25" customHeight="1">
      <c r="A394" s="1"/>
      <c r="B394" s="1"/>
      <c r="C394" s="1"/>
      <c r="D394" s="3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1.25" customHeight="1">
      <c r="A395" s="1"/>
      <c r="B395" s="1"/>
      <c r="C395" s="1"/>
      <c r="D395" s="3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1.25" customHeight="1">
      <c r="A396" s="1"/>
      <c r="B396" s="1"/>
      <c r="C396" s="1"/>
      <c r="D396" s="3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1.25" customHeight="1">
      <c r="A397" s="1"/>
      <c r="B397" s="1"/>
      <c r="C397" s="1"/>
      <c r="D397" s="3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1.25" customHeight="1">
      <c r="A398" s="1"/>
      <c r="B398" s="1"/>
      <c r="C398" s="1"/>
      <c r="D398" s="3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1.25" customHeight="1">
      <c r="A399" s="1"/>
      <c r="B399" s="1"/>
      <c r="C399" s="1"/>
      <c r="D399" s="3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1.25" customHeight="1">
      <c r="A400" s="1"/>
      <c r="B400" s="1"/>
      <c r="C400" s="1"/>
      <c r="D400" s="3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1.25" customHeight="1">
      <c r="A401" s="1"/>
      <c r="B401" s="1"/>
      <c r="C401" s="1"/>
      <c r="D401" s="3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1.25" customHeight="1">
      <c r="A402" s="1"/>
      <c r="B402" s="1"/>
      <c r="C402" s="1"/>
      <c r="D402" s="3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1.25" customHeight="1">
      <c r="A403" s="1"/>
      <c r="B403" s="1"/>
      <c r="C403" s="1"/>
      <c r="D403" s="3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1.25" customHeight="1">
      <c r="A404" s="1"/>
      <c r="B404" s="1"/>
      <c r="C404" s="1"/>
      <c r="D404" s="3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1.25" customHeight="1">
      <c r="A405" s="1"/>
      <c r="B405" s="1"/>
      <c r="C405" s="1"/>
      <c r="D405" s="3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1.25" customHeight="1">
      <c r="A406" s="1"/>
      <c r="B406" s="1"/>
      <c r="C406" s="1"/>
      <c r="D406" s="3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1.25" customHeight="1">
      <c r="A407" s="1"/>
      <c r="B407" s="1"/>
      <c r="C407" s="1"/>
      <c r="D407" s="3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1.25" customHeight="1">
      <c r="A408" s="1"/>
      <c r="B408" s="1"/>
      <c r="C408" s="1"/>
      <c r="D408" s="3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1.25" customHeight="1">
      <c r="A409" s="1"/>
      <c r="B409" s="1"/>
      <c r="C409" s="1"/>
      <c r="D409" s="3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1.25" customHeight="1">
      <c r="A410" s="1"/>
      <c r="B410" s="1"/>
      <c r="C410" s="1"/>
      <c r="D410" s="3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1.25" customHeight="1">
      <c r="A411" s="1"/>
      <c r="B411" s="1"/>
      <c r="C411" s="1"/>
      <c r="D411" s="3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1.25" customHeight="1">
      <c r="A412" s="1"/>
      <c r="B412" s="1"/>
      <c r="C412" s="1"/>
      <c r="D412" s="3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1.25" customHeight="1">
      <c r="A413" s="1"/>
      <c r="B413" s="1"/>
      <c r="C413" s="1"/>
      <c r="D413" s="3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1.25" customHeight="1">
      <c r="A414" s="1"/>
      <c r="B414" s="1"/>
      <c r="C414" s="1"/>
      <c r="D414" s="3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1.25" customHeight="1">
      <c r="A415" s="1"/>
      <c r="B415" s="1"/>
      <c r="C415" s="1"/>
      <c r="D415" s="3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1.25" customHeight="1">
      <c r="A416" s="1"/>
      <c r="B416" s="1"/>
      <c r="C416" s="1"/>
      <c r="D416" s="3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1.25" customHeight="1">
      <c r="A417" s="1"/>
      <c r="B417" s="1"/>
      <c r="C417" s="1"/>
      <c r="D417" s="3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1.25" customHeight="1">
      <c r="A418" s="1"/>
      <c r="B418" s="1"/>
      <c r="C418" s="1"/>
      <c r="D418" s="3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1.25" customHeight="1">
      <c r="A419" s="1"/>
      <c r="B419" s="1"/>
      <c r="C419" s="1"/>
      <c r="D419" s="3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1.25" customHeight="1">
      <c r="A420" s="1"/>
      <c r="B420" s="1"/>
      <c r="C420" s="1"/>
      <c r="D420" s="3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1.25" customHeight="1">
      <c r="A421" s="1"/>
      <c r="B421" s="1"/>
      <c r="C421" s="1"/>
      <c r="D421" s="3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1.25" customHeight="1">
      <c r="A422" s="1"/>
      <c r="B422" s="1"/>
      <c r="C422" s="1"/>
      <c r="D422" s="3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1.25" customHeight="1">
      <c r="A423" s="1"/>
      <c r="B423" s="1"/>
      <c r="C423" s="1"/>
      <c r="D423" s="3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1.25" customHeight="1">
      <c r="A424" s="1"/>
      <c r="B424" s="1"/>
      <c r="C424" s="1"/>
      <c r="D424" s="3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1.25" customHeight="1">
      <c r="A425" s="1"/>
      <c r="B425" s="1"/>
      <c r="C425" s="1"/>
      <c r="D425" s="3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1.25" customHeight="1">
      <c r="A426" s="1"/>
      <c r="B426" s="1"/>
      <c r="C426" s="1"/>
      <c r="D426" s="3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1.25" customHeight="1">
      <c r="A427" s="1"/>
      <c r="B427" s="1"/>
      <c r="C427" s="1"/>
      <c r="D427" s="3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1.25" customHeight="1">
      <c r="A428" s="1"/>
      <c r="B428" s="1"/>
      <c r="C428" s="1"/>
      <c r="D428" s="3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1.25" customHeight="1">
      <c r="A429" s="1"/>
      <c r="B429" s="1"/>
      <c r="C429" s="1"/>
      <c r="D429" s="3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1.25" customHeight="1">
      <c r="A430" s="1"/>
      <c r="B430" s="1"/>
      <c r="C430" s="1"/>
      <c r="D430" s="3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1.25" customHeight="1">
      <c r="A431" s="1"/>
      <c r="B431" s="1"/>
      <c r="C431" s="1"/>
      <c r="D431" s="3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1.25" customHeight="1">
      <c r="A432" s="1"/>
      <c r="B432" s="1"/>
      <c r="C432" s="1"/>
      <c r="D432" s="3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1.25" customHeight="1">
      <c r="A433" s="1"/>
      <c r="B433" s="1"/>
      <c r="C433" s="1"/>
      <c r="D433" s="3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1.25" customHeight="1">
      <c r="A434" s="1"/>
      <c r="B434" s="1"/>
      <c r="C434" s="1"/>
      <c r="D434" s="3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1.25" customHeight="1">
      <c r="A435" s="1"/>
      <c r="B435" s="1"/>
      <c r="C435" s="1"/>
      <c r="D435" s="3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1.25" customHeight="1">
      <c r="A436" s="1"/>
      <c r="B436" s="1"/>
      <c r="C436" s="1"/>
      <c r="D436" s="3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1.25" customHeight="1">
      <c r="A437" s="1"/>
      <c r="B437" s="1"/>
      <c r="C437" s="1"/>
      <c r="D437" s="3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1.25" customHeight="1">
      <c r="A438" s="1"/>
      <c r="B438" s="1"/>
      <c r="C438" s="1"/>
      <c r="D438" s="3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1.25" customHeight="1">
      <c r="A439" s="1"/>
      <c r="B439" s="1"/>
      <c r="C439" s="1"/>
      <c r="D439" s="3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1.25" customHeight="1">
      <c r="A440" s="1"/>
      <c r="B440" s="1"/>
      <c r="C440" s="1"/>
      <c r="D440" s="3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1.25" customHeight="1">
      <c r="A441" s="1"/>
      <c r="B441" s="1"/>
      <c r="C441" s="1"/>
      <c r="D441" s="3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1.25" customHeight="1">
      <c r="A442" s="1"/>
      <c r="B442" s="1"/>
      <c r="C442" s="1"/>
      <c r="D442" s="3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1.25" customHeight="1">
      <c r="A443" s="1"/>
      <c r="B443" s="1"/>
      <c r="C443" s="1"/>
      <c r="D443" s="3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1.25" customHeight="1">
      <c r="A444" s="1"/>
      <c r="B444" s="1"/>
      <c r="C444" s="1"/>
      <c r="D444" s="3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1.25" customHeight="1">
      <c r="A445" s="1"/>
      <c r="B445" s="1"/>
      <c r="C445" s="1"/>
      <c r="D445" s="3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1.25" customHeight="1">
      <c r="A446" s="1"/>
      <c r="B446" s="1"/>
      <c r="C446" s="1"/>
      <c r="D446" s="3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1.25" customHeight="1">
      <c r="A447" s="1"/>
      <c r="B447" s="1"/>
      <c r="C447" s="1"/>
      <c r="D447" s="3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1.25" customHeight="1">
      <c r="A448" s="1"/>
      <c r="B448" s="1"/>
      <c r="C448" s="1"/>
      <c r="D448" s="3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1.25" customHeight="1">
      <c r="A449" s="1"/>
      <c r="B449" s="1"/>
      <c r="C449" s="1"/>
      <c r="D449" s="3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1.25" customHeight="1">
      <c r="A450" s="1"/>
      <c r="B450" s="1"/>
      <c r="C450" s="1"/>
      <c r="D450" s="3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1.25" customHeight="1">
      <c r="A451" s="1"/>
      <c r="B451" s="1"/>
      <c r="C451" s="1"/>
      <c r="D451" s="3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1.25" customHeight="1">
      <c r="A452" s="1"/>
      <c r="B452" s="1"/>
      <c r="C452" s="1"/>
      <c r="D452" s="3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1.25" customHeight="1">
      <c r="A453" s="1"/>
      <c r="B453" s="1"/>
      <c r="C453" s="1"/>
      <c r="D453" s="3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1.25" customHeight="1">
      <c r="A454" s="1"/>
      <c r="B454" s="1"/>
      <c r="C454" s="1"/>
      <c r="D454" s="3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1.25" customHeight="1">
      <c r="A455" s="1"/>
      <c r="B455" s="1"/>
      <c r="C455" s="1"/>
      <c r="D455" s="3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1.25" customHeight="1">
      <c r="A456" s="1"/>
      <c r="B456" s="1"/>
      <c r="C456" s="1"/>
      <c r="D456" s="3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1.25" customHeight="1">
      <c r="A457" s="1"/>
      <c r="B457" s="1"/>
      <c r="C457" s="1"/>
      <c r="D457" s="3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1.25" customHeight="1">
      <c r="A458" s="1"/>
      <c r="B458" s="1"/>
      <c r="C458" s="1"/>
      <c r="D458" s="3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1.25" customHeight="1">
      <c r="A459" s="1"/>
      <c r="B459" s="1"/>
      <c r="C459" s="1"/>
      <c r="D459" s="3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1.25" customHeight="1">
      <c r="A460" s="1"/>
      <c r="B460" s="1"/>
      <c r="C460" s="1"/>
      <c r="D460" s="3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1.25" customHeight="1">
      <c r="A461" s="1"/>
      <c r="B461" s="1"/>
      <c r="C461" s="1"/>
      <c r="D461" s="3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1.25" customHeight="1">
      <c r="A462" s="1"/>
      <c r="B462" s="1"/>
      <c r="C462" s="1"/>
      <c r="D462" s="3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1.25" customHeight="1">
      <c r="A463" s="1"/>
      <c r="B463" s="1"/>
      <c r="C463" s="1"/>
      <c r="D463" s="3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1.25" customHeight="1">
      <c r="A464" s="1"/>
      <c r="B464" s="1"/>
      <c r="C464" s="1"/>
      <c r="D464" s="3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1.25" customHeight="1">
      <c r="A465" s="1"/>
      <c r="B465" s="1"/>
      <c r="C465" s="1"/>
      <c r="D465" s="3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1.25" customHeight="1">
      <c r="A466" s="1"/>
      <c r="B466" s="1"/>
      <c r="C466" s="1"/>
      <c r="D466" s="3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1.25" customHeight="1">
      <c r="A467" s="1"/>
      <c r="B467" s="1"/>
      <c r="C467" s="1"/>
      <c r="D467" s="3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1.25" customHeight="1">
      <c r="A468" s="1"/>
      <c r="B468" s="1"/>
      <c r="C468" s="1"/>
      <c r="D468" s="3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1.25" customHeight="1">
      <c r="A469" s="1"/>
      <c r="B469" s="1"/>
      <c r="C469" s="1"/>
      <c r="D469" s="3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1.25" customHeight="1">
      <c r="A470" s="1"/>
      <c r="B470" s="1"/>
      <c r="C470" s="1"/>
      <c r="D470" s="3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1.25" customHeight="1">
      <c r="A471" s="1"/>
      <c r="B471" s="1"/>
      <c r="C471" s="1"/>
      <c r="D471" s="3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1.25" customHeight="1">
      <c r="A472" s="1"/>
      <c r="B472" s="1"/>
      <c r="C472" s="1"/>
      <c r="D472" s="3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1.25" customHeight="1">
      <c r="A473" s="1"/>
      <c r="B473" s="1"/>
      <c r="C473" s="1"/>
      <c r="D473" s="3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1.25" customHeight="1">
      <c r="A474" s="1"/>
      <c r="B474" s="1"/>
      <c r="C474" s="1"/>
      <c r="D474" s="3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1.25" customHeight="1">
      <c r="A475" s="1"/>
      <c r="B475" s="1"/>
      <c r="C475" s="1"/>
      <c r="D475" s="3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1.25" customHeight="1">
      <c r="A476" s="1"/>
      <c r="B476" s="1"/>
      <c r="C476" s="1"/>
      <c r="D476" s="3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1.25" customHeight="1">
      <c r="A477" s="1"/>
      <c r="B477" s="1"/>
      <c r="C477" s="1"/>
      <c r="D477" s="3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1.25" customHeight="1">
      <c r="A478" s="1"/>
      <c r="B478" s="1"/>
      <c r="C478" s="1"/>
      <c r="D478" s="3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1.25" customHeight="1">
      <c r="A479" s="1"/>
      <c r="B479" s="1"/>
      <c r="C479" s="1"/>
      <c r="D479" s="3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1.25" customHeight="1">
      <c r="A480" s="1"/>
      <c r="B480" s="1"/>
      <c r="C480" s="1"/>
      <c r="D480" s="3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1.25" customHeight="1">
      <c r="A481" s="1"/>
      <c r="B481" s="1"/>
      <c r="C481" s="1"/>
      <c r="D481" s="3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1.25" customHeight="1">
      <c r="A482" s="1"/>
      <c r="B482" s="1"/>
      <c r="C482" s="1"/>
      <c r="D482" s="3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1.25" customHeight="1">
      <c r="A483" s="1"/>
      <c r="B483" s="1"/>
      <c r="C483" s="1"/>
      <c r="D483" s="3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1.25" customHeight="1">
      <c r="A484" s="1"/>
      <c r="B484" s="1"/>
      <c r="C484" s="1"/>
      <c r="D484" s="3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1.25" customHeight="1">
      <c r="A485" s="1"/>
      <c r="B485" s="1"/>
      <c r="C485" s="1"/>
      <c r="D485" s="3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1.25" customHeight="1">
      <c r="A486" s="1"/>
      <c r="B486" s="1"/>
      <c r="C486" s="1"/>
      <c r="D486" s="3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1.25" customHeight="1">
      <c r="A487" s="1"/>
      <c r="B487" s="1"/>
      <c r="C487" s="1"/>
      <c r="D487" s="3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1.25" customHeight="1">
      <c r="A488" s="1"/>
      <c r="B488" s="1"/>
      <c r="C488" s="1"/>
      <c r="D488" s="3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1.25" customHeight="1">
      <c r="A489" s="1"/>
      <c r="B489" s="1"/>
      <c r="C489" s="1"/>
      <c r="D489" s="3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1.25" customHeight="1">
      <c r="A490" s="1"/>
      <c r="B490" s="1"/>
      <c r="C490" s="1"/>
      <c r="D490" s="3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1.25" customHeight="1">
      <c r="A491" s="1"/>
      <c r="B491" s="1"/>
      <c r="C491" s="1"/>
      <c r="D491" s="3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1.25" customHeight="1">
      <c r="A492" s="1"/>
      <c r="B492" s="1"/>
      <c r="C492" s="1"/>
      <c r="D492" s="3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1.25" customHeight="1">
      <c r="A493" s="1"/>
      <c r="B493" s="1"/>
      <c r="C493" s="1"/>
      <c r="D493" s="3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1.25" customHeight="1">
      <c r="A494" s="1"/>
      <c r="B494" s="1"/>
      <c r="C494" s="1"/>
      <c r="D494" s="3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1.25" customHeight="1">
      <c r="A495" s="1"/>
      <c r="B495" s="1"/>
      <c r="C495" s="1"/>
      <c r="D495" s="3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1.25" customHeight="1">
      <c r="A496" s="1"/>
      <c r="B496" s="1"/>
      <c r="C496" s="1"/>
      <c r="D496" s="3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1.25" customHeight="1">
      <c r="A497" s="1"/>
      <c r="B497" s="1"/>
      <c r="C497" s="1"/>
      <c r="D497" s="3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1.25" customHeight="1">
      <c r="A498" s="1"/>
      <c r="B498" s="1"/>
      <c r="C498" s="1"/>
      <c r="D498" s="3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1.25" customHeight="1">
      <c r="A499" s="1"/>
      <c r="B499" s="1"/>
      <c r="C499" s="1"/>
      <c r="D499" s="3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1.25" customHeight="1">
      <c r="A500" s="1"/>
      <c r="B500" s="1"/>
      <c r="C500" s="1"/>
      <c r="D500" s="3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1.25" customHeight="1">
      <c r="A501" s="1"/>
      <c r="B501" s="1"/>
      <c r="C501" s="1"/>
      <c r="D501" s="3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1.25" customHeight="1">
      <c r="A502" s="1"/>
      <c r="B502" s="1"/>
      <c r="C502" s="1"/>
      <c r="D502" s="3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1.25" customHeight="1">
      <c r="A503" s="1"/>
      <c r="B503" s="1"/>
      <c r="C503" s="1"/>
      <c r="D503" s="3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1.25" customHeight="1">
      <c r="A504" s="1"/>
      <c r="B504" s="1"/>
      <c r="C504" s="1"/>
      <c r="D504" s="3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1.25" customHeight="1">
      <c r="A505" s="1"/>
      <c r="B505" s="1"/>
      <c r="C505" s="1"/>
      <c r="D505" s="3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1.25" customHeight="1">
      <c r="A506" s="1"/>
      <c r="B506" s="1"/>
      <c r="C506" s="1"/>
      <c r="D506" s="3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1.25" customHeight="1">
      <c r="A507" s="1"/>
      <c r="B507" s="1"/>
      <c r="C507" s="1"/>
      <c r="D507" s="3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1.25" customHeight="1">
      <c r="A508" s="1"/>
      <c r="B508" s="1"/>
      <c r="C508" s="1"/>
      <c r="D508" s="3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1.25" customHeight="1">
      <c r="A509" s="1"/>
      <c r="B509" s="1"/>
      <c r="C509" s="1"/>
      <c r="D509" s="3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1.25" customHeight="1">
      <c r="A510" s="1"/>
      <c r="B510" s="1"/>
      <c r="C510" s="1"/>
      <c r="D510" s="3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1.25" customHeight="1">
      <c r="A511" s="1"/>
      <c r="B511" s="1"/>
      <c r="C511" s="1"/>
      <c r="D511" s="3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1.25" customHeight="1">
      <c r="A512" s="1"/>
      <c r="B512" s="1"/>
      <c r="C512" s="1"/>
      <c r="D512" s="3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1.25" customHeight="1">
      <c r="A513" s="1"/>
      <c r="B513" s="1"/>
      <c r="C513" s="1"/>
      <c r="D513" s="3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1.25" customHeight="1">
      <c r="A514" s="1"/>
      <c r="B514" s="1"/>
      <c r="C514" s="1"/>
      <c r="D514" s="3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1.25" customHeight="1">
      <c r="A515" s="1"/>
      <c r="B515" s="1"/>
      <c r="C515" s="1"/>
      <c r="D515" s="3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1.25" customHeight="1">
      <c r="A516" s="1"/>
      <c r="B516" s="1"/>
      <c r="C516" s="1"/>
      <c r="D516" s="3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1.25" customHeight="1">
      <c r="A517" s="1"/>
      <c r="B517" s="1"/>
      <c r="C517" s="1"/>
      <c r="D517" s="3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1.25" customHeight="1">
      <c r="A518" s="1"/>
      <c r="B518" s="1"/>
      <c r="C518" s="1"/>
      <c r="D518" s="3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1.25" customHeight="1">
      <c r="A519" s="1"/>
      <c r="B519" s="1"/>
      <c r="C519" s="1"/>
      <c r="D519" s="3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1.25" customHeight="1">
      <c r="A520" s="1"/>
      <c r="B520" s="1"/>
      <c r="C520" s="1"/>
      <c r="D520" s="3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1.25" customHeight="1">
      <c r="A521" s="1"/>
      <c r="B521" s="1"/>
      <c r="C521" s="1"/>
      <c r="D521" s="3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1.25" customHeight="1">
      <c r="A522" s="1"/>
      <c r="B522" s="1"/>
      <c r="C522" s="1"/>
      <c r="D522" s="3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1.25" customHeight="1">
      <c r="A523" s="1"/>
      <c r="B523" s="1"/>
      <c r="C523" s="1"/>
      <c r="D523" s="3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1.25" customHeight="1">
      <c r="A524" s="1"/>
      <c r="B524" s="1"/>
      <c r="C524" s="1"/>
      <c r="D524" s="3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1.25" customHeight="1">
      <c r="A525" s="1"/>
      <c r="B525" s="1"/>
      <c r="C525" s="1"/>
      <c r="D525" s="3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1.25" customHeight="1">
      <c r="A526" s="1"/>
      <c r="B526" s="1"/>
      <c r="C526" s="1"/>
      <c r="D526" s="3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1.25" customHeight="1">
      <c r="A527" s="1"/>
      <c r="B527" s="1"/>
      <c r="C527" s="1"/>
      <c r="D527" s="3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1.25" customHeight="1">
      <c r="A528" s="1"/>
      <c r="B528" s="1"/>
      <c r="C528" s="1"/>
      <c r="D528" s="3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1.25" customHeight="1">
      <c r="A529" s="1"/>
      <c r="B529" s="1"/>
      <c r="C529" s="1"/>
      <c r="D529" s="3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1.25" customHeight="1">
      <c r="A530" s="1"/>
      <c r="B530" s="1"/>
      <c r="C530" s="1"/>
      <c r="D530" s="3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1.25" customHeight="1">
      <c r="A531" s="1"/>
      <c r="B531" s="1"/>
      <c r="C531" s="1"/>
      <c r="D531" s="3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1.25" customHeight="1">
      <c r="A532" s="1"/>
      <c r="B532" s="1"/>
      <c r="C532" s="1"/>
      <c r="D532" s="3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1.25" customHeight="1">
      <c r="A533" s="1"/>
      <c r="B533" s="1"/>
      <c r="C533" s="1"/>
      <c r="D533" s="3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1.25" customHeight="1">
      <c r="A534" s="1"/>
      <c r="B534" s="1"/>
      <c r="C534" s="1"/>
      <c r="D534" s="3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1.25" customHeight="1">
      <c r="A535" s="1"/>
      <c r="B535" s="1"/>
      <c r="C535" s="1"/>
      <c r="D535" s="3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1.25" customHeight="1">
      <c r="A536" s="1"/>
      <c r="B536" s="1"/>
      <c r="C536" s="1"/>
      <c r="D536" s="3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1.25" customHeight="1">
      <c r="A537" s="1"/>
      <c r="B537" s="1"/>
      <c r="C537" s="1"/>
      <c r="D537" s="3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1.25" customHeight="1">
      <c r="A538" s="1"/>
      <c r="B538" s="1"/>
      <c r="C538" s="1"/>
      <c r="D538" s="3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1.25" customHeight="1">
      <c r="A539" s="1"/>
      <c r="B539" s="1"/>
      <c r="C539" s="1"/>
      <c r="D539" s="3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1.25" customHeight="1">
      <c r="A540" s="1"/>
      <c r="B540" s="1"/>
      <c r="C540" s="1"/>
      <c r="D540" s="3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1.25" customHeight="1">
      <c r="A541" s="1"/>
      <c r="B541" s="1"/>
      <c r="C541" s="1"/>
      <c r="D541" s="3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1.25" customHeight="1">
      <c r="A542" s="1"/>
      <c r="B542" s="1"/>
      <c r="C542" s="1"/>
      <c r="D542" s="3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1.25" customHeight="1">
      <c r="A543" s="1"/>
      <c r="B543" s="1"/>
      <c r="C543" s="1"/>
      <c r="D543" s="3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1.25" customHeight="1">
      <c r="A544" s="1"/>
      <c r="B544" s="1"/>
      <c r="C544" s="1"/>
      <c r="D544" s="3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1.25" customHeight="1">
      <c r="A545" s="1"/>
      <c r="B545" s="1"/>
      <c r="C545" s="1"/>
      <c r="D545" s="3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1.25" customHeight="1">
      <c r="A546" s="1"/>
      <c r="B546" s="1"/>
      <c r="C546" s="1"/>
      <c r="D546" s="3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1.25" customHeight="1">
      <c r="A547" s="1"/>
      <c r="B547" s="1"/>
      <c r="C547" s="1"/>
      <c r="D547" s="3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1.25" customHeight="1">
      <c r="A548" s="1"/>
      <c r="B548" s="1"/>
      <c r="C548" s="1"/>
      <c r="D548" s="3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1.25" customHeight="1">
      <c r="A549" s="1"/>
      <c r="B549" s="1"/>
      <c r="C549" s="1"/>
      <c r="D549" s="3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1.25" customHeight="1">
      <c r="A550" s="1"/>
      <c r="B550" s="1"/>
      <c r="C550" s="1"/>
      <c r="D550" s="3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1.25" customHeight="1">
      <c r="A551" s="1"/>
      <c r="B551" s="1"/>
      <c r="C551" s="1"/>
      <c r="D551" s="3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1.25" customHeight="1">
      <c r="A552" s="1"/>
      <c r="B552" s="1"/>
      <c r="C552" s="1"/>
      <c r="D552" s="3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1.25" customHeight="1">
      <c r="A553" s="1"/>
      <c r="B553" s="1"/>
      <c r="C553" s="1"/>
      <c r="D553" s="3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1.25" customHeight="1">
      <c r="A554" s="1"/>
      <c r="B554" s="1"/>
      <c r="C554" s="1"/>
      <c r="D554" s="3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1.25" customHeight="1">
      <c r="A555" s="1"/>
      <c r="B555" s="1"/>
      <c r="C555" s="1"/>
      <c r="D555" s="3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1.25" customHeight="1">
      <c r="A556" s="1"/>
      <c r="B556" s="1"/>
      <c r="C556" s="1"/>
      <c r="D556" s="3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1.25" customHeight="1">
      <c r="A557" s="1"/>
      <c r="B557" s="1"/>
      <c r="C557" s="1"/>
      <c r="D557" s="3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1.25" customHeight="1">
      <c r="A558" s="1"/>
      <c r="B558" s="1"/>
      <c r="C558" s="1"/>
      <c r="D558" s="3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1.25" customHeight="1">
      <c r="A559" s="1"/>
      <c r="B559" s="1"/>
      <c r="C559" s="1"/>
      <c r="D559" s="3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1.25" customHeight="1">
      <c r="A560" s="1"/>
      <c r="B560" s="1"/>
      <c r="C560" s="1"/>
      <c r="D560" s="3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1.25" customHeight="1">
      <c r="A561" s="1"/>
      <c r="B561" s="1"/>
      <c r="C561" s="1"/>
      <c r="D561" s="3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1.25" customHeight="1">
      <c r="A562" s="1"/>
      <c r="B562" s="1"/>
      <c r="C562" s="1"/>
      <c r="D562" s="3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1.25" customHeight="1">
      <c r="A563" s="1"/>
      <c r="B563" s="1"/>
      <c r="C563" s="1"/>
      <c r="D563" s="3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1.25" customHeight="1">
      <c r="A564" s="1"/>
      <c r="B564" s="1"/>
      <c r="C564" s="1"/>
      <c r="D564" s="3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1.25" customHeight="1">
      <c r="A565" s="1"/>
      <c r="B565" s="1"/>
      <c r="C565" s="1"/>
      <c r="D565" s="3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1.25" customHeight="1">
      <c r="A566" s="1"/>
      <c r="B566" s="1"/>
      <c r="C566" s="1"/>
      <c r="D566" s="3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1.25" customHeight="1">
      <c r="A567" s="1"/>
      <c r="B567" s="1"/>
      <c r="C567" s="1"/>
      <c r="D567" s="3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1.25" customHeight="1">
      <c r="A568" s="1"/>
      <c r="B568" s="1"/>
      <c r="C568" s="1"/>
      <c r="D568" s="3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1.25" customHeight="1">
      <c r="A569" s="1"/>
      <c r="B569" s="1"/>
      <c r="C569" s="1"/>
      <c r="D569" s="3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1.25" customHeight="1">
      <c r="A570" s="1"/>
      <c r="B570" s="1"/>
      <c r="C570" s="1"/>
      <c r="D570" s="3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1.25" customHeight="1">
      <c r="A571" s="1"/>
      <c r="B571" s="1"/>
      <c r="C571" s="1"/>
      <c r="D571" s="3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1.25" customHeight="1">
      <c r="A572" s="1"/>
      <c r="B572" s="1"/>
      <c r="C572" s="1"/>
      <c r="D572" s="3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1.25" customHeight="1">
      <c r="A573" s="1"/>
      <c r="B573" s="1"/>
      <c r="C573" s="1"/>
      <c r="D573" s="3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1.25" customHeight="1">
      <c r="A574" s="1"/>
      <c r="B574" s="1"/>
      <c r="C574" s="1"/>
      <c r="D574" s="3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1.25" customHeight="1">
      <c r="A575" s="1"/>
      <c r="B575" s="1"/>
      <c r="C575" s="1"/>
      <c r="D575" s="3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1.25" customHeight="1">
      <c r="A576" s="1"/>
      <c r="B576" s="1"/>
      <c r="C576" s="1"/>
      <c r="D576" s="3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1.25" customHeight="1">
      <c r="A577" s="1"/>
      <c r="B577" s="1"/>
      <c r="C577" s="1"/>
      <c r="D577" s="3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1.25" customHeight="1">
      <c r="A578" s="1"/>
      <c r="B578" s="1"/>
      <c r="C578" s="1"/>
      <c r="D578" s="3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1.25" customHeight="1">
      <c r="A579" s="1"/>
      <c r="B579" s="1"/>
      <c r="C579" s="1"/>
      <c r="D579" s="3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1.25" customHeight="1">
      <c r="A580" s="1"/>
      <c r="B580" s="1"/>
      <c r="C580" s="1"/>
      <c r="D580" s="3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1.25" customHeight="1">
      <c r="A581" s="1"/>
      <c r="B581" s="1"/>
      <c r="C581" s="1"/>
      <c r="D581" s="3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1.25" customHeight="1">
      <c r="A582" s="1"/>
      <c r="B582" s="1"/>
      <c r="C582" s="1"/>
      <c r="D582" s="3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1.25" customHeight="1">
      <c r="A583" s="1"/>
      <c r="B583" s="1"/>
      <c r="C583" s="1"/>
      <c r="D583" s="3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1.25" customHeight="1">
      <c r="A584" s="1"/>
      <c r="B584" s="1"/>
      <c r="C584" s="1"/>
      <c r="D584" s="3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1.25" customHeight="1">
      <c r="A585" s="1"/>
      <c r="B585" s="1"/>
      <c r="C585" s="1"/>
      <c r="D585" s="3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1.25" customHeight="1">
      <c r="A586" s="1"/>
      <c r="B586" s="1"/>
      <c r="C586" s="1"/>
      <c r="D586" s="3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1.25" customHeight="1">
      <c r="A587" s="1"/>
      <c r="B587" s="1"/>
      <c r="C587" s="1"/>
      <c r="D587" s="3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1.25" customHeight="1">
      <c r="A588" s="1"/>
      <c r="B588" s="1"/>
      <c r="C588" s="1"/>
      <c r="D588" s="3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1.25" customHeight="1">
      <c r="A589" s="1"/>
      <c r="B589" s="1"/>
      <c r="C589" s="1"/>
      <c r="D589" s="3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1.25" customHeight="1">
      <c r="A590" s="1"/>
      <c r="B590" s="1"/>
      <c r="C590" s="1"/>
      <c r="D590" s="3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1.25" customHeight="1">
      <c r="A591" s="1"/>
      <c r="B591" s="1"/>
      <c r="C591" s="1"/>
      <c r="D591" s="3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1.25" customHeight="1">
      <c r="A592" s="1"/>
      <c r="B592" s="1"/>
      <c r="C592" s="1"/>
      <c r="D592" s="3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1.25" customHeight="1">
      <c r="A593" s="1"/>
      <c r="B593" s="1"/>
      <c r="C593" s="1"/>
      <c r="D593" s="3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1.25" customHeight="1">
      <c r="A594" s="1"/>
      <c r="B594" s="1"/>
      <c r="C594" s="1"/>
      <c r="D594" s="3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1.25" customHeight="1">
      <c r="A595" s="1"/>
      <c r="B595" s="1"/>
      <c r="C595" s="1"/>
      <c r="D595" s="3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1.25" customHeight="1">
      <c r="A596" s="1"/>
      <c r="B596" s="1"/>
      <c r="C596" s="1"/>
      <c r="D596" s="3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1.25" customHeight="1">
      <c r="A597" s="1"/>
      <c r="B597" s="1"/>
      <c r="C597" s="1"/>
      <c r="D597" s="3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1.25" customHeight="1">
      <c r="A598" s="1"/>
      <c r="B598" s="1"/>
      <c r="C598" s="1"/>
      <c r="D598" s="3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1.25" customHeight="1">
      <c r="A599" s="1"/>
      <c r="B599" s="1"/>
      <c r="C599" s="1"/>
      <c r="D599" s="3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1.25" customHeight="1">
      <c r="A600" s="1"/>
      <c r="B600" s="1"/>
      <c r="C600" s="1"/>
      <c r="D600" s="3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1.25" customHeight="1">
      <c r="A601" s="1"/>
      <c r="B601" s="1"/>
      <c r="C601" s="1"/>
      <c r="D601" s="3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1.25" customHeight="1">
      <c r="A602" s="1"/>
      <c r="B602" s="1"/>
      <c r="C602" s="1"/>
      <c r="D602" s="3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1.25" customHeight="1">
      <c r="A603" s="1"/>
      <c r="B603" s="1"/>
      <c r="C603" s="1"/>
      <c r="D603" s="3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1.25" customHeight="1">
      <c r="A604" s="1"/>
      <c r="B604" s="1"/>
      <c r="C604" s="1"/>
      <c r="D604" s="3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1.25" customHeight="1">
      <c r="A605" s="1"/>
      <c r="B605" s="1"/>
      <c r="C605" s="1"/>
      <c r="D605" s="3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1.25" customHeight="1">
      <c r="A606" s="1"/>
      <c r="B606" s="1"/>
      <c r="C606" s="1"/>
      <c r="D606" s="3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1.25" customHeight="1">
      <c r="A607" s="1"/>
      <c r="B607" s="1"/>
      <c r="C607" s="1"/>
      <c r="D607" s="3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1.25" customHeight="1">
      <c r="A608" s="1"/>
      <c r="B608" s="1"/>
      <c r="C608" s="1"/>
      <c r="D608" s="3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1.25" customHeight="1">
      <c r="A609" s="1"/>
      <c r="B609" s="1"/>
      <c r="C609" s="1"/>
      <c r="D609" s="3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1.25" customHeight="1">
      <c r="A610" s="1"/>
      <c r="B610" s="1"/>
      <c r="C610" s="1"/>
      <c r="D610" s="3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1.25" customHeight="1">
      <c r="A611" s="1"/>
      <c r="B611" s="1"/>
      <c r="C611" s="1"/>
      <c r="D611" s="3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1.25" customHeight="1">
      <c r="A612" s="1"/>
      <c r="B612" s="1"/>
      <c r="C612" s="1"/>
      <c r="D612" s="3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1.25" customHeight="1">
      <c r="A613" s="1"/>
      <c r="B613" s="1"/>
      <c r="C613" s="1"/>
      <c r="D613" s="3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1.25" customHeight="1">
      <c r="A614" s="1"/>
      <c r="B614" s="1"/>
      <c r="C614" s="1"/>
      <c r="D614" s="3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1.25" customHeight="1">
      <c r="A615" s="1"/>
      <c r="B615" s="1"/>
      <c r="C615" s="1"/>
      <c r="D615" s="3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1.25" customHeight="1">
      <c r="A616" s="1"/>
      <c r="B616" s="1"/>
      <c r="C616" s="1"/>
      <c r="D616" s="3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1.25" customHeight="1">
      <c r="A617" s="1"/>
      <c r="B617" s="1"/>
      <c r="C617" s="1"/>
      <c r="D617" s="3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1.25" customHeight="1">
      <c r="A618" s="1"/>
      <c r="B618" s="1"/>
      <c r="C618" s="1"/>
      <c r="D618" s="3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1.25" customHeight="1">
      <c r="A619" s="1"/>
      <c r="B619" s="1"/>
      <c r="C619" s="1"/>
      <c r="D619" s="3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1.25" customHeight="1">
      <c r="A620" s="1"/>
      <c r="B620" s="1"/>
      <c r="C620" s="1"/>
      <c r="D620" s="3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1.25" customHeight="1">
      <c r="A621" s="1"/>
      <c r="B621" s="1"/>
      <c r="C621" s="1"/>
      <c r="D621" s="3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1.25" customHeight="1">
      <c r="A622" s="1"/>
      <c r="B622" s="1"/>
      <c r="C622" s="1"/>
      <c r="D622" s="3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1.25" customHeight="1">
      <c r="A623" s="1"/>
      <c r="B623" s="1"/>
      <c r="C623" s="1"/>
      <c r="D623" s="3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1.25" customHeight="1">
      <c r="A624" s="1"/>
      <c r="B624" s="1"/>
      <c r="C624" s="1"/>
      <c r="D624" s="3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1.25" customHeight="1">
      <c r="A625" s="1"/>
      <c r="B625" s="1"/>
      <c r="C625" s="1"/>
      <c r="D625" s="3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1.25" customHeight="1">
      <c r="A626" s="1"/>
      <c r="B626" s="1"/>
      <c r="C626" s="1"/>
      <c r="D626" s="3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1.25" customHeight="1">
      <c r="A627" s="1"/>
      <c r="B627" s="1"/>
      <c r="C627" s="1"/>
      <c r="D627" s="3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1.25" customHeight="1">
      <c r="A628" s="1"/>
      <c r="B628" s="1"/>
      <c r="C628" s="1"/>
      <c r="D628" s="3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1.25" customHeight="1">
      <c r="A629" s="1"/>
      <c r="B629" s="1"/>
      <c r="C629" s="1"/>
      <c r="D629" s="3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1.25" customHeight="1">
      <c r="A630" s="1"/>
      <c r="B630" s="1"/>
      <c r="C630" s="1"/>
      <c r="D630" s="3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1.25" customHeight="1">
      <c r="A631" s="1"/>
      <c r="B631" s="1"/>
      <c r="C631" s="1"/>
      <c r="D631" s="3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1.25" customHeight="1">
      <c r="A632" s="1"/>
      <c r="B632" s="1"/>
      <c r="C632" s="1"/>
      <c r="D632" s="3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1.25" customHeight="1">
      <c r="A633" s="1"/>
      <c r="B633" s="1"/>
      <c r="C633" s="1"/>
      <c r="D633" s="3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1.25" customHeight="1">
      <c r="A634" s="1"/>
      <c r="B634" s="1"/>
      <c r="C634" s="1"/>
      <c r="D634" s="3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1.25" customHeight="1">
      <c r="A635" s="1"/>
      <c r="B635" s="1"/>
      <c r="C635" s="1"/>
      <c r="D635" s="3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1.25" customHeight="1">
      <c r="A636" s="1"/>
      <c r="B636" s="1"/>
      <c r="C636" s="1"/>
      <c r="D636" s="3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1.25" customHeight="1">
      <c r="A637" s="1"/>
      <c r="B637" s="1"/>
      <c r="C637" s="1"/>
      <c r="D637" s="3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1.25" customHeight="1">
      <c r="A638" s="1"/>
      <c r="B638" s="1"/>
      <c r="C638" s="1"/>
      <c r="D638" s="3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1.25" customHeight="1">
      <c r="A639" s="1"/>
      <c r="B639" s="1"/>
      <c r="C639" s="1"/>
      <c r="D639" s="3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1.25" customHeight="1">
      <c r="A640" s="1"/>
      <c r="B640" s="1"/>
      <c r="C640" s="1"/>
      <c r="D640" s="3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1.25" customHeight="1">
      <c r="A641" s="1"/>
      <c r="B641" s="1"/>
      <c r="C641" s="1"/>
      <c r="D641" s="3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1.25" customHeight="1">
      <c r="A642" s="1"/>
      <c r="B642" s="1"/>
      <c r="C642" s="1"/>
      <c r="D642" s="3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1.25" customHeight="1">
      <c r="A643" s="1"/>
      <c r="B643" s="1"/>
      <c r="C643" s="1"/>
      <c r="D643" s="3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1.25" customHeight="1">
      <c r="A644" s="1"/>
      <c r="B644" s="1"/>
      <c r="C644" s="1"/>
      <c r="D644" s="3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1.25" customHeight="1">
      <c r="A645" s="1"/>
      <c r="B645" s="1"/>
      <c r="C645" s="1"/>
      <c r="D645" s="3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1.25" customHeight="1">
      <c r="A646" s="1"/>
      <c r="B646" s="1"/>
      <c r="C646" s="1"/>
      <c r="D646" s="3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1.25" customHeight="1">
      <c r="A647" s="1"/>
      <c r="B647" s="1"/>
      <c r="C647" s="1"/>
      <c r="D647" s="3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1.25" customHeight="1">
      <c r="A648" s="1"/>
      <c r="B648" s="1"/>
      <c r="C648" s="1"/>
      <c r="D648" s="3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1.25" customHeight="1">
      <c r="A649" s="1"/>
      <c r="B649" s="1"/>
      <c r="C649" s="1"/>
      <c r="D649" s="3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1.25" customHeight="1">
      <c r="A650" s="1"/>
      <c r="B650" s="1"/>
      <c r="C650" s="1"/>
      <c r="D650" s="3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1.25" customHeight="1">
      <c r="A651" s="1"/>
      <c r="B651" s="1"/>
      <c r="C651" s="1"/>
      <c r="D651" s="3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1.25" customHeight="1">
      <c r="A652" s="1"/>
      <c r="B652" s="1"/>
      <c r="C652" s="1"/>
      <c r="D652" s="3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1.25" customHeight="1">
      <c r="A653" s="1"/>
      <c r="B653" s="1"/>
      <c r="C653" s="1"/>
      <c r="D653" s="3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1.25" customHeight="1">
      <c r="A654" s="1"/>
      <c r="B654" s="1"/>
      <c r="C654" s="1"/>
      <c r="D654" s="3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1.25" customHeight="1">
      <c r="A655" s="1"/>
      <c r="B655" s="1"/>
      <c r="C655" s="1"/>
      <c r="D655" s="3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1.25" customHeight="1">
      <c r="A656" s="1"/>
      <c r="B656" s="1"/>
      <c r="C656" s="1"/>
      <c r="D656" s="3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1.25" customHeight="1">
      <c r="A657" s="1"/>
      <c r="B657" s="1"/>
      <c r="C657" s="1"/>
      <c r="D657" s="3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1.25" customHeight="1">
      <c r="A658" s="1"/>
      <c r="B658" s="1"/>
      <c r="C658" s="1"/>
      <c r="D658" s="3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1.25" customHeight="1">
      <c r="A659" s="1"/>
      <c r="B659" s="1"/>
      <c r="C659" s="1"/>
      <c r="D659" s="3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1.25" customHeight="1">
      <c r="A660" s="1"/>
      <c r="B660" s="1"/>
      <c r="C660" s="1"/>
      <c r="D660" s="3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1.25" customHeight="1">
      <c r="A661" s="1"/>
      <c r="B661" s="1"/>
      <c r="C661" s="1"/>
      <c r="D661" s="3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1.25" customHeight="1">
      <c r="A662" s="1"/>
      <c r="B662" s="1"/>
      <c r="C662" s="1"/>
      <c r="D662" s="3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1.25" customHeight="1">
      <c r="A663" s="1"/>
      <c r="B663" s="1"/>
      <c r="C663" s="1"/>
      <c r="D663" s="3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1.25" customHeight="1">
      <c r="A664" s="1"/>
      <c r="B664" s="1"/>
      <c r="C664" s="1"/>
      <c r="D664" s="3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1.25" customHeight="1">
      <c r="A665" s="1"/>
      <c r="B665" s="1"/>
      <c r="C665" s="1"/>
      <c r="D665" s="3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1.25" customHeight="1">
      <c r="A666" s="1"/>
      <c r="B666" s="1"/>
      <c r="C666" s="1"/>
      <c r="D666" s="3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1.25" customHeight="1">
      <c r="A667" s="1"/>
      <c r="B667" s="1"/>
      <c r="C667" s="1"/>
      <c r="D667" s="3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1.25" customHeight="1">
      <c r="A668" s="1"/>
      <c r="B668" s="1"/>
      <c r="C668" s="1"/>
      <c r="D668" s="3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1.25" customHeight="1">
      <c r="A669" s="1"/>
      <c r="B669" s="1"/>
      <c r="C669" s="1"/>
      <c r="D669" s="3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1.25" customHeight="1">
      <c r="A670" s="1"/>
      <c r="B670" s="1"/>
      <c r="C670" s="1"/>
      <c r="D670" s="3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1.25" customHeight="1">
      <c r="A671" s="1"/>
      <c r="B671" s="1"/>
      <c r="C671" s="1"/>
      <c r="D671" s="3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1.25" customHeight="1">
      <c r="A672" s="1"/>
      <c r="B672" s="1"/>
      <c r="C672" s="1"/>
      <c r="D672" s="3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1.25" customHeight="1">
      <c r="A673" s="1"/>
      <c r="B673" s="1"/>
      <c r="C673" s="1"/>
      <c r="D673" s="3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1.25" customHeight="1">
      <c r="A674" s="1"/>
      <c r="B674" s="1"/>
      <c r="C674" s="1"/>
      <c r="D674" s="3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1.25" customHeight="1">
      <c r="A675" s="1"/>
      <c r="B675" s="1"/>
      <c r="C675" s="1"/>
      <c r="D675" s="3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1.25" customHeight="1">
      <c r="A676" s="1"/>
      <c r="B676" s="1"/>
      <c r="C676" s="1"/>
      <c r="D676" s="3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1.25" customHeight="1">
      <c r="A677" s="1"/>
      <c r="B677" s="1"/>
      <c r="C677" s="1"/>
      <c r="D677" s="3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1.25" customHeight="1">
      <c r="A678" s="1"/>
      <c r="B678" s="1"/>
      <c r="C678" s="1"/>
      <c r="D678" s="3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1.25" customHeight="1">
      <c r="A679" s="1"/>
      <c r="B679" s="1"/>
      <c r="C679" s="1"/>
      <c r="D679" s="3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1.25" customHeight="1">
      <c r="A680" s="1"/>
      <c r="B680" s="1"/>
      <c r="C680" s="1"/>
      <c r="D680" s="3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1.25" customHeight="1">
      <c r="A681" s="1"/>
      <c r="B681" s="1"/>
      <c r="C681" s="1"/>
      <c r="D681" s="3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1.25" customHeight="1">
      <c r="A682" s="1"/>
      <c r="B682" s="1"/>
      <c r="C682" s="1"/>
      <c r="D682" s="3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1.25" customHeight="1">
      <c r="A683" s="1"/>
      <c r="B683" s="1"/>
      <c r="C683" s="1"/>
      <c r="D683" s="3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1.25" customHeight="1">
      <c r="A684" s="1"/>
      <c r="B684" s="1"/>
      <c r="C684" s="1"/>
      <c r="D684" s="3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1.25" customHeight="1">
      <c r="A685" s="1"/>
      <c r="B685" s="1"/>
      <c r="C685" s="1"/>
      <c r="D685" s="3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1.25" customHeight="1">
      <c r="A686" s="1"/>
      <c r="B686" s="1"/>
      <c r="C686" s="1"/>
      <c r="D686" s="3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1.25" customHeight="1">
      <c r="A687" s="1"/>
      <c r="B687" s="1"/>
      <c r="C687" s="1"/>
      <c r="D687" s="3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1.25" customHeight="1">
      <c r="A688" s="1"/>
      <c r="B688" s="1"/>
      <c r="C688" s="1"/>
      <c r="D688" s="3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1.25" customHeight="1">
      <c r="A689" s="1"/>
      <c r="B689" s="1"/>
      <c r="C689" s="1"/>
      <c r="D689" s="3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1.25" customHeight="1">
      <c r="A690" s="1"/>
      <c r="B690" s="1"/>
      <c r="C690" s="1"/>
      <c r="D690" s="3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1.25" customHeight="1">
      <c r="A691" s="1"/>
      <c r="B691" s="1"/>
      <c r="C691" s="1"/>
      <c r="D691" s="3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1.25" customHeight="1">
      <c r="A692" s="1"/>
      <c r="B692" s="1"/>
      <c r="C692" s="1"/>
      <c r="D692" s="3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1.25" customHeight="1">
      <c r="A693" s="1"/>
      <c r="B693" s="1"/>
      <c r="C693" s="1"/>
      <c r="D693" s="3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1.25" customHeight="1">
      <c r="A694" s="1"/>
      <c r="B694" s="1"/>
      <c r="C694" s="1"/>
      <c r="D694" s="3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1.25" customHeight="1">
      <c r="A695" s="1"/>
      <c r="B695" s="1"/>
      <c r="C695" s="1"/>
      <c r="D695" s="3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1.25" customHeight="1">
      <c r="A696" s="1"/>
      <c r="B696" s="1"/>
      <c r="C696" s="1"/>
      <c r="D696" s="3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1.25" customHeight="1">
      <c r="A697" s="1"/>
      <c r="B697" s="1"/>
      <c r="C697" s="1"/>
      <c r="D697" s="3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1.25" customHeight="1">
      <c r="A698" s="1"/>
      <c r="B698" s="1"/>
      <c r="C698" s="1"/>
      <c r="D698" s="3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1.25" customHeight="1">
      <c r="A699" s="1"/>
      <c r="B699" s="1"/>
      <c r="C699" s="1"/>
      <c r="D699" s="3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1.25" customHeight="1">
      <c r="A700" s="1"/>
      <c r="B700" s="1"/>
      <c r="C700" s="1"/>
      <c r="D700" s="3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1.25" customHeight="1">
      <c r="A701" s="1"/>
      <c r="B701" s="1"/>
      <c r="C701" s="1"/>
      <c r="D701" s="3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1.25" customHeight="1">
      <c r="A702" s="1"/>
      <c r="B702" s="1"/>
      <c r="C702" s="1"/>
      <c r="D702" s="3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1.25" customHeight="1">
      <c r="A703" s="1"/>
      <c r="B703" s="1"/>
      <c r="C703" s="1"/>
      <c r="D703" s="3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1.25" customHeight="1">
      <c r="A704" s="1"/>
      <c r="B704" s="1"/>
      <c r="C704" s="1"/>
      <c r="D704" s="3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1.25" customHeight="1">
      <c r="A705" s="1"/>
      <c r="B705" s="1"/>
      <c r="C705" s="1"/>
      <c r="D705" s="3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1.25" customHeight="1">
      <c r="A706" s="1"/>
      <c r="B706" s="1"/>
      <c r="C706" s="1"/>
      <c r="D706" s="3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1.25" customHeight="1">
      <c r="A707" s="1"/>
      <c r="B707" s="1"/>
      <c r="C707" s="1"/>
      <c r="D707" s="3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1.25" customHeight="1">
      <c r="A708" s="1"/>
      <c r="B708" s="1"/>
      <c r="C708" s="1"/>
      <c r="D708" s="3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1.25" customHeight="1">
      <c r="A709" s="1"/>
      <c r="B709" s="1"/>
      <c r="C709" s="1"/>
      <c r="D709" s="3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1.25" customHeight="1">
      <c r="A710" s="1"/>
      <c r="B710" s="1"/>
      <c r="C710" s="1"/>
      <c r="D710" s="3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1.25" customHeight="1">
      <c r="A711" s="1"/>
      <c r="B711" s="1"/>
      <c r="C711" s="1"/>
      <c r="D711" s="3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1.25" customHeight="1">
      <c r="A712" s="1"/>
      <c r="B712" s="1"/>
      <c r="C712" s="1"/>
      <c r="D712" s="3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1.25" customHeight="1">
      <c r="A713" s="1"/>
      <c r="B713" s="1"/>
      <c r="C713" s="1"/>
      <c r="D713" s="3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1.25" customHeight="1">
      <c r="A714" s="1"/>
      <c r="B714" s="1"/>
      <c r="C714" s="1"/>
      <c r="D714" s="3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1.25" customHeight="1">
      <c r="A715" s="1"/>
      <c r="B715" s="1"/>
      <c r="C715" s="1"/>
      <c r="D715" s="3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1.25" customHeight="1">
      <c r="A716" s="1"/>
      <c r="B716" s="1"/>
      <c r="C716" s="1"/>
      <c r="D716" s="3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1.25" customHeight="1">
      <c r="A717" s="1"/>
      <c r="B717" s="1"/>
      <c r="C717" s="1"/>
      <c r="D717" s="3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1.25" customHeight="1">
      <c r="A718" s="1"/>
      <c r="B718" s="1"/>
      <c r="C718" s="1"/>
      <c r="D718" s="3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1.25" customHeight="1">
      <c r="A719" s="1"/>
      <c r="B719" s="1"/>
      <c r="C719" s="1"/>
      <c r="D719" s="3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1.25" customHeight="1">
      <c r="A720" s="1"/>
      <c r="B720" s="1"/>
      <c r="C720" s="1"/>
      <c r="D720" s="3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1.25" customHeight="1">
      <c r="A721" s="1"/>
      <c r="B721" s="1"/>
      <c r="C721" s="1"/>
      <c r="D721" s="3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1.25" customHeight="1">
      <c r="A722" s="1"/>
      <c r="B722" s="1"/>
      <c r="C722" s="1"/>
      <c r="D722" s="3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1.25" customHeight="1">
      <c r="A723" s="1"/>
      <c r="B723" s="1"/>
      <c r="C723" s="1"/>
      <c r="D723" s="3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1.25" customHeight="1">
      <c r="A724" s="1"/>
      <c r="B724" s="1"/>
      <c r="C724" s="1"/>
      <c r="D724" s="3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1.25" customHeight="1">
      <c r="A725" s="1"/>
      <c r="B725" s="1"/>
      <c r="C725" s="1"/>
      <c r="D725" s="3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1.25" customHeight="1">
      <c r="A726" s="1"/>
      <c r="B726" s="1"/>
      <c r="C726" s="1"/>
      <c r="D726" s="3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1.25" customHeight="1">
      <c r="A727" s="1"/>
      <c r="B727" s="1"/>
      <c r="C727" s="1"/>
      <c r="D727" s="3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1.25" customHeight="1">
      <c r="A728" s="1"/>
      <c r="B728" s="1"/>
      <c r="C728" s="1"/>
      <c r="D728" s="3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1.25" customHeight="1">
      <c r="A729" s="1"/>
      <c r="B729" s="1"/>
      <c r="C729" s="1"/>
      <c r="D729" s="3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1.25" customHeight="1">
      <c r="A730" s="1"/>
      <c r="B730" s="1"/>
      <c r="C730" s="1"/>
      <c r="D730" s="3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1.25" customHeight="1">
      <c r="A731" s="1"/>
      <c r="B731" s="1"/>
      <c r="C731" s="1"/>
      <c r="D731" s="3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1.25" customHeight="1">
      <c r="A732" s="1"/>
      <c r="B732" s="1"/>
      <c r="C732" s="1"/>
      <c r="D732" s="3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1.25" customHeight="1">
      <c r="A733" s="1"/>
      <c r="B733" s="1"/>
      <c r="C733" s="1"/>
      <c r="D733" s="3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1.25" customHeight="1">
      <c r="A734" s="1"/>
      <c r="B734" s="1"/>
      <c r="C734" s="1"/>
      <c r="D734" s="3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1.25" customHeight="1">
      <c r="A735" s="1"/>
      <c r="B735" s="1"/>
      <c r="C735" s="1"/>
      <c r="D735" s="3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1.25" customHeight="1">
      <c r="A736" s="1"/>
      <c r="B736" s="1"/>
      <c r="C736" s="1"/>
      <c r="D736" s="3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1.25" customHeight="1">
      <c r="A737" s="1"/>
      <c r="B737" s="1"/>
      <c r="C737" s="1"/>
      <c r="D737" s="3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1.25" customHeight="1">
      <c r="A738" s="1"/>
      <c r="B738" s="1"/>
      <c r="C738" s="1"/>
      <c r="D738" s="3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1.25" customHeight="1">
      <c r="A739" s="1"/>
      <c r="B739" s="1"/>
      <c r="C739" s="1"/>
      <c r="D739" s="3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1.25" customHeight="1">
      <c r="A740" s="1"/>
      <c r="B740" s="1"/>
      <c r="C740" s="1"/>
      <c r="D740" s="3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1.25" customHeight="1">
      <c r="A741" s="1"/>
      <c r="B741" s="1"/>
      <c r="C741" s="1"/>
      <c r="D741" s="3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1.25" customHeight="1">
      <c r="A742" s="1"/>
      <c r="B742" s="1"/>
      <c r="C742" s="1"/>
      <c r="D742" s="3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1.25" customHeight="1">
      <c r="A743" s="1"/>
      <c r="B743" s="1"/>
      <c r="C743" s="1"/>
      <c r="D743" s="3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1.25" customHeight="1">
      <c r="A744" s="1"/>
      <c r="B744" s="1"/>
      <c r="C744" s="1"/>
      <c r="D744" s="3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1.25" customHeight="1">
      <c r="A745" s="1"/>
      <c r="B745" s="1"/>
      <c r="C745" s="1"/>
      <c r="D745" s="3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1.25" customHeight="1">
      <c r="A746" s="1"/>
      <c r="B746" s="1"/>
      <c r="C746" s="1"/>
      <c r="D746" s="3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1.25" customHeight="1">
      <c r="A747" s="1"/>
      <c r="B747" s="1"/>
      <c r="C747" s="1"/>
      <c r="D747" s="3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1.25" customHeight="1">
      <c r="A748" s="1"/>
      <c r="B748" s="1"/>
      <c r="C748" s="1"/>
      <c r="D748" s="3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1.25" customHeight="1">
      <c r="A749" s="1"/>
      <c r="B749" s="1"/>
      <c r="C749" s="1"/>
      <c r="D749" s="3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1.25" customHeight="1">
      <c r="A750" s="1"/>
      <c r="B750" s="1"/>
      <c r="C750" s="1"/>
      <c r="D750" s="3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1.25" customHeight="1">
      <c r="A751" s="1"/>
      <c r="B751" s="1"/>
      <c r="C751" s="1"/>
      <c r="D751" s="3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1.25" customHeight="1">
      <c r="A752" s="1"/>
      <c r="B752" s="1"/>
      <c r="C752" s="1"/>
      <c r="D752" s="3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1.25" customHeight="1">
      <c r="A753" s="1"/>
      <c r="B753" s="1"/>
      <c r="C753" s="1"/>
      <c r="D753" s="3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1.25" customHeight="1">
      <c r="A754" s="1"/>
      <c r="B754" s="1"/>
      <c r="C754" s="1"/>
      <c r="D754" s="3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1.25" customHeight="1">
      <c r="A755" s="1"/>
      <c r="B755" s="1"/>
      <c r="C755" s="1"/>
      <c r="D755" s="3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1.25" customHeight="1">
      <c r="A756" s="1"/>
      <c r="B756" s="1"/>
      <c r="C756" s="1"/>
      <c r="D756" s="3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1.25" customHeight="1">
      <c r="A757" s="1"/>
      <c r="B757" s="1"/>
      <c r="C757" s="1"/>
      <c r="D757" s="3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1.25" customHeight="1">
      <c r="A758" s="1"/>
      <c r="B758" s="1"/>
      <c r="C758" s="1"/>
      <c r="D758" s="3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1.25" customHeight="1">
      <c r="A759" s="1"/>
      <c r="B759" s="1"/>
      <c r="C759" s="1"/>
      <c r="D759" s="3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1.25" customHeight="1">
      <c r="A760" s="1"/>
      <c r="B760" s="1"/>
      <c r="C760" s="1"/>
      <c r="D760" s="3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1.25" customHeight="1">
      <c r="A761" s="1"/>
      <c r="B761" s="1"/>
      <c r="C761" s="1"/>
      <c r="D761" s="3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1.25" customHeight="1">
      <c r="A762" s="1"/>
      <c r="B762" s="1"/>
      <c r="C762" s="1"/>
      <c r="D762" s="3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1.25" customHeight="1">
      <c r="A763" s="1"/>
      <c r="B763" s="1"/>
      <c r="C763" s="1"/>
      <c r="D763" s="3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1.25" customHeight="1">
      <c r="A764" s="1"/>
      <c r="B764" s="1"/>
      <c r="C764" s="1"/>
      <c r="D764" s="3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1.25" customHeight="1">
      <c r="A765" s="1"/>
      <c r="B765" s="1"/>
      <c r="C765" s="1"/>
      <c r="D765" s="3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1.25" customHeight="1">
      <c r="A766" s="1"/>
      <c r="B766" s="1"/>
      <c r="C766" s="1"/>
      <c r="D766" s="3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1.25" customHeight="1">
      <c r="A767" s="1"/>
      <c r="B767" s="1"/>
      <c r="C767" s="1"/>
      <c r="D767" s="3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1.25" customHeight="1">
      <c r="A768" s="1"/>
      <c r="B768" s="1"/>
      <c r="C768" s="1"/>
      <c r="D768" s="3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1.25" customHeight="1">
      <c r="A769" s="1"/>
      <c r="B769" s="1"/>
      <c r="C769" s="1"/>
      <c r="D769" s="3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1.25" customHeight="1">
      <c r="A770" s="1"/>
      <c r="B770" s="1"/>
      <c r="C770" s="1"/>
      <c r="D770" s="3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1.25" customHeight="1">
      <c r="A771" s="1"/>
      <c r="B771" s="1"/>
      <c r="C771" s="1"/>
      <c r="D771" s="3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1.25" customHeight="1">
      <c r="A772" s="1"/>
      <c r="B772" s="1"/>
      <c r="C772" s="1"/>
      <c r="D772" s="3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1.25" customHeight="1">
      <c r="A773" s="1"/>
      <c r="B773" s="1"/>
      <c r="C773" s="1"/>
      <c r="D773" s="3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1.25" customHeight="1">
      <c r="A774" s="1"/>
      <c r="B774" s="1"/>
      <c r="C774" s="1"/>
      <c r="D774" s="3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1.25" customHeight="1">
      <c r="A775" s="1"/>
      <c r="B775" s="1"/>
      <c r="C775" s="1"/>
      <c r="D775" s="3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1.25" customHeight="1">
      <c r="A776" s="1"/>
      <c r="B776" s="1"/>
      <c r="C776" s="1"/>
      <c r="D776" s="3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1.25" customHeight="1">
      <c r="A777" s="1"/>
      <c r="B777" s="1"/>
      <c r="C777" s="1"/>
      <c r="D777" s="3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1.25" customHeight="1">
      <c r="A778" s="1"/>
      <c r="B778" s="1"/>
      <c r="C778" s="1"/>
      <c r="D778" s="3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1.25" customHeight="1">
      <c r="A779" s="1"/>
      <c r="B779" s="1"/>
      <c r="C779" s="1"/>
      <c r="D779" s="3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1.25" customHeight="1">
      <c r="A780" s="1"/>
      <c r="B780" s="1"/>
      <c r="C780" s="1"/>
      <c r="D780" s="3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1.25" customHeight="1">
      <c r="A781" s="1"/>
      <c r="B781" s="1"/>
      <c r="C781" s="1"/>
      <c r="D781" s="3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1.25" customHeight="1">
      <c r="A782" s="1"/>
      <c r="B782" s="1"/>
      <c r="C782" s="1"/>
      <c r="D782" s="3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1.25" customHeight="1">
      <c r="A783" s="1"/>
      <c r="B783" s="1"/>
      <c r="C783" s="1"/>
      <c r="D783" s="3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1.25" customHeight="1">
      <c r="A784" s="1"/>
      <c r="B784" s="1"/>
      <c r="C784" s="1"/>
      <c r="D784" s="3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1.25" customHeight="1">
      <c r="A785" s="1"/>
      <c r="B785" s="1"/>
      <c r="C785" s="1"/>
      <c r="D785" s="3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1.25" customHeight="1">
      <c r="A786" s="1"/>
      <c r="B786" s="1"/>
      <c r="C786" s="1"/>
      <c r="D786" s="3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1.25" customHeight="1">
      <c r="A787" s="1"/>
      <c r="B787" s="1"/>
      <c r="C787" s="1"/>
      <c r="D787" s="3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1.25" customHeight="1">
      <c r="A788" s="1"/>
      <c r="B788" s="1"/>
      <c r="C788" s="1"/>
      <c r="D788" s="3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1.25" customHeight="1">
      <c r="A789" s="1"/>
      <c r="B789" s="1"/>
      <c r="C789" s="1"/>
      <c r="D789" s="3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1.25" customHeight="1">
      <c r="A790" s="1"/>
      <c r="B790" s="1"/>
      <c r="C790" s="1"/>
      <c r="D790" s="3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1.25" customHeight="1">
      <c r="A791" s="1"/>
      <c r="B791" s="1"/>
      <c r="C791" s="1"/>
      <c r="D791" s="3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1.25" customHeight="1">
      <c r="A792" s="1"/>
      <c r="B792" s="1"/>
      <c r="C792" s="1"/>
      <c r="D792" s="3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1.25" customHeight="1">
      <c r="A793" s="1"/>
      <c r="B793" s="1"/>
      <c r="C793" s="1"/>
      <c r="D793" s="3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1.25" customHeight="1">
      <c r="A794" s="1"/>
      <c r="B794" s="1"/>
      <c r="C794" s="1"/>
      <c r="D794" s="3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1.25" customHeight="1">
      <c r="A795" s="1"/>
      <c r="B795" s="1"/>
      <c r="C795" s="1"/>
      <c r="D795" s="3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1.25" customHeight="1">
      <c r="A796" s="1"/>
      <c r="B796" s="1"/>
      <c r="C796" s="1"/>
      <c r="D796" s="3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1.25" customHeight="1">
      <c r="A797" s="1"/>
      <c r="B797" s="1"/>
      <c r="C797" s="1"/>
      <c r="D797" s="3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1.25" customHeight="1">
      <c r="A798" s="1"/>
      <c r="B798" s="1"/>
      <c r="C798" s="1"/>
      <c r="D798" s="3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1.25" customHeight="1">
      <c r="A799" s="1"/>
      <c r="B799" s="1"/>
      <c r="C799" s="1"/>
      <c r="D799" s="3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1.25" customHeight="1">
      <c r="A800" s="1"/>
      <c r="B800" s="1"/>
      <c r="C800" s="1"/>
      <c r="D800" s="3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1.25" customHeight="1">
      <c r="A801" s="1"/>
      <c r="B801" s="1"/>
      <c r="C801" s="1"/>
      <c r="D801" s="3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1.25" customHeight="1">
      <c r="A802" s="1"/>
      <c r="B802" s="1"/>
      <c r="C802" s="1"/>
      <c r="D802" s="3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1.25" customHeight="1">
      <c r="A803" s="1"/>
      <c r="B803" s="1"/>
      <c r="C803" s="1"/>
      <c r="D803" s="3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1.25" customHeight="1">
      <c r="A804" s="1"/>
      <c r="B804" s="1"/>
      <c r="C804" s="1"/>
      <c r="D804" s="3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1.25" customHeight="1">
      <c r="A805" s="1"/>
      <c r="B805" s="1"/>
      <c r="C805" s="1"/>
      <c r="D805" s="3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1.25" customHeight="1">
      <c r="A806" s="1"/>
      <c r="B806" s="1"/>
      <c r="C806" s="1"/>
      <c r="D806" s="3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1.25" customHeight="1">
      <c r="A807" s="1"/>
      <c r="B807" s="1"/>
      <c r="C807" s="1"/>
      <c r="D807" s="3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1.25" customHeight="1">
      <c r="A808" s="1"/>
      <c r="B808" s="1"/>
      <c r="C808" s="1"/>
      <c r="D808" s="3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1.25" customHeight="1">
      <c r="A809" s="1"/>
      <c r="B809" s="1"/>
      <c r="C809" s="1"/>
      <c r="D809" s="3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1.25" customHeight="1">
      <c r="A810" s="1"/>
      <c r="B810" s="1"/>
      <c r="C810" s="1"/>
      <c r="D810" s="3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1.25" customHeight="1">
      <c r="A811" s="1"/>
      <c r="B811" s="1"/>
      <c r="C811" s="1"/>
      <c r="D811" s="3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1.25" customHeight="1">
      <c r="A812" s="1"/>
      <c r="B812" s="1"/>
      <c r="C812" s="1"/>
      <c r="D812" s="3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1.25" customHeight="1">
      <c r="A813" s="1"/>
      <c r="B813" s="1"/>
      <c r="C813" s="1"/>
      <c r="D813" s="3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1.25" customHeight="1">
      <c r="A814" s="1"/>
      <c r="B814" s="1"/>
      <c r="C814" s="1"/>
      <c r="D814" s="3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1.25" customHeight="1">
      <c r="A815" s="1"/>
      <c r="B815" s="1"/>
      <c r="C815" s="1"/>
      <c r="D815" s="3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1.25" customHeight="1">
      <c r="A816" s="1"/>
      <c r="B816" s="1"/>
      <c r="C816" s="1"/>
      <c r="D816" s="3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1.25" customHeight="1">
      <c r="A817" s="1"/>
      <c r="B817" s="1"/>
      <c r="C817" s="1"/>
      <c r="D817" s="3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1.25" customHeight="1">
      <c r="A818" s="1"/>
      <c r="B818" s="1"/>
      <c r="C818" s="1"/>
      <c r="D818" s="3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1.25" customHeight="1">
      <c r="A819" s="1"/>
      <c r="B819" s="1"/>
      <c r="C819" s="1"/>
      <c r="D819" s="3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1.25" customHeight="1">
      <c r="A820" s="1"/>
      <c r="B820" s="1"/>
      <c r="C820" s="1"/>
      <c r="D820" s="3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1.25" customHeight="1">
      <c r="A821" s="1"/>
      <c r="B821" s="1"/>
      <c r="C821" s="1"/>
      <c r="D821" s="3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1.25" customHeight="1">
      <c r="A822" s="1"/>
      <c r="B822" s="1"/>
      <c r="C822" s="1"/>
      <c r="D822" s="3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1.25" customHeight="1">
      <c r="A823" s="1"/>
      <c r="B823" s="1"/>
      <c r="C823" s="1"/>
      <c r="D823" s="3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1.25" customHeight="1">
      <c r="A824" s="1"/>
      <c r="B824" s="1"/>
      <c r="C824" s="1"/>
      <c r="D824" s="3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1.25" customHeight="1">
      <c r="A825" s="1"/>
      <c r="B825" s="1"/>
      <c r="C825" s="1"/>
      <c r="D825" s="3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1.25" customHeight="1">
      <c r="A826" s="1"/>
      <c r="B826" s="1"/>
      <c r="C826" s="1"/>
      <c r="D826" s="3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1.25" customHeight="1">
      <c r="A827" s="1"/>
      <c r="B827" s="1"/>
      <c r="C827" s="1"/>
      <c r="D827" s="3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1.25" customHeight="1">
      <c r="A828" s="1"/>
      <c r="B828" s="1"/>
      <c r="C828" s="1"/>
      <c r="D828" s="3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1.25" customHeight="1">
      <c r="A829" s="1"/>
      <c r="B829" s="1"/>
      <c r="C829" s="1"/>
      <c r="D829" s="3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1.25" customHeight="1">
      <c r="A830" s="1"/>
      <c r="B830" s="1"/>
      <c r="C830" s="1"/>
      <c r="D830" s="3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1.25" customHeight="1">
      <c r="A831" s="1"/>
      <c r="B831" s="1"/>
      <c r="C831" s="1"/>
      <c r="D831" s="3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1.25" customHeight="1">
      <c r="A832" s="1"/>
      <c r="B832" s="1"/>
      <c r="C832" s="1"/>
      <c r="D832" s="3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1.25" customHeight="1">
      <c r="A833" s="1"/>
      <c r="B833" s="1"/>
      <c r="C833" s="1"/>
      <c r="D833" s="3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1.25" customHeight="1">
      <c r="A834" s="1"/>
      <c r="B834" s="1"/>
      <c r="C834" s="1"/>
      <c r="D834" s="3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1.25" customHeight="1">
      <c r="A835" s="1"/>
      <c r="B835" s="1"/>
      <c r="C835" s="1"/>
      <c r="D835" s="3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1.25" customHeight="1">
      <c r="A836" s="1"/>
      <c r="B836" s="1"/>
      <c r="C836" s="1"/>
      <c r="D836" s="3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1.25" customHeight="1">
      <c r="A837" s="1"/>
      <c r="B837" s="1"/>
      <c r="C837" s="1"/>
      <c r="D837" s="3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1.25" customHeight="1">
      <c r="A838" s="1"/>
      <c r="B838" s="1"/>
      <c r="C838" s="1"/>
      <c r="D838" s="3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1.25" customHeight="1">
      <c r="A839" s="1"/>
      <c r="B839" s="1"/>
      <c r="C839" s="1"/>
      <c r="D839" s="3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1.25" customHeight="1">
      <c r="A840" s="1"/>
      <c r="B840" s="1"/>
      <c r="C840" s="1"/>
      <c r="D840" s="3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1.25" customHeight="1">
      <c r="A841" s="1"/>
      <c r="B841" s="1"/>
      <c r="C841" s="1"/>
      <c r="D841" s="3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1.25" customHeight="1">
      <c r="A842" s="1"/>
      <c r="B842" s="1"/>
      <c r="C842" s="1"/>
      <c r="D842" s="3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1.25" customHeight="1">
      <c r="A843" s="1"/>
      <c r="B843" s="1"/>
      <c r="C843" s="1"/>
      <c r="D843" s="3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1.25" customHeight="1">
      <c r="A844" s="1"/>
      <c r="B844" s="1"/>
      <c r="C844" s="1"/>
      <c r="D844" s="3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1.25" customHeight="1">
      <c r="A845" s="1"/>
      <c r="B845" s="1"/>
      <c r="C845" s="1"/>
      <c r="D845" s="3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1.25" customHeight="1">
      <c r="A846" s="1"/>
      <c r="B846" s="1"/>
      <c r="C846" s="1"/>
      <c r="D846" s="3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1.25" customHeight="1">
      <c r="A847" s="1"/>
      <c r="B847" s="1"/>
      <c r="C847" s="1"/>
      <c r="D847" s="3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1.25" customHeight="1">
      <c r="A848" s="1"/>
      <c r="B848" s="1"/>
      <c r="C848" s="1"/>
      <c r="D848" s="3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1.25" customHeight="1">
      <c r="A849" s="1"/>
      <c r="B849" s="1"/>
      <c r="C849" s="1"/>
      <c r="D849" s="3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1.25" customHeight="1">
      <c r="A850" s="1"/>
      <c r="B850" s="1"/>
      <c r="C850" s="1"/>
      <c r="D850" s="3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1.25" customHeight="1">
      <c r="A851" s="1"/>
      <c r="B851" s="1"/>
      <c r="C851" s="1"/>
      <c r="D851" s="3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1.25" customHeight="1">
      <c r="A852" s="1"/>
      <c r="B852" s="1"/>
      <c r="C852" s="1"/>
      <c r="D852" s="3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1.25" customHeight="1">
      <c r="A853" s="1"/>
      <c r="B853" s="1"/>
      <c r="C853" s="1"/>
      <c r="D853" s="3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1.25" customHeight="1">
      <c r="A854" s="1"/>
      <c r="B854" s="1"/>
      <c r="C854" s="1"/>
      <c r="D854" s="3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1.25" customHeight="1">
      <c r="A855" s="1"/>
      <c r="B855" s="1"/>
      <c r="C855" s="1"/>
      <c r="D855" s="3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1.25" customHeight="1">
      <c r="A856" s="1"/>
      <c r="B856" s="1"/>
      <c r="C856" s="1"/>
      <c r="D856" s="3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1.25" customHeight="1">
      <c r="A857" s="1"/>
      <c r="B857" s="1"/>
      <c r="C857" s="1"/>
      <c r="D857" s="3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1.25" customHeight="1">
      <c r="A858" s="1"/>
      <c r="B858" s="1"/>
      <c r="C858" s="1"/>
      <c r="D858" s="3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1.25" customHeight="1">
      <c r="A859" s="1"/>
      <c r="B859" s="1"/>
      <c r="C859" s="1"/>
      <c r="D859" s="3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1.25" customHeight="1">
      <c r="A860" s="1"/>
      <c r="B860" s="1"/>
      <c r="C860" s="1"/>
      <c r="D860" s="3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1.25" customHeight="1">
      <c r="A861" s="1"/>
      <c r="B861" s="1"/>
      <c r="C861" s="1"/>
      <c r="D861" s="3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1.25" customHeight="1">
      <c r="A862" s="1"/>
      <c r="B862" s="1"/>
      <c r="C862" s="1"/>
      <c r="D862" s="3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1.25" customHeight="1">
      <c r="A863" s="1"/>
      <c r="B863" s="1"/>
      <c r="C863" s="1"/>
      <c r="D863" s="3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1.25" customHeight="1">
      <c r="A864" s="1"/>
      <c r="B864" s="1"/>
      <c r="C864" s="1"/>
      <c r="D864" s="3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1.25" customHeight="1">
      <c r="A865" s="1"/>
      <c r="B865" s="1"/>
      <c r="C865" s="1"/>
      <c r="D865" s="3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1.25" customHeight="1">
      <c r="A866" s="1"/>
      <c r="B866" s="1"/>
      <c r="C866" s="1"/>
      <c r="D866" s="3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1.25" customHeight="1">
      <c r="A867" s="1"/>
      <c r="B867" s="1"/>
      <c r="C867" s="1"/>
      <c r="D867" s="3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1.25" customHeight="1">
      <c r="A868" s="1"/>
      <c r="B868" s="1"/>
      <c r="C868" s="1"/>
      <c r="D868" s="3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1.25" customHeight="1">
      <c r="A869" s="1"/>
      <c r="B869" s="1"/>
      <c r="C869" s="1"/>
      <c r="D869" s="3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1.25" customHeight="1">
      <c r="A870" s="1"/>
      <c r="B870" s="1"/>
      <c r="C870" s="1"/>
      <c r="D870" s="3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1.25" customHeight="1">
      <c r="A871" s="1"/>
      <c r="B871" s="1"/>
      <c r="C871" s="1"/>
      <c r="D871" s="3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1.25" customHeight="1">
      <c r="A872" s="1"/>
      <c r="B872" s="1"/>
      <c r="C872" s="1"/>
      <c r="D872" s="3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1.25" customHeight="1">
      <c r="A873" s="1"/>
      <c r="B873" s="1"/>
      <c r="C873" s="1"/>
      <c r="D873" s="3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1.25" customHeight="1">
      <c r="A874" s="1"/>
      <c r="B874" s="1"/>
      <c r="C874" s="1"/>
      <c r="D874" s="3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1.25" customHeight="1">
      <c r="A875" s="1"/>
      <c r="B875" s="1"/>
      <c r="C875" s="1"/>
      <c r="D875" s="3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1.25" customHeight="1">
      <c r="A876" s="1"/>
      <c r="B876" s="1"/>
      <c r="C876" s="1"/>
      <c r="D876" s="3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1.25" customHeight="1">
      <c r="A877" s="1"/>
      <c r="B877" s="1"/>
      <c r="C877" s="1"/>
      <c r="D877" s="3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1.25" customHeight="1">
      <c r="A878" s="1"/>
      <c r="B878" s="1"/>
      <c r="C878" s="1"/>
      <c r="D878" s="3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1.25" customHeight="1">
      <c r="A879" s="1"/>
      <c r="B879" s="1"/>
      <c r="C879" s="1"/>
      <c r="D879" s="3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1.25" customHeight="1">
      <c r="A880" s="1"/>
      <c r="B880" s="1"/>
      <c r="C880" s="1"/>
      <c r="D880" s="3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1.25" customHeight="1">
      <c r="A881" s="1"/>
      <c r="B881" s="1"/>
      <c r="C881" s="1"/>
      <c r="D881" s="3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1.25" customHeight="1">
      <c r="A882" s="1"/>
      <c r="B882" s="1"/>
      <c r="C882" s="1"/>
      <c r="D882" s="3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1.25" customHeight="1">
      <c r="A883" s="1"/>
      <c r="B883" s="1"/>
      <c r="C883" s="1"/>
      <c r="D883" s="3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1.25" customHeight="1">
      <c r="A884" s="1"/>
      <c r="B884" s="1"/>
      <c r="C884" s="1"/>
      <c r="D884" s="3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1.25" customHeight="1">
      <c r="A885" s="1"/>
      <c r="B885" s="1"/>
      <c r="C885" s="1"/>
      <c r="D885" s="3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1.25" customHeight="1">
      <c r="A886" s="1"/>
      <c r="B886" s="1"/>
      <c r="C886" s="1"/>
      <c r="D886" s="3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1.25" customHeight="1">
      <c r="A887" s="1"/>
      <c r="B887" s="1"/>
      <c r="C887" s="1"/>
      <c r="D887" s="3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1.25" customHeight="1">
      <c r="A888" s="1"/>
      <c r="B888" s="1"/>
      <c r="C888" s="1"/>
      <c r="D888" s="3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1.25" customHeight="1">
      <c r="A889" s="1"/>
      <c r="B889" s="1"/>
      <c r="C889" s="1"/>
      <c r="D889" s="3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1.25" customHeight="1">
      <c r="A890" s="1"/>
      <c r="B890" s="1"/>
      <c r="C890" s="1"/>
      <c r="D890" s="3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1.25" customHeight="1">
      <c r="A891" s="1"/>
      <c r="B891" s="1"/>
      <c r="C891" s="1"/>
      <c r="D891" s="3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1.25" customHeight="1">
      <c r="A892" s="1"/>
      <c r="B892" s="1"/>
      <c r="C892" s="1"/>
      <c r="D892" s="3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1.25" customHeight="1">
      <c r="A893" s="1"/>
      <c r="B893" s="1"/>
      <c r="C893" s="1"/>
      <c r="D893" s="3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1.25" customHeight="1">
      <c r="A894" s="1"/>
      <c r="B894" s="1"/>
      <c r="C894" s="1"/>
      <c r="D894" s="3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1.25" customHeight="1">
      <c r="A895" s="1"/>
      <c r="B895" s="1"/>
      <c r="C895" s="1"/>
      <c r="D895" s="3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1.25" customHeight="1">
      <c r="A896" s="1"/>
      <c r="B896" s="1"/>
      <c r="C896" s="1"/>
      <c r="D896" s="3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1.25" customHeight="1">
      <c r="A897" s="1"/>
      <c r="B897" s="1"/>
      <c r="C897" s="1"/>
      <c r="D897" s="3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1.25" customHeight="1">
      <c r="A898" s="1"/>
      <c r="B898" s="1"/>
      <c r="C898" s="1"/>
      <c r="D898" s="3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1.25" customHeight="1">
      <c r="A899" s="1"/>
      <c r="B899" s="1"/>
      <c r="C899" s="1"/>
      <c r="D899" s="3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1.25" customHeight="1">
      <c r="A900" s="1"/>
      <c r="B900" s="1"/>
      <c r="C900" s="1"/>
      <c r="D900" s="3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1.25" customHeight="1">
      <c r="A901" s="1"/>
      <c r="B901" s="1"/>
      <c r="C901" s="1"/>
      <c r="D901" s="3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1.25" customHeight="1">
      <c r="A902" s="1"/>
      <c r="B902" s="1"/>
      <c r="C902" s="1"/>
      <c r="D902" s="3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1.25" customHeight="1">
      <c r="A903" s="1"/>
      <c r="B903" s="1"/>
      <c r="C903" s="1"/>
      <c r="D903" s="3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1.25" customHeight="1">
      <c r="A904" s="1"/>
      <c r="B904" s="1"/>
      <c r="C904" s="1"/>
      <c r="D904" s="3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1.25" customHeight="1">
      <c r="A905" s="1"/>
      <c r="B905" s="1"/>
      <c r="C905" s="1"/>
      <c r="D905" s="3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1.25" customHeight="1">
      <c r="A906" s="1"/>
      <c r="B906" s="1"/>
      <c r="C906" s="1"/>
      <c r="D906" s="3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1.25" customHeight="1">
      <c r="A907" s="1"/>
      <c r="B907" s="1"/>
      <c r="C907" s="1"/>
      <c r="D907" s="3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1.25" customHeight="1">
      <c r="A908" s="1"/>
      <c r="B908" s="1"/>
      <c r="C908" s="1"/>
      <c r="D908" s="3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1.25" customHeight="1">
      <c r="A909" s="1"/>
      <c r="B909" s="1"/>
      <c r="C909" s="1"/>
      <c r="D909" s="3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1.25" customHeight="1">
      <c r="A910" s="1"/>
      <c r="B910" s="1"/>
      <c r="C910" s="1"/>
      <c r="D910" s="3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1.25" customHeight="1">
      <c r="A911" s="1"/>
      <c r="B911" s="1"/>
      <c r="C911" s="1"/>
      <c r="D911" s="3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1.25" customHeight="1">
      <c r="A912" s="1"/>
      <c r="B912" s="1"/>
      <c r="C912" s="1"/>
      <c r="D912" s="3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1.25" customHeight="1">
      <c r="A913" s="1"/>
      <c r="B913" s="1"/>
      <c r="C913" s="1"/>
      <c r="D913" s="3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1.25" customHeight="1">
      <c r="A914" s="1"/>
      <c r="B914" s="1"/>
      <c r="C914" s="1"/>
      <c r="D914" s="3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1.25" customHeight="1">
      <c r="A915" s="1"/>
      <c r="B915" s="1"/>
      <c r="C915" s="1"/>
      <c r="D915" s="3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1.25" customHeight="1">
      <c r="A916" s="1"/>
      <c r="B916" s="1"/>
      <c r="C916" s="1"/>
      <c r="D916" s="3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1.25" customHeight="1">
      <c r="A917" s="1"/>
      <c r="B917" s="1"/>
      <c r="C917" s="1"/>
      <c r="D917" s="3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1.25" customHeight="1">
      <c r="A918" s="1"/>
      <c r="B918" s="1"/>
      <c r="C918" s="1"/>
      <c r="D918" s="3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1.25" customHeight="1">
      <c r="A919" s="1"/>
      <c r="B919" s="1"/>
      <c r="C919" s="1"/>
      <c r="D919" s="3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1.25" customHeight="1">
      <c r="A920" s="1"/>
      <c r="B920" s="1"/>
      <c r="C920" s="1"/>
      <c r="D920" s="3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1.25" customHeight="1">
      <c r="A921" s="1"/>
      <c r="B921" s="1"/>
      <c r="C921" s="1"/>
      <c r="D921" s="3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1.25" customHeight="1">
      <c r="A922" s="1"/>
      <c r="B922" s="1"/>
      <c r="C922" s="1"/>
      <c r="D922" s="3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1.25" customHeight="1">
      <c r="A923" s="1"/>
      <c r="B923" s="1"/>
      <c r="C923" s="1"/>
      <c r="D923" s="3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1.25" customHeight="1">
      <c r="A924" s="1"/>
      <c r="B924" s="1"/>
      <c r="C924" s="1"/>
      <c r="D924" s="3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1.25" customHeight="1">
      <c r="A925" s="1"/>
      <c r="B925" s="1"/>
      <c r="C925" s="1"/>
      <c r="D925" s="3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1.25" customHeight="1">
      <c r="A926" s="1"/>
      <c r="B926" s="1"/>
      <c r="C926" s="1"/>
      <c r="D926" s="3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1.25" customHeight="1">
      <c r="A927" s="1"/>
      <c r="B927" s="1"/>
      <c r="C927" s="1"/>
      <c r="D927" s="3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1.25" customHeight="1">
      <c r="A928" s="1"/>
      <c r="B928" s="1"/>
      <c r="C928" s="1"/>
      <c r="D928" s="3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1.25" customHeight="1">
      <c r="A929" s="1"/>
      <c r="B929" s="1"/>
      <c r="C929" s="1"/>
      <c r="D929" s="3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1.25" customHeight="1">
      <c r="A930" s="1"/>
      <c r="B930" s="1"/>
      <c r="C930" s="1"/>
      <c r="D930" s="3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1.25" customHeight="1">
      <c r="A931" s="1"/>
      <c r="B931" s="1"/>
      <c r="C931" s="1"/>
      <c r="D931" s="3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1.25" customHeight="1">
      <c r="A932" s="1"/>
      <c r="B932" s="1"/>
      <c r="C932" s="1"/>
      <c r="D932" s="3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1.25" customHeight="1">
      <c r="A933" s="1"/>
      <c r="B933" s="1"/>
      <c r="C933" s="1"/>
      <c r="D933" s="3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1.25" customHeight="1">
      <c r="A934" s="1"/>
      <c r="B934" s="1"/>
      <c r="C934" s="1"/>
      <c r="D934" s="3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1.25" customHeight="1">
      <c r="A935" s="1"/>
      <c r="B935" s="1"/>
      <c r="C935" s="1"/>
      <c r="D935" s="3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1.25" customHeight="1">
      <c r="A936" s="1"/>
      <c r="B936" s="1"/>
      <c r="C936" s="1"/>
      <c r="D936" s="3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1.25" customHeight="1">
      <c r="A937" s="1"/>
      <c r="B937" s="1"/>
      <c r="C937" s="1"/>
      <c r="D937" s="3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1.25" customHeight="1">
      <c r="A938" s="1"/>
      <c r="B938" s="1"/>
      <c r="C938" s="1"/>
      <c r="D938" s="3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1.25" customHeight="1">
      <c r="A939" s="1"/>
      <c r="B939" s="1"/>
      <c r="C939" s="1"/>
      <c r="D939" s="3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1.25" customHeight="1">
      <c r="A940" s="1"/>
      <c r="B940" s="1"/>
      <c r="C940" s="1"/>
      <c r="D940" s="3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1.25" customHeight="1">
      <c r="A941" s="1"/>
      <c r="B941" s="1"/>
      <c r="C941" s="1"/>
      <c r="D941" s="3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1.25" customHeight="1">
      <c r="A942" s="1"/>
      <c r="B942" s="1"/>
      <c r="C942" s="1"/>
      <c r="D942" s="3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1.25" customHeight="1">
      <c r="A943" s="1"/>
      <c r="B943" s="1"/>
      <c r="C943" s="1"/>
      <c r="D943" s="3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1.25" customHeight="1">
      <c r="A944" s="1"/>
      <c r="B944" s="1"/>
      <c r="C944" s="1"/>
      <c r="D944" s="3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1.25" customHeight="1">
      <c r="A945" s="1"/>
      <c r="B945" s="1"/>
      <c r="C945" s="1"/>
      <c r="D945" s="3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1.25" customHeight="1">
      <c r="A946" s="1"/>
      <c r="B946" s="1"/>
      <c r="C946" s="1"/>
      <c r="D946" s="3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1.25" customHeight="1">
      <c r="A947" s="1"/>
      <c r="B947" s="1"/>
      <c r="C947" s="1"/>
      <c r="D947" s="3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1.25" customHeight="1">
      <c r="A948" s="1"/>
      <c r="B948" s="1"/>
      <c r="C948" s="1"/>
      <c r="D948" s="3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1.25" customHeight="1">
      <c r="A949" s="1"/>
      <c r="B949" s="1"/>
      <c r="C949" s="1"/>
      <c r="D949" s="3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1.25" customHeight="1">
      <c r="A950" s="1"/>
      <c r="B950" s="1"/>
      <c r="C950" s="1"/>
      <c r="D950" s="3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1.25" customHeight="1">
      <c r="A951" s="1"/>
      <c r="B951" s="1"/>
      <c r="C951" s="1"/>
      <c r="D951" s="3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1.25" customHeight="1">
      <c r="A952" s="1"/>
      <c r="B952" s="1"/>
      <c r="C952" s="1"/>
      <c r="D952" s="3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1.25" customHeight="1">
      <c r="A953" s="1"/>
      <c r="B953" s="1"/>
      <c r="C953" s="1"/>
      <c r="D953" s="3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1.25" customHeight="1">
      <c r="A954" s="1"/>
      <c r="B954" s="1"/>
      <c r="C954" s="1"/>
      <c r="D954" s="3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1.25" customHeight="1">
      <c r="A955" s="1"/>
      <c r="B955" s="1"/>
      <c r="C955" s="1"/>
      <c r="D955" s="3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1.25" customHeight="1">
      <c r="A956" s="1"/>
      <c r="B956" s="1"/>
      <c r="C956" s="1"/>
      <c r="D956" s="3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1.25" customHeight="1">
      <c r="A957" s="1"/>
      <c r="B957" s="1"/>
      <c r="C957" s="1"/>
      <c r="D957" s="3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1.25" customHeight="1">
      <c r="A958" s="1"/>
      <c r="B958" s="1"/>
      <c r="C958" s="1"/>
      <c r="D958" s="3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1.25" customHeight="1">
      <c r="A959" s="1"/>
      <c r="B959" s="1"/>
      <c r="C959" s="1"/>
      <c r="D959" s="3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1.25" customHeight="1">
      <c r="A960" s="1"/>
      <c r="B960" s="1"/>
      <c r="C960" s="1"/>
      <c r="D960" s="3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1.25" customHeight="1">
      <c r="A961" s="1"/>
      <c r="B961" s="1"/>
      <c r="C961" s="1"/>
      <c r="D961" s="3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1.25" customHeight="1">
      <c r="A962" s="1"/>
      <c r="B962" s="1"/>
      <c r="C962" s="1"/>
      <c r="D962" s="3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1.25" customHeight="1">
      <c r="A963" s="1"/>
      <c r="B963" s="1"/>
      <c r="C963" s="1"/>
      <c r="D963" s="3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1.25" customHeight="1">
      <c r="A964" s="1"/>
      <c r="B964" s="1"/>
      <c r="C964" s="1"/>
      <c r="D964" s="3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1.25" customHeight="1">
      <c r="A965" s="1"/>
      <c r="B965" s="1"/>
      <c r="C965" s="1"/>
      <c r="D965" s="3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1.25" customHeight="1">
      <c r="A966" s="1"/>
      <c r="B966" s="1"/>
      <c r="C966" s="1"/>
      <c r="D966" s="3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1.25" customHeight="1">
      <c r="A967" s="1"/>
      <c r="B967" s="1"/>
      <c r="C967" s="1"/>
      <c r="D967" s="3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1.25" customHeight="1">
      <c r="A968" s="1"/>
      <c r="B968" s="1"/>
      <c r="C968" s="1"/>
      <c r="D968" s="3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1.25" customHeight="1">
      <c r="A969" s="1"/>
      <c r="B969" s="1"/>
      <c r="C969" s="1"/>
      <c r="D969" s="3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1.25" customHeight="1">
      <c r="A970" s="1"/>
      <c r="B970" s="1"/>
      <c r="C970" s="1"/>
      <c r="D970" s="3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1.25" customHeight="1">
      <c r="A971" s="1"/>
      <c r="B971" s="1"/>
      <c r="C971" s="1"/>
      <c r="D971" s="3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1.25" customHeight="1">
      <c r="A972" s="1"/>
      <c r="B972" s="1"/>
      <c r="C972" s="1"/>
      <c r="D972" s="3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1.25" customHeight="1">
      <c r="A973" s="1"/>
      <c r="B973" s="1"/>
      <c r="C973" s="1"/>
      <c r="D973" s="3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1.25" customHeight="1">
      <c r="A974" s="1"/>
      <c r="B974" s="1"/>
      <c r="C974" s="1"/>
      <c r="D974" s="3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1.25" customHeight="1">
      <c r="A975" s="1"/>
      <c r="B975" s="1"/>
      <c r="C975" s="1"/>
      <c r="D975" s="3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1.25" customHeight="1">
      <c r="A976" s="1"/>
      <c r="B976" s="1"/>
      <c r="C976" s="1"/>
      <c r="D976" s="3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1.25" customHeight="1">
      <c r="A977" s="1"/>
      <c r="B977" s="1"/>
      <c r="C977" s="1"/>
      <c r="D977" s="3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1.25" customHeight="1">
      <c r="A978" s="1"/>
      <c r="B978" s="1"/>
      <c r="C978" s="1"/>
      <c r="D978" s="3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1.25" customHeight="1">
      <c r="A979" s="1"/>
      <c r="B979" s="1"/>
      <c r="C979" s="1"/>
      <c r="D979" s="3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1.25" customHeight="1">
      <c r="A980" s="1"/>
      <c r="B980" s="1"/>
      <c r="C980" s="1"/>
      <c r="D980" s="3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1.25" customHeight="1">
      <c r="A981" s="1"/>
      <c r="B981" s="1"/>
      <c r="C981" s="1"/>
      <c r="D981" s="3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1.25" customHeight="1">
      <c r="A982" s="1"/>
      <c r="B982" s="1"/>
      <c r="C982" s="1"/>
      <c r="D982" s="3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1.25" customHeight="1">
      <c r="A983" s="1"/>
      <c r="B983" s="1"/>
      <c r="C983" s="1"/>
      <c r="D983" s="3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1.25" customHeight="1">
      <c r="A984" s="1"/>
      <c r="B984" s="1"/>
      <c r="C984" s="1"/>
      <c r="D984" s="3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1.25" customHeight="1">
      <c r="A985" s="1"/>
      <c r="B985" s="1"/>
      <c r="C985" s="1"/>
      <c r="D985" s="3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1.25" customHeight="1">
      <c r="A986" s="1"/>
      <c r="B986" s="1"/>
      <c r="C986" s="1"/>
      <c r="D986" s="3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1.25" customHeight="1">
      <c r="A987" s="1"/>
      <c r="B987" s="1"/>
      <c r="C987" s="1"/>
      <c r="D987" s="3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1.25" customHeight="1">
      <c r="A988" s="1"/>
      <c r="B988" s="1"/>
      <c r="C988" s="1"/>
      <c r="D988" s="3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1.25" customHeight="1">
      <c r="A989" s="1"/>
      <c r="B989" s="1"/>
      <c r="C989" s="1"/>
      <c r="D989" s="3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1.25" customHeight="1">
      <c r="A990" s="1"/>
      <c r="B990" s="1"/>
      <c r="C990" s="1"/>
      <c r="D990" s="3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1.25" customHeight="1">
      <c r="A991" s="1"/>
      <c r="B991" s="1"/>
      <c r="C991" s="1"/>
      <c r="D991" s="3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1.25" customHeight="1">
      <c r="A992" s="1"/>
      <c r="B992" s="1"/>
      <c r="C992" s="1"/>
      <c r="D992" s="3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1.25" customHeight="1">
      <c r="A993" s="1"/>
      <c r="B993" s="1"/>
      <c r="C993" s="1"/>
      <c r="D993" s="3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1.25" customHeight="1">
      <c r="A994" s="1"/>
      <c r="B994" s="1"/>
      <c r="C994" s="1"/>
      <c r="D994" s="3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1.25" customHeight="1">
      <c r="A995" s="1"/>
      <c r="B995" s="1"/>
      <c r="C995" s="1"/>
      <c r="D995" s="3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1.25" customHeight="1">
      <c r="A996" s="1"/>
      <c r="B996" s="1"/>
      <c r="C996" s="1"/>
      <c r="D996" s="3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1.25" customHeight="1">
      <c r="A997" s="1"/>
      <c r="B997" s="1"/>
      <c r="C997" s="1"/>
      <c r="D997" s="3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1.25" customHeight="1">
      <c r="A998" s="1"/>
      <c r="B998" s="1"/>
      <c r="C998" s="1"/>
      <c r="D998" s="3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1.25" customHeight="1">
      <c r="A999" s="1"/>
      <c r="B999" s="1"/>
      <c r="C999" s="1"/>
      <c r="D999" s="3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1.25" customHeight="1">
      <c r="A1000" s="1"/>
      <c r="B1000" s="1"/>
      <c r="C1000" s="1"/>
      <c r="D1000" s="3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>
      <pane xSplit="4.0" topLeftCell="E1" activePane="topRight" state="frozen"/>
      <selection activeCell="F2" sqref="F2" pane="topRight"/>
    </sheetView>
  </sheetViews>
  <sheetFormatPr customHeight="1" defaultColWidth="12.63" defaultRowHeight="15.0"/>
  <cols>
    <col customWidth="1" min="1" max="1" width="8.88"/>
    <col customWidth="1" min="2" max="251" width="5.25"/>
    <col customWidth="1" hidden="1" min="252" max="256" width="2.63"/>
  </cols>
  <sheetData>
    <row r="1" ht="23.25" customHeight="1">
      <c r="A1" s="13" t="s">
        <v>116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</row>
    <row r="2" ht="23.25" customHeight="1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</row>
    <row r="3" ht="46.5" customHeight="1">
      <c r="A3" s="17" t="s">
        <v>117</v>
      </c>
      <c r="B3" s="18" t="s">
        <v>8</v>
      </c>
      <c r="C3" s="18" t="s">
        <v>14</v>
      </c>
      <c r="D3" s="18" t="s">
        <v>16</v>
      </c>
      <c r="E3" s="18" t="s">
        <v>19</v>
      </c>
      <c r="F3" s="18" t="s">
        <v>20</v>
      </c>
      <c r="G3" s="18" t="s">
        <v>21</v>
      </c>
      <c r="H3" s="18" t="s">
        <v>22</v>
      </c>
      <c r="I3" s="18" t="s">
        <v>23</v>
      </c>
      <c r="J3" s="18" t="s">
        <v>24</v>
      </c>
      <c r="K3" s="18" t="s">
        <v>25</v>
      </c>
      <c r="L3" s="18" t="s">
        <v>26</v>
      </c>
      <c r="M3" s="18" t="s">
        <v>27</v>
      </c>
      <c r="N3" s="18" t="s">
        <v>28</v>
      </c>
      <c r="O3" s="18" t="s">
        <v>29</v>
      </c>
      <c r="P3" s="18" t="s">
        <v>30</v>
      </c>
      <c r="Q3" s="18" t="s">
        <v>31</v>
      </c>
      <c r="R3" s="18" t="s">
        <v>32</v>
      </c>
      <c r="S3" s="18" t="s">
        <v>33</v>
      </c>
      <c r="T3" s="18" t="s">
        <v>34</v>
      </c>
      <c r="U3" s="18" t="s">
        <v>35</v>
      </c>
      <c r="V3" s="18" t="s">
        <v>36</v>
      </c>
      <c r="W3" s="18" t="s">
        <v>37</v>
      </c>
      <c r="X3" s="18" t="s">
        <v>38</v>
      </c>
      <c r="Y3" s="18" t="s">
        <v>39</v>
      </c>
      <c r="Z3" s="18" t="s">
        <v>40</v>
      </c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 t="s">
        <v>19</v>
      </c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20"/>
      <c r="IS3" s="20"/>
      <c r="IT3" s="20"/>
      <c r="IU3" s="20"/>
      <c r="IV3" s="20"/>
    </row>
    <row r="4" ht="11.25" customHeight="1">
      <c r="A4" s="21">
        <v>1.0</v>
      </c>
      <c r="B4" s="22">
        <v>1.0</v>
      </c>
      <c r="C4" s="22">
        <v>1.0</v>
      </c>
      <c r="D4" s="22">
        <v>1.0</v>
      </c>
      <c r="E4" s="22">
        <v>1.0</v>
      </c>
      <c r="F4" s="22">
        <v>1.0</v>
      </c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</row>
    <row r="5" ht="11.25" customHeight="1">
      <c r="A5" s="21">
        <v>2.0</v>
      </c>
      <c r="B5" s="22">
        <v>2.0</v>
      </c>
      <c r="C5" s="22">
        <v>2.0</v>
      </c>
      <c r="D5" s="22">
        <v>2.0</v>
      </c>
      <c r="E5" s="22">
        <v>2.0</v>
      </c>
      <c r="F5" s="22">
        <v>2.0</v>
      </c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</row>
    <row r="6" ht="11.25" customHeight="1">
      <c r="A6" s="21">
        <v>3.0</v>
      </c>
      <c r="B6" s="22">
        <v>1.0</v>
      </c>
      <c r="C6" s="22">
        <v>1.0</v>
      </c>
      <c r="D6" s="22">
        <v>1.0</v>
      </c>
      <c r="E6" s="22">
        <v>1.0</v>
      </c>
      <c r="F6" s="22">
        <v>1.0</v>
      </c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  <c r="DT6" s="23"/>
      <c r="DU6" s="23"/>
      <c r="DV6" s="23"/>
      <c r="DW6" s="23"/>
      <c r="DX6" s="23"/>
      <c r="DY6" s="23"/>
      <c r="DZ6" s="23"/>
      <c r="EA6" s="23"/>
      <c r="EB6" s="23"/>
      <c r="EC6" s="23"/>
      <c r="ED6" s="23"/>
      <c r="EE6" s="23"/>
      <c r="EF6" s="23"/>
      <c r="EG6" s="23"/>
      <c r="EH6" s="23"/>
      <c r="EI6" s="23"/>
      <c r="EJ6" s="23"/>
      <c r="EK6" s="23"/>
      <c r="EL6" s="23"/>
      <c r="EM6" s="23"/>
      <c r="EN6" s="23"/>
      <c r="EO6" s="23"/>
      <c r="EP6" s="23"/>
      <c r="EQ6" s="23"/>
      <c r="ER6" s="23"/>
      <c r="ES6" s="23"/>
      <c r="ET6" s="23"/>
      <c r="EU6" s="23"/>
      <c r="EV6" s="23"/>
      <c r="EW6" s="23"/>
      <c r="EX6" s="23"/>
      <c r="EY6" s="23"/>
      <c r="EZ6" s="23"/>
      <c r="FA6" s="23"/>
      <c r="FB6" s="23"/>
      <c r="FC6" s="23"/>
      <c r="FD6" s="23"/>
      <c r="FE6" s="23"/>
      <c r="FF6" s="23"/>
      <c r="FG6" s="23"/>
      <c r="FH6" s="23"/>
      <c r="FI6" s="23"/>
      <c r="FJ6" s="23"/>
      <c r="FK6" s="23"/>
      <c r="FL6" s="23"/>
      <c r="FM6" s="23"/>
      <c r="FN6" s="23"/>
      <c r="FO6" s="23"/>
      <c r="FP6" s="23"/>
      <c r="FQ6" s="23"/>
      <c r="FR6" s="23"/>
      <c r="FS6" s="23"/>
      <c r="FT6" s="23"/>
      <c r="FU6" s="23"/>
      <c r="FV6" s="23"/>
      <c r="FW6" s="23"/>
      <c r="FX6" s="23"/>
      <c r="FY6" s="23"/>
      <c r="FZ6" s="23"/>
      <c r="GA6" s="23"/>
      <c r="GB6" s="23"/>
      <c r="GC6" s="23"/>
      <c r="GD6" s="23"/>
      <c r="GE6" s="23"/>
      <c r="GF6" s="23"/>
      <c r="GG6" s="23"/>
      <c r="GH6" s="23"/>
      <c r="GI6" s="23"/>
      <c r="GJ6" s="23"/>
      <c r="GK6" s="23"/>
      <c r="GL6" s="23"/>
      <c r="GM6" s="23"/>
      <c r="GN6" s="23"/>
      <c r="GO6" s="23"/>
      <c r="GP6" s="23"/>
      <c r="GQ6" s="23"/>
      <c r="GR6" s="23"/>
      <c r="GS6" s="23"/>
      <c r="GT6" s="23"/>
      <c r="GU6" s="23"/>
      <c r="GV6" s="23"/>
      <c r="GW6" s="23"/>
      <c r="GX6" s="23"/>
      <c r="GY6" s="23"/>
      <c r="GZ6" s="23"/>
      <c r="HA6" s="23"/>
      <c r="HB6" s="23"/>
      <c r="HC6" s="23"/>
      <c r="HD6" s="23"/>
      <c r="HE6" s="23"/>
      <c r="HF6" s="23"/>
      <c r="HG6" s="23"/>
      <c r="HH6" s="23"/>
      <c r="HI6" s="23"/>
      <c r="HJ6" s="23"/>
      <c r="HK6" s="23"/>
      <c r="HL6" s="23"/>
      <c r="HM6" s="23"/>
      <c r="HN6" s="23"/>
      <c r="HO6" s="23"/>
      <c r="HP6" s="23"/>
      <c r="HQ6" s="23"/>
      <c r="HR6" s="23"/>
      <c r="HS6" s="23"/>
      <c r="HT6" s="23"/>
      <c r="HU6" s="23"/>
      <c r="HV6" s="23"/>
      <c r="HW6" s="23"/>
      <c r="HX6" s="23"/>
      <c r="HY6" s="23"/>
      <c r="HZ6" s="23"/>
      <c r="IA6" s="23"/>
      <c r="IB6" s="23"/>
      <c r="IC6" s="23"/>
      <c r="ID6" s="23"/>
      <c r="IE6" s="23"/>
      <c r="IF6" s="23"/>
      <c r="IG6" s="23"/>
      <c r="IH6" s="23"/>
      <c r="II6" s="23"/>
      <c r="IJ6" s="23"/>
      <c r="IK6" s="23"/>
      <c r="IL6" s="23"/>
      <c r="IM6" s="23"/>
      <c r="IN6" s="23"/>
      <c r="IO6" s="23"/>
      <c r="IP6" s="23"/>
      <c r="IQ6" s="23"/>
      <c r="IR6" s="23"/>
      <c r="IS6" s="23"/>
      <c r="IT6" s="23"/>
      <c r="IU6" s="23"/>
      <c r="IV6" s="23"/>
    </row>
    <row r="7" ht="11.25" customHeight="1">
      <c r="A7" s="21">
        <v>4.0</v>
      </c>
      <c r="B7" s="22">
        <v>2.0</v>
      </c>
      <c r="C7" s="22">
        <v>2.0</v>
      </c>
      <c r="D7" s="22">
        <v>2.0</v>
      </c>
      <c r="E7" s="22">
        <v>2.0</v>
      </c>
      <c r="F7" s="22">
        <v>2.0</v>
      </c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3"/>
      <c r="ED7" s="23"/>
      <c r="EE7" s="23"/>
      <c r="EF7" s="23"/>
      <c r="EG7" s="23"/>
      <c r="EH7" s="23"/>
      <c r="EI7" s="23"/>
      <c r="EJ7" s="23"/>
      <c r="EK7" s="23"/>
      <c r="EL7" s="23"/>
      <c r="EM7" s="23"/>
      <c r="EN7" s="23"/>
      <c r="EO7" s="23"/>
      <c r="EP7" s="23"/>
      <c r="EQ7" s="23"/>
      <c r="ER7" s="23"/>
      <c r="ES7" s="23"/>
      <c r="ET7" s="23"/>
      <c r="EU7" s="23"/>
      <c r="EV7" s="23"/>
      <c r="EW7" s="23"/>
      <c r="EX7" s="23"/>
      <c r="EY7" s="23"/>
      <c r="EZ7" s="23"/>
      <c r="FA7" s="23"/>
      <c r="FB7" s="23"/>
      <c r="FC7" s="23"/>
      <c r="FD7" s="23"/>
      <c r="FE7" s="23"/>
      <c r="FF7" s="23"/>
      <c r="FG7" s="23"/>
      <c r="FH7" s="23"/>
      <c r="FI7" s="23"/>
      <c r="FJ7" s="23"/>
      <c r="FK7" s="23"/>
      <c r="FL7" s="23"/>
      <c r="FM7" s="23"/>
      <c r="FN7" s="23"/>
      <c r="FO7" s="23"/>
      <c r="FP7" s="23"/>
      <c r="FQ7" s="23"/>
      <c r="FR7" s="23"/>
      <c r="FS7" s="23"/>
      <c r="FT7" s="23"/>
      <c r="FU7" s="23"/>
      <c r="FV7" s="23"/>
      <c r="FW7" s="23"/>
      <c r="FX7" s="23"/>
      <c r="FY7" s="23"/>
      <c r="FZ7" s="23"/>
      <c r="GA7" s="23"/>
      <c r="GB7" s="23"/>
      <c r="GC7" s="23"/>
      <c r="GD7" s="23"/>
      <c r="GE7" s="23"/>
      <c r="GF7" s="23"/>
      <c r="GG7" s="23"/>
      <c r="GH7" s="23"/>
      <c r="GI7" s="23"/>
      <c r="GJ7" s="23"/>
      <c r="GK7" s="23"/>
      <c r="GL7" s="23"/>
      <c r="GM7" s="23"/>
      <c r="GN7" s="23"/>
      <c r="GO7" s="23"/>
      <c r="GP7" s="23"/>
      <c r="GQ7" s="23"/>
      <c r="GR7" s="23"/>
      <c r="GS7" s="23"/>
      <c r="GT7" s="23"/>
      <c r="GU7" s="23"/>
      <c r="GV7" s="23"/>
      <c r="GW7" s="23"/>
      <c r="GX7" s="23"/>
      <c r="GY7" s="23"/>
      <c r="GZ7" s="23"/>
      <c r="HA7" s="23"/>
      <c r="HB7" s="23"/>
      <c r="HC7" s="23"/>
      <c r="HD7" s="23"/>
      <c r="HE7" s="23"/>
      <c r="HF7" s="23"/>
      <c r="HG7" s="23"/>
      <c r="HH7" s="23"/>
      <c r="HI7" s="23"/>
      <c r="HJ7" s="23"/>
      <c r="HK7" s="23"/>
      <c r="HL7" s="23"/>
      <c r="HM7" s="23"/>
      <c r="HN7" s="23"/>
      <c r="HO7" s="23"/>
      <c r="HP7" s="23"/>
      <c r="HQ7" s="23"/>
      <c r="HR7" s="23"/>
      <c r="HS7" s="23"/>
      <c r="HT7" s="23"/>
      <c r="HU7" s="23"/>
      <c r="HV7" s="23"/>
      <c r="HW7" s="23"/>
      <c r="HX7" s="23"/>
      <c r="HY7" s="23"/>
      <c r="HZ7" s="23"/>
      <c r="IA7" s="23"/>
      <c r="IB7" s="23"/>
      <c r="IC7" s="23"/>
      <c r="ID7" s="23"/>
      <c r="IE7" s="23"/>
      <c r="IF7" s="23"/>
      <c r="IG7" s="23"/>
      <c r="IH7" s="23"/>
      <c r="II7" s="23"/>
      <c r="IJ7" s="23"/>
      <c r="IK7" s="23"/>
      <c r="IL7" s="23"/>
      <c r="IM7" s="23"/>
      <c r="IN7" s="23"/>
      <c r="IO7" s="23"/>
      <c r="IP7" s="23"/>
      <c r="IQ7" s="23"/>
      <c r="IR7" s="23"/>
      <c r="IS7" s="23"/>
      <c r="IT7" s="23"/>
      <c r="IU7" s="23"/>
      <c r="IV7" s="23"/>
    </row>
    <row r="8" ht="11.25" customHeight="1">
      <c r="A8" s="21">
        <v>5.0</v>
      </c>
      <c r="B8" s="22">
        <v>2.0</v>
      </c>
      <c r="C8" s="22">
        <v>2.0</v>
      </c>
      <c r="D8" s="22">
        <v>2.0</v>
      </c>
      <c r="E8" s="22">
        <v>2.0</v>
      </c>
      <c r="F8" s="22">
        <v>2.0</v>
      </c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/>
      <c r="FG8" s="23"/>
      <c r="FH8" s="23"/>
      <c r="FI8" s="23"/>
      <c r="FJ8" s="23"/>
      <c r="FK8" s="23"/>
      <c r="FL8" s="23"/>
      <c r="FM8" s="23"/>
      <c r="FN8" s="23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/>
      <c r="GE8" s="23"/>
      <c r="GF8" s="23"/>
      <c r="GG8" s="23"/>
      <c r="GH8" s="23"/>
      <c r="GI8" s="23"/>
      <c r="GJ8" s="23"/>
      <c r="GK8" s="23"/>
      <c r="GL8" s="23"/>
      <c r="GM8" s="23"/>
      <c r="GN8" s="23"/>
      <c r="GO8" s="23"/>
      <c r="GP8" s="23"/>
      <c r="GQ8" s="23"/>
      <c r="GR8" s="23"/>
      <c r="GS8" s="23"/>
      <c r="GT8" s="23"/>
      <c r="GU8" s="23"/>
      <c r="GV8" s="23"/>
      <c r="GW8" s="23"/>
      <c r="GX8" s="23"/>
      <c r="GY8" s="23"/>
      <c r="GZ8" s="23"/>
      <c r="HA8" s="23"/>
      <c r="HB8" s="23"/>
      <c r="HC8" s="23"/>
      <c r="HD8" s="23"/>
      <c r="HE8" s="23"/>
      <c r="HF8" s="23"/>
      <c r="HG8" s="23"/>
      <c r="HH8" s="23"/>
      <c r="HI8" s="23"/>
      <c r="HJ8" s="23"/>
      <c r="HK8" s="23"/>
      <c r="HL8" s="23"/>
      <c r="HM8" s="23"/>
      <c r="HN8" s="23"/>
      <c r="HO8" s="23"/>
      <c r="HP8" s="23"/>
      <c r="HQ8" s="23"/>
      <c r="HR8" s="23"/>
      <c r="HS8" s="23"/>
      <c r="HT8" s="23"/>
      <c r="HU8" s="23"/>
      <c r="HV8" s="23"/>
      <c r="HW8" s="23"/>
      <c r="HX8" s="23"/>
      <c r="HY8" s="23"/>
      <c r="HZ8" s="23"/>
      <c r="IA8" s="23"/>
      <c r="IB8" s="23"/>
      <c r="IC8" s="23"/>
      <c r="ID8" s="23"/>
      <c r="IE8" s="23"/>
      <c r="IF8" s="23"/>
      <c r="IG8" s="23"/>
      <c r="IH8" s="23"/>
      <c r="II8" s="23"/>
      <c r="IJ8" s="23"/>
      <c r="IK8" s="23"/>
      <c r="IL8" s="23"/>
      <c r="IM8" s="23"/>
      <c r="IN8" s="23"/>
      <c r="IO8" s="23"/>
      <c r="IP8" s="23"/>
      <c r="IQ8" s="23"/>
      <c r="IR8" s="23"/>
      <c r="IS8" s="23"/>
      <c r="IT8" s="23"/>
      <c r="IU8" s="23"/>
      <c r="IV8" s="23"/>
    </row>
    <row r="9" ht="11.25" customHeight="1">
      <c r="A9" s="21">
        <v>6.0</v>
      </c>
      <c r="B9" s="22">
        <v>1.0</v>
      </c>
      <c r="C9" s="22">
        <v>1.0</v>
      </c>
      <c r="D9" s="22">
        <v>1.0</v>
      </c>
      <c r="E9" s="22">
        <v>1.0</v>
      </c>
      <c r="F9" s="22">
        <v>1.0</v>
      </c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3"/>
      <c r="ED9" s="23"/>
      <c r="EE9" s="23"/>
      <c r="EF9" s="23"/>
      <c r="EG9" s="23"/>
      <c r="EH9" s="23"/>
      <c r="EI9" s="23"/>
      <c r="EJ9" s="23"/>
      <c r="EK9" s="23"/>
      <c r="EL9" s="23"/>
      <c r="EM9" s="23"/>
      <c r="EN9" s="23"/>
      <c r="EO9" s="23"/>
      <c r="EP9" s="23"/>
      <c r="EQ9" s="23"/>
      <c r="ER9" s="23"/>
      <c r="ES9" s="23"/>
      <c r="ET9" s="23"/>
      <c r="EU9" s="23"/>
      <c r="EV9" s="23"/>
      <c r="EW9" s="23"/>
      <c r="EX9" s="23"/>
      <c r="EY9" s="23"/>
      <c r="EZ9" s="23"/>
      <c r="FA9" s="23"/>
      <c r="FB9" s="23"/>
      <c r="FC9" s="23"/>
      <c r="FD9" s="23"/>
      <c r="FE9" s="23"/>
      <c r="FF9" s="23"/>
      <c r="FG9" s="23"/>
      <c r="FH9" s="23"/>
      <c r="FI9" s="23"/>
      <c r="FJ9" s="23"/>
      <c r="FK9" s="23"/>
      <c r="FL9" s="23"/>
      <c r="FM9" s="23"/>
      <c r="FN9" s="23"/>
      <c r="FO9" s="23"/>
      <c r="FP9" s="23"/>
      <c r="FQ9" s="23"/>
      <c r="FR9" s="23"/>
      <c r="FS9" s="23"/>
      <c r="FT9" s="23"/>
      <c r="FU9" s="23"/>
      <c r="FV9" s="23"/>
      <c r="FW9" s="23"/>
      <c r="FX9" s="23"/>
      <c r="FY9" s="23"/>
      <c r="FZ9" s="23"/>
      <c r="GA9" s="23"/>
      <c r="GB9" s="23"/>
      <c r="GC9" s="23"/>
      <c r="GD9" s="23"/>
      <c r="GE9" s="23"/>
      <c r="GF9" s="23"/>
      <c r="GG9" s="23"/>
      <c r="GH9" s="23"/>
      <c r="GI9" s="23"/>
      <c r="GJ9" s="23"/>
      <c r="GK9" s="23"/>
      <c r="GL9" s="23"/>
      <c r="GM9" s="23"/>
      <c r="GN9" s="23"/>
      <c r="GO9" s="23"/>
      <c r="GP9" s="23"/>
      <c r="GQ9" s="23"/>
      <c r="GR9" s="23"/>
      <c r="GS9" s="23"/>
      <c r="GT9" s="23"/>
      <c r="GU9" s="23"/>
      <c r="GV9" s="23"/>
      <c r="GW9" s="23"/>
      <c r="GX9" s="23"/>
      <c r="GY9" s="23"/>
      <c r="GZ9" s="23"/>
      <c r="HA9" s="23"/>
      <c r="HB9" s="23"/>
      <c r="HC9" s="23"/>
      <c r="HD9" s="23"/>
      <c r="HE9" s="23"/>
      <c r="HF9" s="23"/>
      <c r="HG9" s="23"/>
      <c r="HH9" s="23"/>
      <c r="HI9" s="23"/>
      <c r="HJ9" s="23"/>
      <c r="HK9" s="23"/>
      <c r="HL9" s="23"/>
      <c r="HM9" s="23"/>
      <c r="HN9" s="23"/>
      <c r="HO9" s="23"/>
      <c r="HP9" s="23"/>
      <c r="HQ9" s="23"/>
      <c r="HR9" s="23"/>
      <c r="HS9" s="23"/>
      <c r="HT9" s="23"/>
      <c r="HU9" s="23"/>
      <c r="HV9" s="23"/>
      <c r="HW9" s="23"/>
      <c r="HX9" s="23"/>
      <c r="HY9" s="23"/>
      <c r="HZ9" s="23"/>
      <c r="IA9" s="23"/>
      <c r="IB9" s="23"/>
      <c r="IC9" s="23"/>
      <c r="ID9" s="23"/>
      <c r="IE9" s="23"/>
      <c r="IF9" s="23"/>
      <c r="IG9" s="23"/>
      <c r="IH9" s="23"/>
      <c r="II9" s="23"/>
      <c r="IJ9" s="23"/>
      <c r="IK9" s="23"/>
      <c r="IL9" s="23"/>
      <c r="IM9" s="23"/>
      <c r="IN9" s="23"/>
      <c r="IO9" s="23"/>
      <c r="IP9" s="23"/>
      <c r="IQ9" s="23"/>
      <c r="IR9" s="23"/>
      <c r="IS9" s="23"/>
      <c r="IT9" s="23"/>
      <c r="IU9" s="23"/>
      <c r="IV9" s="23"/>
    </row>
    <row r="10" ht="11.25" customHeight="1">
      <c r="A10" s="21">
        <v>7.0</v>
      </c>
      <c r="B10" s="22">
        <v>1.0</v>
      </c>
      <c r="C10" s="22">
        <v>1.0</v>
      </c>
      <c r="D10" s="22">
        <v>1.0</v>
      </c>
      <c r="E10" s="22">
        <v>1.0</v>
      </c>
      <c r="F10" s="22">
        <v>1.0</v>
      </c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3"/>
      <c r="ED10" s="23"/>
      <c r="EE10" s="23"/>
      <c r="EF10" s="23"/>
      <c r="EG10" s="23"/>
      <c r="EH10" s="23"/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3"/>
      <c r="EU10" s="23"/>
      <c r="EV10" s="23"/>
      <c r="EW10" s="23"/>
      <c r="EX10" s="23"/>
      <c r="EY10" s="23"/>
      <c r="EZ10" s="23"/>
      <c r="FA10" s="23"/>
      <c r="FB10" s="23"/>
      <c r="FC10" s="23"/>
      <c r="FD10" s="23"/>
      <c r="FE10" s="23"/>
      <c r="FF10" s="23"/>
      <c r="FG10" s="23"/>
      <c r="FH10" s="23"/>
      <c r="FI10" s="23"/>
      <c r="FJ10" s="23"/>
      <c r="FK10" s="23"/>
      <c r="FL10" s="23"/>
      <c r="FM10" s="23"/>
      <c r="FN10" s="23"/>
      <c r="FO10" s="23"/>
      <c r="FP10" s="23"/>
      <c r="FQ10" s="23"/>
      <c r="FR10" s="23"/>
      <c r="FS10" s="23"/>
      <c r="FT10" s="23"/>
      <c r="FU10" s="23"/>
      <c r="FV10" s="23"/>
      <c r="FW10" s="23"/>
      <c r="FX10" s="23"/>
      <c r="FY10" s="23"/>
      <c r="FZ10" s="23"/>
      <c r="GA10" s="23"/>
      <c r="GB10" s="23"/>
      <c r="GC10" s="23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</row>
    <row r="11" ht="11.25" customHeight="1">
      <c r="A11" s="21">
        <v>8.0</v>
      </c>
      <c r="B11" s="22">
        <v>1.0</v>
      </c>
      <c r="C11" s="22">
        <v>1.0</v>
      </c>
      <c r="D11" s="22">
        <v>1.0</v>
      </c>
      <c r="E11" s="22">
        <v>1.0</v>
      </c>
      <c r="F11" s="22">
        <v>1.0</v>
      </c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/>
      <c r="FL11" s="23"/>
      <c r="FM11" s="23"/>
      <c r="FN11" s="23"/>
      <c r="FO11" s="23"/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</row>
    <row r="12" ht="11.25" customHeight="1">
      <c r="A12" s="21">
        <v>9.0</v>
      </c>
      <c r="B12" s="22">
        <v>1.0</v>
      </c>
      <c r="C12" s="22">
        <v>1.0</v>
      </c>
      <c r="D12" s="22">
        <v>1.0</v>
      </c>
      <c r="E12" s="22">
        <v>1.0</v>
      </c>
      <c r="F12" s="22">
        <v>1.0</v>
      </c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</row>
    <row r="13" ht="11.25" customHeight="1">
      <c r="A13" s="21">
        <v>10.0</v>
      </c>
      <c r="B13" s="22">
        <v>1.0</v>
      </c>
      <c r="C13" s="22">
        <v>1.0</v>
      </c>
      <c r="D13" s="22">
        <v>1.0</v>
      </c>
      <c r="E13" s="22">
        <v>1.0</v>
      </c>
      <c r="F13" s="22">
        <v>1.0</v>
      </c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3"/>
      <c r="FM13" s="23"/>
      <c r="FN13" s="23"/>
      <c r="FO13" s="23"/>
      <c r="FP13" s="23"/>
      <c r="FQ13" s="23"/>
      <c r="FR13" s="23"/>
      <c r="FS13" s="23"/>
      <c r="FT13" s="23"/>
      <c r="FU13" s="23"/>
      <c r="FV13" s="23"/>
      <c r="FW13" s="23"/>
      <c r="FX13" s="23"/>
      <c r="FY13" s="23"/>
      <c r="FZ13" s="23"/>
      <c r="GA13" s="23"/>
      <c r="GB13" s="23"/>
      <c r="GC13" s="23"/>
      <c r="GD13" s="23"/>
      <c r="GE13" s="23"/>
      <c r="GF13" s="23"/>
      <c r="GG13" s="23"/>
      <c r="GH13" s="23"/>
      <c r="GI13" s="23"/>
      <c r="GJ13" s="23"/>
      <c r="GK13" s="23"/>
      <c r="GL13" s="23"/>
      <c r="GM13" s="23"/>
      <c r="GN13" s="23"/>
      <c r="GO13" s="23"/>
      <c r="GP13" s="23"/>
      <c r="GQ13" s="23"/>
      <c r="GR13" s="23"/>
      <c r="GS13" s="23"/>
      <c r="GT13" s="23"/>
      <c r="GU13" s="23"/>
      <c r="GV13" s="23"/>
      <c r="GW13" s="23"/>
      <c r="GX13" s="23"/>
      <c r="GY13" s="23"/>
      <c r="GZ13" s="23"/>
      <c r="HA13" s="23"/>
      <c r="HB13" s="23"/>
      <c r="HC13" s="23"/>
      <c r="HD13" s="23"/>
      <c r="HE13" s="23"/>
      <c r="HF13" s="23"/>
      <c r="HG13" s="23"/>
      <c r="HH13" s="23"/>
      <c r="HI13" s="23"/>
      <c r="HJ13" s="23"/>
      <c r="HK13" s="23"/>
      <c r="HL13" s="23"/>
      <c r="HM13" s="23"/>
      <c r="HN13" s="23"/>
      <c r="HO13" s="23"/>
      <c r="HP13" s="23"/>
      <c r="HQ13" s="23"/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  <c r="IL13" s="23"/>
      <c r="IM13" s="23"/>
      <c r="IN13" s="23"/>
      <c r="IO13" s="23"/>
      <c r="IP13" s="23"/>
      <c r="IQ13" s="23"/>
      <c r="IR13" s="23"/>
      <c r="IS13" s="23"/>
      <c r="IT13" s="23"/>
      <c r="IU13" s="23"/>
      <c r="IV13" s="23"/>
    </row>
    <row r="14" ht="11.25" customHeight="1">
      <c r="A14" s="21">
        <v>11.0</v>
      </c>
      <c r="B14" s="22">
        <v>1.0</v>
      </c>
      <c r="C14" s="22">
        <v>1.0</v>
      </c>
      <c r="D14" s="22">
        <v>1.0</v>
      </c>
      <c r="E14" s="22">
        <v>1.0</v>
      </c>
      <c r="F14" s="22">
        <v>1.0</v>
      </c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3"/>
      <c r="ED14" s="23"/>
      <c r="EE14" s="23"/>
      <c r="EF14" s="23"/>
      <c r="EG14" s="23"/>
      <c r="EH14" s="23"/>
      <c r="EI14" s="23"/>
      <c r="EJ14" s="23"/>
      <c r="EK14" s="23"/>
      <c r="EL14" s="23"/>
      <c r="EM14" s="23"/>
      <c r="EN14" s="23"/>
      <c r="EO14" s="23"/>
      <c r="EP14" s="23"/>
      <c r="EQ14" s="23"/>
      <c r="ER14" s="23"/>
      <c r="ES14" s="23"/>
      <c r="ET14" s="23"/>
      <c r="EU14" s="23"/>
      <c r="EV14" s="23"/>
      <c r="EW14" s="23"/>
      <c r="EX14" s="23"/>
      <c r="EY14" s="23"/>
      <c r="EZ14" s="23"/>
      <c r="FA14" s="23"/>
      <c r="FB14" s="23"/>
      <c r="FC14" s="23"/>
      <c r="FD14" s="23"/>
      <c r="FE14" s="23"/>
      <c r="FF14" s="23"/>
      <c r="FG14" s="23"/>
      <c r="FH14" s="23"/>
      <c r="FI14" s="23"/>
      <c r="FJ14" s="23"/>
      <c r="FK14" s="23"/>
      <c r="FL14" s="23"/>
      <c r="FM14" s="23"/>
      <c r="FN14" s="23"/>
      <c r="FO14" s="23"/>
      <c r="FP14" s="23"/>
      <c r="FQ14" s="23"/>
      <c r="FR14" s="23"/>
      <c r="FS14" s="23"/>
      <c r="FT14" s="23"/>
      <c r="FU14" s="23"/>
      <c r="FV14" s="23"/>
      <c r="FW14" s="23"/>
      <c r="FX14" s="23"/>
      <c r="FY14" s="23"/>
      <c r="FZ14" s="23"/>
      <c r="GA14" s="23"/>
      <c r="GB14" s="23"/>
      <c r="GC14" s="23"/>
      <c r="GD14" s="23"/>
      <c r="GE14" s="23"/>
      <c r="GF14" s="23"/>
      <c r="GG14" s="23"/>
      <c r="GH14" s="23"/>
      <c r="GI14" s="23"/>
      <c r="GJ14" s="23"/>
      <c r="GK14" s="23"/>
      <c r="GL14" s="23"/>
      <c r="GM14" s="23"/>
      <c r="GN14" s="23"/>
      <c r="GO14" s="23"/>
      <c r="GP14" s="23"/>
      <c r="GQ14" s="23"/>
      <c r="GR14" s="23"/>
      <c r="GS14" s="23"/>
      <c r="GT14" s="23"/>
      <c r="GU14" s="23"/>
      <c r="GV14" s="23"/>
      <c r="GW14" s="23"/>
      <c r="GX14" s="23"/>
      <c r="GY14" s="23"/>
      <c r="GZ14" s="23"/>
      <c r="HA14" s="23"/>
      <c r="HB14" s="23"/>
      <c r="HC14" s="23"/>
      <c r="HD14" s="23"/>
      <c r="HE14" s="23"/>
      <c r="HF14" s="23"/>
      <c r="HG14" s="23"/>
      <c r="HH14" s="23"/>
      <c r="HI14" s="23"/>
      <c r="HJ14" s="23"/>
      <c r="HK14" s="23"/>
      <c r="HL14" s="23"/>
      <c r="HM14" s="23"/>
      <c r="HN14" s="23"/>
      <c r="HO14" s="23"/>
      <c r="HP14" s="23"/>
      <c r="HQ14" s="23"/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  <c r="IL14" s="23"/>
      <c r="IM14" s="23"/>
      <c r="IN14" s="23"/>
      <c r="IO14" s="23"/>
      <c r="IP14" s="23"/>
      <c r="IQ14" s="23"/>
      <c r="IR14" s="23"/>
      <c r="IS14" s="23"/>
      <c r="IT14" s="23"/>
      <c r="IU14" s="23"/>
      <c r="IV14" s="23"/>
    </row>
    <row r="15" ht="11.25" customHeight="1">
      <c r="A15" s="21">
        <v>12.0</v>
      </c>
      <c r="B15" s="22">
        <v>1.0</v>
      </c>
      <c r="C15" s="22">
        <v>1.0</v>
      </c>
      <c r="D15" s="22">
        <v>1.0</v>
      </c>
      <c r="E15" s="22">
        <v>1.0</v>
      </c>
      <c r="F15" s="22">
        <v>1.0</v>
      </c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3"/>
      <c r="EL15" s="23"/>
      <c r="EM15" s="23"/>
      <c r="EN15" s="23"/>
      <c r="EO15" s="23"/>
      <c r="EP15" s="23"/>
      <c r="EQ15" s="23"/>
      <c r="ER15" s="23"/>
      <c r="ES15" s="23"/>
      <c r="ET15" s="23"/>
      <c r="EU15" s="23"/>
      <c r="EV15" s="23"/>
      <c r="EW15" s="23"/>
      <c r="EX15" s="23"/>
      <c r="EY15" s="23"/>
      <c r="EZ15" s="23"/>
      <c r="FA15" s="23"/>
      <c r="FB15" s="23"/>
      <c r="FC15" s="23"/>
      <c r="FD15" s="23"/>
      <c r="FE15" s="23"/>
      <c r="FF15" s="23"/>
      <c r="FG15" s="23"/>
      <c r="FH15" s="23"/>
      <c r="FI15" s="23"/>
      <c r="FJ15" s="23"/>
      <c r="FK15" s="23"/>
      <c r="FL15" s="23"/>
      <c r="FM15" s="23"/>
      <c r="FN15" s="23"/>
      <c r="FO15" s="23"/>
      <c r="FP15" s="23"/>
      <c r="FQ15" s="23"/>
      <c r="FR15" s="23"/>
      <c r="FS15" s="23"/>
      <c r="FT15" s="23"/>
      <c r="FU15" s="23"/>
      <c r="FV15" s="23"/>
      <c r="FW15" s="23"/>
      <c r="FX15" s="23"/>
      <c r="FY15" s="23"/>
      <c r="FZ15" s="23"/>
      <c r="GA15" s="23"/>
      <c r="GB15" s="23"/>
      <c r="GC15" s="23"/>
      <c r="GD15" s="23"/>
      <c r="GE15" s="23"/>
      <c r="GF15" s="23"/>
      <c r="GG15" s="23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3"/>
      <c r="GT15" s="23"/>
      <c r="GU15" s="23"/>
      <c r="GV15" s="23"/>
      <c r="GW15" s="23"/>
      <c r="GX15" s="23"/>
      <c r="GY15" s="23"/>
      <c r="GZ15" s="23"/>
      <c r="HA15" s="23"/>
      <c r="HB15" s="23"/>
      <c r="HC15" s="23"/>
      <c r="HD15" s="23"/>
      <c r="HE15" s="23"/>
      <c r="HF15" s="23"/>
      <c r="HG15" s="23"/>
      <c r="HH15" s="23"/>
      <c r="HI15" s="23"/>
      <c r="HJ15" s="23"/>
      <c r="HK15" s="23"/>
      <c r="HL15" s="23"/>
      <c r="HM15" s="23"/>
      <c r="HN15" s="23"/>
      <c r="HO15" s="23"/>
      <c r="HP15" s="23"/>
      <c r="HQ15" s="23"/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23"/>
      <c r="IC15" s="23"/>
      <c r="ID15" s="23"/>
      <c r="IE15" s="23"/>
      <c r="IF15" s="23"/>
      <c r="IG15" s="23"/>
      <c r="IH15" s="23"/>
      <c r="II15" s="23"/>
      <c r="IJ15" s="23"/>
      <c r="IK15" s="23"/>
      <c r="IL15" s="23"/>
      <c r="IM15" s="23"/>
      <c r="IN15" s="23"/>
      <c r="IO15" s="23"/>
      <c r="IP15" s="23"/>
      <c r="IQ15" s="23"/>
      <c r="IR15" s="23"/>
      <c r="IS15" s="23"/>
      <c r="IT15" s="23"/>
      <c r="IU15" s="23"/>
      <c r="IV15" s="23"/>
    </row>
    <row r="16" ht="11.25" customHeight="1">
      <c r="A16" s="21">
        <v>13.0</v>
      </c>
      <c r="B16" s="22">
        <v>2.0</v>
      </c>
      <c r="C16" s="22">
        <v>2.0</v>
      </c>
      <c r="D16" s="22">
        <v>2.0</v>
      </c>
      <c r="E16" s="22">
        <v>2.0</v>
      </c>
      <c r="F16" s="22">
        <v>2.0</v>
      </c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3"/>
      <c r="FM16" s="23"/>
      <c r="FN16" s="23"/>
      <c r="FO16" s="23"/>
      <c r="FP16" s="23"/>
      <c r="FQ16" s="23"/>
      <c r="FR16" s="23"/>
      <c r="FS16" s="23"/>
      <c r="FT16" s="23"/>
      <c r="FU16" s="23"/>
      <c r="FV16" s="23"/>
      <c r="FW16" s="23"/>
      <c r="FX16" s="23"/>
      <c r="FY16" s="23"/>
      <c r="FZ16" s="23"/>
      <c r="GA16" s="23"/>
      <c r="GB16" s="23"/>
      <c r="GC16" s="23"/>
      <c r="GD16" s="23"/>
      <c r="GE16" s="23"/>
      <c r="GF16" s="23"/>
      <c r="GG16" s="23"/>
      <c r="GH16" s="23"/>
      <c r="GI16" s="23"/>
      <c r="GJ16" s="23"/>
      <c r="GK16" s="23"/>
      <c r="GL16" s="23"/>
      <c r="GM16" s="23"/>
      <c r="GN16" s="23"/>
      <c r="GO16" s="23"/>
      <c r="GP16" s="23"/>
      <c r="GQ16" s="23"/>
      <c r="GR16" s="23"/>
      <c r="GS16" s="23"/>
      <c r="GT16" s="23"/>
      <c r="GU16" s="23"/>
      <c r="GV16" s="23"/>
      <c r="GW16" s="23"/>
      <c r="GX16" s="23"/>
      <c r="GY16" s="23"/>
      <c r="GZ16" s="23"/>
      <c r="HA16" s="23"/>
      <c r="HB16" s="23"/>
      <c r="HC16" s="23"/>
      <c r="HD16" s="23"/>
      <c r="HE16" s="23"/>
      <c r="HF16" s="23"/>
      <c r="HG16" s="23"/>
      <c r="HH16" s="23"/>
      <c r="HI16" s="23"/>
      <c r="HJ16" s="23"/>
      <c r="HK16" s="23"/>
      <c r="HL16" s="23"/>
      <c r="HM16" s="23"/>
      <c r="HN16" s="23"/>
      <c r="HO16" s="23"/>
      <c r="HP16" s="23"/>
      <c r="HQ16" s="23"/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  <c r="IL16" s="23"/>
      <c r="IM16" s="23"/>
      <c r="IN16" s="23"/>
      <c r="IO16" s="23"/>
      <c r="IP16" s="23"/>
      <c r="IQ16" s="23"/>
      <c r="IR16" s="23"/>
      <c r="IS16" s="23"/>
      <c r="IT16" s="23"/>
      <c r="IU16" s="23"/>
      <c r="IV16" s="23"/>
    </row>
    <row r="17" ht="11.25" customHeight="1">
      <c r="A17" s="21">
        <v>14.0</v>
      </c>
      <c r="B17" s="22">
        <v>1.0</v>
      </c>
      <c r="C17" s="22">
        <v>1.0</v>
      </c>
      <c r="D17" s="22">
        <v>1.0</v>
      </c>
      <c r="E17" s="22">
        <v>1.0</v>
      </c>
      <c r="F17" s="22">
        <v>1.0</v>
      </c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/>
      <c r="EL17" s="23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3"/>
      <c r="FV17" s="23"/>
      <c r="FW17" s="23"/>
      <c r="FX17" s="23"/>
      <c r="FY17" s="23"/>
      <c r="FZ17" s="23"/>
      <c r="GA17" s="23"/>
      <c r="GB17" s="23"/>
      <c r="GC17" s="23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</row>
    <row r="18" ht="11.25" customHeight="1">
      <c r="A18" s="21">
        <v>15.0</v>
      </c>
      <c r="B18" s="22">
        <v>2.0</v>
      </c>
      <c r="C18" s="22">
        <v>2.0</v>
      </c>
      <c r="D18" s="22">
        <v>2.0</v>
      </c>
      <c r="E18" s="22">
        <v>2.0</v>
      </c>
      <c r="F18" s="22">
        <v>2.0</v>
      </c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/>
      <c r="EO18" s="23"/>
      <c r="EP18" s="23"/>
      <c r="EQ18" s="23"/>
      <c r="ER18" s="23"/>
      <c r="ES18" s="23"/>
      <c r="ET18" s="23"/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/>
      <c r="FJ18" s="23"/>
      <c r="FK18" s="23"/>
      <c r="FL18" s="23"/>
      <c r="FM18" s="23"/>
      <c r="FN18" s="23"/>
      <c r="FO18" s="23"/>
      <c r="FP18" s="23"/>
      <c r="FQ18" s="23"/>
      <c r="FR18" s="23"/>
      <c r="FS18" s="23"/>
      <c r="FT18" s="23"/>
      <c r="FU18" s="23"/>
      <c r="FV18" s="23"/>
      <c r="FW18" s="23"/>
      <c r="FX18" s="23"/>
      <c r="FY18" s="23"/>
      <c r="FZ18" s="23"/>
      <c r="GA18" s="23"/>
      <c r="GB18" s="23"/>
      <c r="GC18" s="23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</row>
    <row r="19" ht="11.25" customHeight="1">
      <c r="A19" s="21">
        <v>16.0</v>
      </c>
      <c r="B19" s="22">
        <v>2.0</v>
      </c>
      <c r="C19" s="22">
        <v>2.0</v>
      </c>
      <c r="D19" s="22">
        <v>2.0</v>
      </c>
      <c r="E19" s="22">
        <v>2.0</v>
      </c>
      <c r="F19" s="22">
        <v>2.0</v>
      </c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</row>
    <row r="20" ht="11.25" customHeight="1">
      <c r="A20" s="21">
        <v>17.0</v>
      </c>
      <c r="B20" s="22">
        <v>1.0</v>
      </c>
      <c r="C20" s="22">
        <v>1.0</v>
      </c>
      <c r="D20" s="22">
        <v>1.0</v>
      </c>
      <c r="E20" s="22">
        <v>1.0</v>
      </c>
      <c r="F20" s="22">
        <v>1.0</v>
      </c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  <c r="FX20" s="23"/>
      <c r="FY20" s="23"/>
      <c r="FZ20" s="23"/>
      <c r="GA20" s="23"/>
      <c r="GB20" s="23"/>
      <c r="GC20" s="23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</row>
    <row r="21" ht="11.25" customHeight="1">
      <c r="A21" s="21">
        <v>18.0</v>
      </c>
      <c r="B21" s="22">
        <v>1.0</v>
      </c>
      <c r="C21" s="22">
        <v>1.0</v>
      </c>
      <c r="D21" s="22">
        <v>1.0</v>
      </c>
      <c r="E21" s="22">
        <v>1.0</v>
      </c>
      <c r="F21" s="22">
        <v>1.0</v>
      </c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/>
      <c r="EL21" s="23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3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3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3"/>
      <c r="FV21" s="23"/>
      <c r="FW21" s="23"/>
      <c r="FX21" s="23"/>
      <c r="FY21" s="23"/>
      <c r="FZ21" s="23"/>
      <c r="GA21" s="23"/>
      <c r="GB21" s="23"/>
      <c r="GC21" s="23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</row>
    <row r="22" ht="11.25" customHeight="1">
      <c r="A22" s="21">
        <v>19.0</v>
      </c>
      <c r="B22" s="22">
        <v>1.0</v>
      </c>
      <c r="C22" s="22">
        <v>1.0</v>
      </c>
      <c r="D22" s="22">
        <v>1.0</v>
      </c>
      <c r="E22" s="22">
        <v>1.0</v>
      </c>
      <c r="F22" s="22">
        <v>1.0</v>
      </c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</row>
    <row r="23" ht="11.25" customHeight="1">
      <c r="A23" s="21">
        <v>20.0</v>
      </c>
      <c r="B23" s="22">
        <v>1.0</v>
      </c>
      <c r="C23" s="22">
        <v>1.0</v>
      </c>
      <c r="D23" s="22">
        <v>1.0</v>
      </c>
      <c r="E23" s="22">
        <v>1.0</v>
      </c>
      <c r="F23" s="22">
        <v>1.0</v>
      </c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  <c r="FX23" s="23"/>
      <c r="FY23" s="23"/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</row>
    <row r="24" ht="11.25" customHeight="1">
      <c r="A24" s="21">
        <v>21.0</v>
      </c>
      <c r="B24" s="22">
        <v>1.0</v>
      </c>
      <c r="C24" s="22">
        <v>1.0</v>
      </c>
      <c r="D24" s="22">
        <v>1.0</v>
      </c>
      <c r="E24" s="22">
        <v>1.0</v>
      </c>
      <c r="F24" s="22">
        <v>1.0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23"/>
      <c r="FI24" s="23"/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3"/>
      <c r="FX24" s="23"/>
      <c r="FY24" s="23"/>
      <c r="FZ24" s="23"/>
      <c r="GA24" s="23"/>
      <c r="GB24" s="23"/>
      <c r="GC24" s="23"/>
      <c r="GD24" s="23"/>
      <c r="GE24" s="23"/>
      <c r="GF24" s="23"/>
      <c r="GG24" s="23"/>
      <c r="GH24" s="23"/>
      <c r="GI24" s="23"/>
      <c r="GJ24" s="23"/>
      <c r="GK24" s="23"/>
      <c r="GL24" s="23"/>
      <c r="GM24" s="23"/>
      <c r="GN24" s="23"/>
      <c r="GO24" s="23"/>
      <c r="GP24" s="23"/>
      <c r="GQ24" s="23"/>
      <c r="GR24" s="23"/>
      <c r="GS24" s="23"/>
      <c r="GT24" s="23"/>
      <c r="GU24" s="23"/>
      <c r="GV24" s="23"/>
      <c r="GW24" s="23"/>
      <c r="GX24" s="23"/>
      <c r="GY24" s="23"/>
      <c r="GZ24" s="23"/>
      <c r="HA24" s="23"/>
      <c r="HB24" s="23"/>
      <c r="HC24" s="23"/>
      <c r="HD24" s="23"/>
      <c r="HE24" s="23"/>
      <c r="HF24" s="23"/>
      <c r="HG24" s="23"/>
      <c r="HH24" s="23"/>
      <c r="HI24" s="23"/>
      <c r="HJ24" s="23"/>
      <c r="HK24" s="23"/>
      <c r="HL24" s="23"/>
      <c r="HM24" s="23"/>
      <c r="HN24" s="23"/>
      <c r="HO24" s="23"/>
      <c r="HP24" s="23"/>
      <c r="HQ24" s="23"/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  <c r="IL24" s="23"/>
      <c r="IM24" s="23"/>
      <c r="IN24" s="23"/>
      <c r="IO24" s="23"/>
      <c r="IP24" s="23"/>
      <c r="IQ24" s="23"/>
      <c r="IR24" s="23"/>
      <c r="IS24" s="23"/>
      <c r="IT24" s="23"/>
      <c r="IU24" s="23"/>
      <c r="IV24" s="23"/>
    </row>
    <row r="25" ht="11.25" customHeight="1">
      <c r="A25" s="21">
        <v>22.0</v>
      </c>
      <c r="B25" s="22">
        <v>1.0</v>
      </c>
      <c r="C25" s="22">
        <v>1.0</v>
      </c>
      <c r="D25" s="22">
        <v>1.0</v>
      </c>
      <c r="E25" s="22">
        <v>1.0</v>
      </c>
      <c r="F25" s="22">
        <v>1.0</v>
      </c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3"/>
      <c r="FV25" s="23"/>
      <c r="FW25" s="23"/>
      <c r="FX25" s="23"/>
      <c r="FY25" s="23"/>
      <c r="FZ25" s="23"/>
      <c r="GA25" s="23"/>
      <c r="GB25" s="23"/>
      <c r="GC25" s="23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</row>
    <row r="26" ht="11.25" customHeight="1">
      <c r="A26" s="21">
        <v>23.0</v>
      </c>
      <c r="B26" s="22">
        <v>1.0</v>
      </c>
      <c r="C26" s="22">
        <v>1.0</v>
      </c>
      <c r="D26" s="22">
        <v>1.0</v>
      </c>
      <c r="E26" s="22">
        <v>1.0</v>
      </c>
      <c r="F26" s="22">
        <v>1.0</v>
      </c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3"/>
      <c r="FU26" s="23"/>
      <c r="FV26" s="23"/>
      <c r="FW26" s="23"/>
      <c r="FX26" s="23"/>
      <c r="FY26" s="23"/>
      <c r="FZ26" s="23"/>
      <c r="GA26" s="23"/>
      <c r="GB26" s="23"/>
      <c r="GC26" s="23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</row>
    <row r="27" ht="11.25" customHeight="1">
      <c r="A27" s="21">
        <v>24.0</v>
      </c>
      <c r="B27" s="22">
        <v>2.0</v>
      </c>
      <c r="C27" s="22">
        <v>2.0</v>
      </c>
      <c r="D27" s="22">
        <v>2.0</v>
      </c>
      <c r="E27" s="22">
        <v>2.0</v>
      </c>
      <c r="F27" s="22">
        <v>2.0</v>
      </c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3"/>
      <c r="FU27" s="23"/>
      <c r="FV27" s="23"/>
      <c r="FW27" s="23"/>
      <c r="FX27" s="23"/>
      <c r="FY27" s="23"/>
      <c r="FZ27" s="23"/>
      <c r="GA27" s="23"/>
      <c r="GB27" s="23"/>
      <c r="GC27" s="23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</row>
    <row r="28" ht="11.25" customHeight="1">
      <c r="A28" s="21">
        <v>25.0</v>
      </c>
      <c r="B28" s="22">
        <v>1.0</v>
      </c>
      <c r="C28" s="22">
        <v>1.0</v>
      </c>
      <c r="D28" s="22">
        <v>1.0</v>
      </c>
      <c r="E28" s="22">
        <v>1.0</v>
      </c>
      <c r="F28" s="22">
        <v>1.0</v>
      </c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</row>
    <row r="29" ht="11.25" customHeight="1">
      <c r="A29" s="21">
        <v>26.0</v>
      </c>
      <c r="B29" s="22">
        <v>2.0</v>
      </c>
      <c r="C29" s="22">
        <v>2.0</v>
      </c>
      <c r="D29" s="22">
        <v>2.0</v>
      </c>
      <c r="E29" s="22">
        <v>2.0</v>
      </c>
      <c r="F29" s="22">
        <v>2.0</v>
      </c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3"/>
      <c r="FU29" s="23"/>
      <c r="FV29" s="23"/>
      <c r="FW29" s="23"/>
      <c r="FX29" s="23"/>
      <c r="FY29" s="23"/>
      <c r="FZ29" s="23"/>
      <c r="GA29" s="23"/>
      <c r="GB29" s="23"/>
      <c r="GC29" s="23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</row>
    <row r="30" ht="11.25" customHeight="1">
      <c r="A30" s="21">
        <v>27.0</v>
      </c>
      <c r="B30" s="22">
        <v>2.0</v>
      </c>
      <c r="C30" s="22">
        <v>2.0</v>
      </c>
      <c r="D30" s="22">
        <v>2.0</v>
      </c>
      <c r="E30" s="22">
        <v>2.0</v>
      </c>
      <c r="F30" s="22">
        <v>2.0</v>
      </c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  <c r="FX30" s="23"/>
      <c r="FY30" s="23"/>
      <c r="FZ30" s="23"/>
      <c r="GA30" s="23"/>
      <c r="GB30" s="23"/>
      <c r="GC30" s="23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</row>
    <row r="31" ht="11.25" customHeight="1">
      <c r="A31" s="21">
        <v>28.0</v>
      </c>
      <c r="B31" s="22">
        <v>1.0</v>
      </c>
      <c r="C31" s="22">
        <v>1.0</v>
      </c>
      <c r="D31" s="22">
        <v>1.0</v>
      </c>
      <c r="E31" s="22">
        <v>1.0</v>
      </c>
      <c r="F31" s="22">
        <v>1.0</v>
      </c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3"/>
      <c r="FU31" s="23"/>
      <c r="FV31" s="23"/>
      <c r="FW31" s="23"/>
      <c r="FX31" s="23"/>
      <c r="FY31" s="23"/>
      <c r="FZ31" s="23"/>
      <c r="GA31" s="23"/>
      <c r="GB31" s="23"/>
      <c r="GC31" s="23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  <c r="IL31" s="23"/>
      <c r="IM31" s="23"/>
      <c r="IN31" s="23"/>
      <c r="IO31" s="23"/>
      <c r="IP31" s="23"/>
      <c r="IQ31" s="23"/>
      <c r="IR31" s="23"/>
      <c r="IS31" s="23"/>
      <c r="IT31" s="23"/>
      <c r="IU31" s="23"/>
      <c r="IV31" s="23"/>
    </row>
    <row r="32" ht="11.25" customHeight="1">
      <c r="A32" s="21">
        <v>29.0</v>
      </c>
      <c r="B32" s="22">
        <v>1.0</v>
      </c>
      <c r="C32" s="22">
        <v>1.0</v>
      </c>
      <c r="D32" s="22">
        <v>1.0</v>
      </c>
      <c r="E32" s="22">
        <v>1.0</v>
      </c>
      <c r="F32" s="22">
        <v>1.0</v>
      </c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/>
      <c r="EL32" s="23"/>
      <c r="EM32" s="23"/>
      <c r="EN32" s="23"/>
      <c r="EO32" s="23"/>
      <c r="EP32" s="23"/>
      <c r="EQ32" s="23"/>
      <c r="ER32" s="23"/>
      <c r="ES32" s="23"/>
      <c r="ET32" s="23"/>
      <c r="EU32" s="23"/>
      <c r="EV32" s="23"/>
      <c r="EW32" s="23"/>
      <c r="EX32" s="23"/>
      <c r="EY32" s="23"/>
      <c r="EZ32" s="23"/>
      <c r="FA32" s="23"/>
      <c r="FB32" s="23"/>
      <c r="FC32" s="23"/>
      <c r="FD32" s="23"/>
      <c r="FE32" s="23"/>
      <c r="FF32" s="23"/>
      <c r="FG32" s="23"/>
      <c r="FH32" s="23"/>
      <c r="FI32" s="23"/>
      <c r="FJ32" s="23"/>
      <c r="FK32" s="23"/>
      <c r="FL32" s="23"/>
      <c r="FM32" s="23"/>
      <c r="FN32" s="23"/>
      <c r="FO32" s="23"/>
      <c r="FP32" s="23"/>
      <c r="FQ32" s="23"/>
      <c r="FR32" s="23"/>
      <c r="FS32" s="23"/>
      <c r="FT32" s="23"/>
      <c r="FU32" s="23"/>
      <c r="FV32" s="23"/>
      <c r="FW32" s="23"/>
      <c r="FX32" s="23"/>
      <c r="FY32" s="23"/>
      <c r="FZ32" s="23"/>
      <c r="GA32" s="23"/>
      <c r="GB32" s="23"/>
      <c r="GC32" s="23"/>
      <c r="GD32" s="23"/>
      <c r="GE32" s="23"/>
      <c r="GF32" s="23"/>
      <c r="GG32" s="23"/>
      <c r="GH32" s="23"/>
      <c r="GI32" s="23"/>
      <c r="GJ32" s="23"/>
      <c r="GK32" s="23"/>
      <c r="GL32" s="23"/>
      <c r="GM32" s="23"/>
      <c r="GN32" s="23"/>
      <c r="GO32" s="23"/>
      <c r="GP32" s="23"/>
      <c r="GQ32" s="23"/>
      <c r="GR32" s="23"/>
      <c r="GS32" s="23"/>
      <c r="GT32" s="23"/>
      <c r="GU32" s="23"/>
      <c r="GV32" s="23"/>
      <c r="GW32" s="23"/>
      <c r="GX32" s="23"/>
      <c r="GY32" s="23"/>
      <c r="GZ32" s="23"/>
      <c r="HA32" s="23"/>
      <c r="HB32" s="23"/>
      <c r="HC32" s="23"/>
      <c r="HD32" s="23"/>
      <c r="HE32" s="23"/>
      <c r="HF32" s="23"/>
      <c r="HG32" s="23"/>
      <c r="HH32" s="23"/>
      <c r="HI32" s="23"/>
      <c r="HJ32" s="23"/>
      <c r="HK32" s="23"/>
      <c r="HL32" s="23"/>
      <c r="HM32" s="23"/>
      <c r="HN32" s="23"/>
      <c r="HO32" s="23"/>
      <c r="HP32" s="23"/>
      <c r="HQ32" s="23"/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  <c r="IL32" s="23"/>
      <c r="IM32" s="23"/>
      <c r="IN32" s="23"/>
      <c r="IO32" s="23"/>
      <c r="IP32" s="23"/>
      <c r="IQ32" s="23"/>
      <c r="IR32" s="23"/>
      <c r="IS32" s="23"/>
      <c r="IT32" s="23"/>
      <c r="IU32" s="23"/>
      <c r="IV32" s="23"/>
    </row>
    <row r="33" ht="11.25" customHeight="1">
      <c r="A33" s="21">
        <v>30.0</v>
      </c>
      <c r="B33" s="22">
        <v>1.0</v>
      </c>
      <c r="C33" s="22">
        <v>1.0</v>
      </c>
      <c r="D33" s="22">
        <v>1.0</v>
      </c>
      <c r="E33" s="22">
        <v>1.0</v>
      </c>
      <c r="F33" s="22">
        <v>1.0</v>
      </c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3"/>
      <c r="FU33" s="23"/>
      <c r="FV33" s="23"/>
      <c r="FW33" s="23"/>
      <c r="FX33" s="23"/>
      <c r="FY33" s="23"/>
      <c r="FZ33" s="23"/>
      <c r="GA33" s="23"/>
      <c r="GB33" s="23"/>
      <c r="GC33" s="23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</row>
    <row r="34" ht="11.25" customHeight="1">
      <c r="A34" s="21">
        <v>31.0</v>
      </c>
      <c r="B34" s="22">
        <v>1.0</v>
      </c>
      <c r="C34" s="22">
        <v>1.0</v>
      </c>
      <c r="D34" s="22">
        <v>1.0</v>
      </c>
      <c r="E34" s="22">
        <v>1.0</v>
      </c>
      <c r="F34" s="22">
        <v>1.0</v>
      </c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3"/>
      <c r="FU34" s="23"/>
      <c r="FV34" s="23"/>
      <c r="FW34" s="23"/>
      <c r="FX34" s="23"/>
      <c r="FY34" s="23"/>
      <c r="FZ34" s="23"/>
      <c r="GA34" s="23"/>
      <c r="GB34" s="23"/>
      <c r="GC34" s="23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</row>
    <row r="35" ht="11.25" customHeight="1">
      <c r="A35" s="21">
        <v>32.0</v>
      </c>
      <c r="B35" s="22">
        <v>1.0</v>
      </c>
      <c r="C35" s="22">
        <v>1.0</v>
      </c>
      <c r="D35" s="22">
        <v>1.0</v>
      </c>
      <c r="E35" s="22">
        <v>1.0</v>
      </c>
      <c r="F35" s="22">
        <v>1.0</v>
      </c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3"/>
      <c r="FU35" s="23"/>
      <c r="FV35" s="23"/>
      <c r="FW35" s="23"/>
      <c r="FX35" s="23"/>
      <c r="FY35" s="23"/>
      <c r="FZ35" s="23"/>
      <c r="GA35" s="23"/>
      <c r="GB35" s="23"/>
      <c r="GC35" s="23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</row>
    <row r="36" ht="11.25" customHeight="1">
      <c r="A36" s="21">
        <v>33.0</v>
      </c>
      <c r="B36" s="22">
        <v>1.0</v>
      </c>
      <c r="C36" s="22">
        <v>1.0</v>
      </c>
      <c r="D36" s="22">
        <v>1.0</v>
      </c>
      <c r="E36" s="22">
        <v>1.0</v>
      </c>
      <c r="F36" s="22">
        <v>1.0</v>
      </c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23"/>
      <c r="EZ36" s="23"/>
      <c r="FA36" s="23"/>
      <c r="FB36" s="23"/>
      <c r="FC36" s="23"/>
      <c r="FD36" s="23"/>
      <c r="FE36" s="23"/>
      <c r="FF36" s="23"/>
      <c r="FG36" s="23"/>
      <c r="FH36" s="23"/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23"/>
      <c r="FZ36" s="23"/>
      <c r="GA36" s="23"/>
      <c r="GB36" s="23"/>
      <c r="GC36" s="23"/>
      <c r="GD36" s="23"/>
      <c r="GE36" s="23"/>
      <c r="GF36" s="23"/>
      <c r="GG36" s="23"/>
      <c r="GH36" s="23"/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23"/>
      <c r="GZ36" s="23"/>
      <c r="HA36" s="23"/>
      <c r="HB36" s="23"/>
      <c r="HC36" s="23"/>
      <c r="HD36" s="23"/>
      <c r="HE36" s="23"/>
      <c r="HF36" s="23"/>
      <c r="HG36" s="23"/>
      <c r="HH36" s="23"/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</row>
    <row r="37" ht="11.25" customHeight="1">
      <c r="A37" s="21">
        <v>34.0</v>
      </c>
      <c r="B37" s="22">
        <v>1.0</v>
      </c>
      <c r="C37" s="22">
        <v>1.0</v>
      </c>
      <c r="D37" s="22">
        <v>1.0</v>
      </c>
      <c r="E37" s="22">
        <v>1.0</v>
      </c>
      <c r="F37" s="22">
        <v>1.0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/>
      <c r="EL37" s="23"/>
      <c r="EM37" s="23"/>
      <c r="EN37" s="23"/>
      <c r="EO37" s="23"/>
      <c r="EP37" s="23"/>
      <c r="EQ37" s="23"/>
      <c r="ER37" s="23"/>
      <c r="ES37" s="23"/>
      <c r="ET37" s="23"/>
      <c r="EU37" s="23"/>
      <c r="EV37" s="23"/>
      <c r="EW37" s="23"/>
      <c r="EX37" s="23"/>
      <c r="EY37" s="23"/>
      <c r="EZ37" s="23"/>
      <c r="FA37" s="23"/>
      <c r="FB37" s="23"/>
      <c r="FC37" s="23"/>
      <c r="FD37" s="23"/>
      <c r="FE37" s="23"/>
      <c r="FF37" s="23"/>
      <c r="FG37" s="23"/>
      <c r="FH37" s="23"/>
      <c r="FI37" s="23"/>
      <c r="FJ37" s="23"/>
      <c r="FK37" s="23"/>
      <c r="FL37" s="23"/>
      <c r="FM37" s="23"/>
      <c r="FN37" s="23"/>
      <c r="FO37" s="23"/>
      <c r="FP37" s="23"/>
      <c r="FQ37" s="23"/>
      <c r="FR37" s="23"/>
      <c r="FS37" s="23"/>
      <c r="FT37" s="23"/>
      <c r="FU37" s="23"/>
      <c r="FV37" s="23"/>
      <c r="FW37" s="23"/>
      <c r="FX37" s="23"/>
      <c r="FY37" s="23"/>
      <c r="FZ37" s="23"/>
      <c r="GA37" s="23"/>
      <c r="GB37" s="23"/>
      <c r="GC37" s="23"/>
      <c r="GD37" s="23"/>
      <c r="GE37" s="23"/>
      <c r="GF37" s="23"/>
      <c r="GG37" s="23"/>
      <c r="GH37" s="23"/>
      <c r="GI37" s="23"/>
      <c r="GJ37" s="23"/>
      <c r="GK37" s="23"/>
      <c r="GL37" s="23"/>
      <c r="GM37" s="23"/>
      <c r="GN37" s="23"/>
      <c r="GO37" s="23"/>
      <c r="GP37" s="23"/>
      <c r="GQ37" s="23"/>
      <c r="GR37" s="23"/>
      <c r="GS37" s="23"/>
      <c r="GT37" s="23"/>
      <c r="GU37" s="23"/>
      <c r="GV37" s="23"/>
      <c r="GW37" s="23"/>
      <c r="GX37" s="23"/>
      <c r="GY37" s="23"/>
      <c r="GZ37" s="23"/>
      <c r="HA37" s="23"/>
      <c r="HB37" s="23"/>
      <c r="HC37" s="23"/>
      <c r="HD37" s="23"/>
      <c r="HE37" s="23"/>
      <c r="HF37" s="23"/>
      <c r="HG37" s="23"/>
      <c r="HH37" s="23"/>
      <c r="HI37" s="23"/>
      <c r="HJ37" s="23"/>
      <c r="HK37" s="23"/>
      <c r="HL37" s="23"/>
      <c r="HM37" s="23"/>
      <c r="HN37" s="23"/>
      <c r="HO37" s="23"/>
      <c r="HP37" s="23"/>
      <c r="HQ37" s="23"/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  <c r="IL37" s="23"/>
      <c r="IM37" s="23"/>
      <c r="IN37" s="23"/>
      <c r="IO37" s="23"/>
      <c r="IP37" s="23"/>
      <c r="IQ37" s="23"/>
      <c r="IR37" s="23"/>
      <c r="IS37" s="23"/>
      <c r="IT37" s="23"/>
      <c r="IU37" s="23"/>
      <c r="IV37" s="23"/>
    </row>
    <row r="38" ht="11.25" customHeight="1">
      <c r="A38" s="21">
        <v>35.0</v>
      </c>
      <c r="B38" s="22">
        <v>2.0</v>
      </c>
      <c r="C38" s="22">
        <v>2.0</v>
      </c>
      <c r="D38" s="22">
        <v>2.0</v>
      </c>
      <c r="E38" s="22">
        <v>2.0</v>
      </c>
      <c r="F38" s="22">
        <v>2.0</v>
      </c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3"/>
      <c r="FU38" s="23"/>
      <c r="FV38" s="23"/>
      <c r="FW38" s="23"/>
      <c r="FX38" s="23"/>
      <c r="FY38" s="23"/>
      <c r="FZ38" s="23"/>
      <c r="GA38" s="23"/>
      <c r="GB38" s="23"/>
      <c r="GC38" s="23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3"/>
      <c r="GY38" s="23"/>
      <c r="GZ38" s="23"/>
      <c r="HA38" s="23"/>
      <c r="HB38" s="23"/>
      <c r="HC38" s="23"/>
      <c r="HD38" s="23"/>
      <c r="HE38" s="23"/>
      <c r="HF38" s="23"/>
      <c r="HG38" s="23"/>
      <c r="HH38" s="23"/>
      <c r="HI38" s="23"/>
      <c r="HJ38" s="23"/>
      <c r="HK38" s="23"/>
      <c r="HL38" s="23"/>
      <c r="HM38" s="23"/>
      <c r="HN38" s="23"/>
      <c r="HO38" s="23"/>
      <c r="HP38" s="23"/>
      <c r="HQ38" s="23"/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  <c r="IL38" s="23"/>
      <c r="IM38" s="23"/>
      <c r="IN38" s="23"/>
      <c r="IO38" s="23"/>
      <c r="IP38" s="23"/>
      <c r="IQ38" s="23"/>
      <c r="IR38" s="23"/>
      <c r="IS38" s="23"/>
      <c r="IT38" s="23"/>
      <c r="IU38" s="23"/>
      <c r="IV38" s="23"/>
    </row>
    <row r="39" ht="11.25" customHeight="1">
      <c r="A39" s="21">
        <v>36.0</v>
      </c>
      <c r="B39" s="22">
        <v>1.0</v>
      </c>
      <c r="C39" s="22">
        <v>1.0</v>
      </c>
      <c r="D39" s="22">
        <v>1.0</v>
      </c>
      <c r="E39" s="22">
        <v>1.0</v>
      </c>
      <c r="F39" s="22">
        <v>1.0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23"/>
      <c r="EE39" s="23"/>
      <c r="EF39" s="23"/>
      <c r="EG39" s="23"/>
      <c r="EH39" s="23"/>
      <c r="EI39" s="23"/>
      <c r="EJ39" s="23"/>
      <c r="EK39" s="23"/>
      <c r="EL39" s="23"/>
      <c r="EM39" s="23"/>
      <c r="EN39" s="23"/>
      <c r="EO39" s="23"/>
      <c r="EP39" s="23"/>
      <c r="EQ39" s="23"/>
      <c r="ER39" s="23"/>
      <c r="ES39" s="23"/>
      <c r="ET39" s="23"/>
      <c r="EU39" s="23"/>
      <c r="EV39" s="23"/>
      <c r="EW39" s="23"/>
      <c r="EX39" s="23"/>
      <c r="EY39" s="23"/>
      <c r="EZ39" s="23"/>
      <c r="FA39" s="23"/>
      <c r="FB39" s="23"/>
      <c r="FC39" s="23"/>
      <c r="FD39" s="23"/>
      <c r="FE39" s="23"/>
      <c r="FF39" s="23"/>
      <c r="FG39" s="23"/>
      <c r="FH39" s="23"/>
      <c r="FI39" s="23"/>
      <c r="FJ39" s="23"/>
      <c r="FK39" s="23"/>
      <c r="FL39" s="23"/>
      <c r="FM39" s="23"/>
      <c r="FN39" s="23"/>
      <c r="FO39" s="23"/>
      <c r="FP39" s="23"/>
      <c r="FQ39" s="23"/>
      <c r="FR39" s="23"/>
      <c r="FS39" s="23"/>
      <c r="FT39" s="23"/>
      <c r="FU39" s="23"/>
      <c r="FV39" s="23"/>
      <c r="FW39" s="23"/>
      <c r="FX39" s="23"/>
      <c r="FY39" s="23"/>
      <c r="FZ39" s="23"/>
      <c r="GA39" s="23"/>
      <c r="GB39" s="23"/>
      <c r="GC39" s="23"/>
      <c r="GD39" s="23"/>
      <c r="GE39" s="23"/>
      <c r="GF39" s="23"/>
      <c r="GG39" s="23"/>
      <c r="GH39" s="23"/>
      <c r="GI39" s="23"/>
      <c r="GJ39" s="23"/>
      <c r="GK39" s="23"/>
      <c r="GL39" s="23"/>
      <c r="GM39" s="23"/>
      <c r="GN39" s="23"/>
      <c r="GO39" s="23"/>
      <c r="GP39" s="23"/>
      <c r="GQ39" s="23"/>
      <c r="GR39" s="23"/>
      <c r="GS39" s="23"/>
      <c r="GT39" s="23"/>
      <c r="GU39" s="23"/>
      <c r="GV39" s="23"/>
      <c r="GW39" s="23"/>
      <c r="GX39" s="23"/>
      <c r="GY39" s="23"/>
      <c r="GZ39" s="23"/>
      <c r="HA39" s="23"/>
      <c r="HB39" s="23"/>
      <c r="HC39" s="23"/>
      <c r="HD39" s="23"/>
      <c r="HE39" s="23"/>
      <c r="HF39" s="23"/>
      <c r="HG39" s="23"/>
      <c r="HH39" s="23"/>
      <c r="HI39" s="23"/>
      <c r="HJ39" s="23"/>
      <c r="HK39" s="23"/>
      <c r="HL39" s="23"/>
      <c r="HM39" s="23"/>
      <c r="HN39" s="23"/>
      <c r="HO39" s="23"/>
      <c r="HP39" s="23"/>
      <c r="HQ39" s="23"/>
      <c r="HR39" s="23"/>
      <c r="HS39" s="23"/>
      <c r="HT39" s="23"/>
      <c r="HU39" s="23"/>
      <c r="HV39" s="23"/>
      <c r="HW39" s="23"/>
      <c r="HX39" s="23"/>
      <c r="HY39" s="23"/>
      <c r="HZ39" s="23"/>
      <c r="IA39" s="23"/>
      <c r="IB39" s="23"/>
      <c r="IC39" s="23"/>
      <c r="ID39" s="23"/>
      <c r="IE39" s="23"/>
      <c r="IF39" s="23"/>
      <c r="IG39" s="23"/>
      <c r="IH39" s="23"/>
      <c r="II39" s="23"/>
      <c r="IJ39" s="23"/>
      <c r="IK39" s="23"/>
      <c r="IL39" s="23"/>
      <c r="IM39" s="23"/>
      <c r="IN39" s="23"/>
      <c r="IO39" s="23"/>
      <c r="IP39" s="23"/>
      <c r="IQ39" s="23"/>
      <c r="IR39" s="23"/>
      <c r="IS39" s="23"/>
      <c r="IT39" s="23"/>
      <c r="IU39" s="23"/>
      <c r="IV39" s="23"/>
    </row>
    <row r="40" ht="11.25" customHeight="1">
      <c r="A40" s="21">
        <v>37.0</v>
      </c>
      <c r="B40" s="22">
        <v>2.0</v>
      </c>
      <c r="C40" s="22">
        <v>2.0</v>
      </c>
      <c r="D40" s="22">
        <v>2.0</v>
      </c>
      <c r="E40" s="22">
        <v>2.0</v>
      </c>
      <c r="F40" s="22">
        <v>2.0</v>
      </c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V40" s="23"/>
      <c r="DW40" s="23"/>
      <c r="DX40" s="23"/>
      <c r="DY40" s="23"/>
      <c r="DZ40" s="23"/>
      <c r="EA40" s="23"/>
      <c r="EB40" s="23"/>
      <c r="EC40" s="23"/>
      <c r="ED40" s="23"/>
      <c r="EE40" s="23"/>
      <c r="EF40" s="23"/>
      <c r="EG40" s="23"/>
      <c r="EH40" s="23"/>
      <c r="EI40" s="23"/>
      <c r="EJ40" s="23"/>
      <c r="EK40" s="23"/>
      <c r="EL40" s="23"/>
      <c r="EM40" s="23"/>
      <c r="EN40" s="23"/>
      <c r="EO40" s="23"/>
      <c r="EP40" s="23"/>
      <c r="EQ40" s="23"/>
      <c r="ER40" s="23"/>
      <c r="ES40" s="23"/>
      <c r="ET40" s="23"/>
      <c r="EU40" s="23"/>
      <c r="EV40" s="23"/>
      <c r="EW40" s="23"/>
      <c r="EX40" s="23"/>
      <c r="EY40" s="23"/>
      <c r="EZ40" s="23"/>
      <c r="FA40" s="23"/>
      <c r="FB40" s="23"/>
      <c r="FC40" s="23"/>
      <c r="FD40" s="23"/>
      <c r="FE40" s="23"/>
      <c r="FF40" s="23"/>
      <c r="FG40" s="23"/>
      <c r="FH40" s="23"/>
      <c r="FI40" s="23"/>
      <c r="FJ40" s="23"/>
      <c r="FK40" s="23"/>
      <c r="FL40" s="23"/>
      <c r="FM40" s="23"/>
      <c r="FN40" s="23"/>
      <c r="FO40" s="23"/>
      <c r="FP40" s="23"/>
      <c r="FQ40" s="23"/>
      <c r="FR40" s="23"/>
      <c r="FS40" s="23"/>
      <c r="FT40" s="23"/>
      <c r="FU40" s="23"/>
      <c r="FV40" s="23"/>
      <c r="FW40" s="23"/>
      <c r="FX40" s="23"/>
      <c r="FY40" s="23"/>
      <c r="FZ40" s="23"/>
      <c r="GA40" s="23"/>
      <c r="GB40" s="23"/>
      <c r="GC40" s="23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3"/>
      <c r="GY40" s="23"/>
      <c r="GZ40" s="23"/>
      <c r="HA40" s="23"/>
      <c r="HB40" s="23"/>
      <c r="HC40" s="23"/>
      <c r="HD40" s="23"/>
      <c r="HE40" s="23"/>
      <c r="HF40" s="23"/>
      <c r="HG40" s="23"/>
      <c r="HH40" s="23"/>
      <c r="HI40" s="23"/>
      <c r="HJ40" s="23"/>
      <c r="HK40" s="23"/>
      <c r="HL40" s="23"/>
      <c r="HM40" s="23"/>
      <c r="HN40" s="23"/>
      <c r="HO40" s="23"/>
      <c r="HP40" s="23"/>
      <c r="HQ40" s="23"/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  <c r="IL40" s="23"/>
      <c r="IM40" s="23"/>
      <c r="IN40" s="23"/>
      <c r="IO40" s="23"/>
      <c r="IP40" s="23"/>
      <c r="IQ40" s="23"/>
      <c r="IR40" s="23"/>
      <c r="IS40" s="23"/>
      <c r="IT40" s="23"/>
      <c r="IU40" s="23"/>
      <c r="IV40" s="23"/>
    </row>
    <row r="41" ht="11.25" customHeight="1">
      <c r="A41" s="21">
        <v>38.0</v>
      </c>
      <c r="B41" s="22">
        <v>2.0</v>
      </c>
      <c r="C41" s="22">
        <v>2.0</v>
      </c>
      <c r="D41" s="22">
        <v>2.0</v>
      </c>
      <c r="E41" s="22">
        <v>2.0</v>
      </c>
      <c r="F41" s="22">
        <v>2.0</v>
      </c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V41" s="23"/>
      <c r="DW41" s="23"/>
      <c r="DX41" s="23"/>
      <c r="DY41" s="23"/>
      <c r="DZ41" s="23"/>
      <c r="EA41" s="23"/>
      <c r="EB41" s="23"/>
      <c r="EC41" s="23"/>
      <c r="ED41" s="23"/>
      <c r="EE41" s="23"/>
      <c r="EF41" s="23"/>
      <c r="EG41" s="23"/>
      <c r="EH41" s="23"/>
      <c r="EI41" s="23"/>
      <c r="EJ41" s="23"/>
      <c r="EK41" s="23"/>
      <c r="EL41" s="23"/>
      <c r="EM41" s="23"/>
      <c r="EN41" s="23"/>
      <c r="EO41" s="23"/>
      <c r="EP41" s="23"/>
      <c r="EQ41" s="23"/>
      <c r="ER41" s="23"/>
      <c r="ES41" s="23"/>
      <c r="ET41" s="23"/>
      <c r="EU41" s="23"/>
      <c r="EV41" s="23"/>
      <c r="EW41" s="23"/>
      <c r="EX41" s="23"/>
      <c r="EY41" s="23"/>
      <c r="EZ41" s="23"/>
      <c r="FA41" s="23"/>
      <c r="FB41" s="23"/>
      <c r="FC41" s="23"/>
      <c r="FD41" s="23"/>
      <c r="FE41" s="23"/>
      <c r="FF41" s="23"/>
      <c r="FG41" s="23"/>
      <c r="FH41" s="23"/>
      <c r="FI41" s="23"/>
      <c r="FJ41" s="23"/>
      <c r="FK41" s="23"/>
      <c r="FL41" s="23"/>
      <c r="FM41" s="23"/>
      <c r="FN41" s="23"/>
      <c r="FO41" s="23"/>
      <c r="FP41" s="23"/>
      <c r="FQ41" s="23"/>
      <c r="FR41" s="23"/>
      <c r="FS41" s="23"/>
      <c r="FT41" s="23"/>
      <c r="FU41" s="23"/>
      <c r="FV41" s="23"/>
      <c r="FW41" s="23"/>
      <c r="FX41" s="23"/>
      <c r="FY41" s="23"/>
      <c r="FZ41" s="23"/>
      <c r="GA41" s="23"/>
      <c r="GB41" s="23"/>
      <c r="GC41" s="23"/>
      <c r="GD41" s="23"/>
      <c r="GE41" s="23"/>
      <c r="GF41" s="23"/>
      <c r="GG41" s="23"/>
      <c r="GH41" s="23"/>
      <c r="GI41" s="23"/>
      <c r="GJ41" s="23"/>
      <c r="GK41" s="23"/>
      <c r="GL41" s="23"/>
      <c r="GM41" s="23"/>
      <c r="GN41" s="23"/>
      <c r="GO41" s="23"/>
      <c r="GP41" s="23"/>
      <c r="GQ41" s="23"/>
      <c r="GR41" s="23"/>
      <c r="GS41" s="23"/>
      <c r="GT41" s="23"/>
      <c r="GU41" s="23"/>
      <c r="GV41" s="23"/>
      <c r="GW41" s="23"/>
      <c r="GX41" s="23"/>
      <c r="GY41" s="23"/>
      <c r="GZ41" s="23"/>
      <c r="HA41" s="23"/>
      <c r="HB41" s="23"/>
      <c r="HC41" s="23"/>
      <c r="HD41" s="23"/>
      <c r="HE41" s="23"/>
      <c r="HF41" s="23"/>
      <c r="HG41" s="23"/>
      <c r="HH41" s="23"/>
      <c r="HI41" s="23"/>
      <c r="HJ41" s="23"/>
      <c r="HK41" s="23"/>
      <c r="HL41" s="23"/>
      <c r="HM41" s="23"/>
      <c r="HN41" s="23"/>
      <c r="HO41" s="23"/>
      <c r="HP41" s="23"/>
      <c r="HQ41" s="23"/>
      <c r="HR41" s="23"/>
      <c r="HS41" s="23"/>
      <c r="HT41" s="23"/>
      <c r="HU41" s="23"/>
      <c r="HV41" s="23"/>
      <c r="HW41" s="23"/>
      <c r="HX41" s="23"/>
      <c r="HY41" s="23"/>
      <c r="HZ41" s="23"/>
      <c r="IA41" s="23"/>
      <c r="IB41" s="23"/>
      <c r="IC41" s="23"/>
      <c r="ID41" s="23"/>
      <c r="IE41" s="23"/>
      <c r="IF41" s="23"/>
      <c r="IG41" s="23"/>
      <c r="IH41" s="23"/>
      <c r="II41" s="23"/>
      <c r="IJ41" s="23"/>
      <c r="IK41" s="23"/>
      <c r="IL41" s="23"/>
      <c r="IM41" s="23"/>
      <c r="IN41" s="23"/>
      <c r="IO41" s="23"/>
      <c r="IP41" s="23"/>
      <c r="IQ41" s="23"/>
      <c r="IR41" s="23"/>
      <c r="IS41" s="23"/>
      <c r="IT41" s="23"/>
      <c r="IU41" s="23"/>
      <c r="IV41" s="23"/>
    </row>
    <row r="42" ht="11.25" customHeight="1">
      <c r="A42" s="21">
        <v>39.0</v>
      </c>
      <c r="B42" s="22">
        <v>1.0</v>
      </c>
      <c r="C42" s="22">
        <v>1.0</v>
      </c>
      <c r="D42" s="22">
        <v>1.0</v>
      </c>
      <c r="E42" s="22">
        <v>1.0</v>
      </c>
      <c r="F42" s="22">
        <v>1.0</v>
      </c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23"/>
      <c r="EG42" s="23"/>
      <c r="EH42" s="23"/>
      <c r="EI42" s="23"/>
      <c r="EJ42" s="23"/>
      <c r="EK42" s="23"/>
      <c r="EL42" s="23"/>
      <c r="EM42" s="23"/>
      <c r="EN42" s="23"/>
      <c r="EO42" s="23"/>
      <c r="EP42" s="23"/>
      <c r="EQ42" s="23"/>
      <c r="ER42" s="23"/>
      <c r="ES42" s="23"/>
      <c r="ET42" s="23"/>
      <c r="EU42" s="23"/>
      <c r="EV42" s="23"/>
      <c r="EW42" s="23"/>
      <c r="EX42" s="23"/>
      <c r="EY42" s="23"/>
      <c r="EZ42" s="23"/>
      <c r="FA42" s="23"/>
      <c r="FB42" s="23"/>
      <c r="FC42" s="23"/>
      <c r="FD42" s="23"/>
      <c r="FE42" s="23"/>
      <c r="FF42" s="23"/>
      <c r="FG42" s="23"/>
      <c r="FH42" s="23"/>
      <c r="FI42" s="23"/>
      <c r="FJ42" s="23"/>
      <c r="FK42" s="23"/>
      <c r="FL42" s="23"/>
      <c r="FM42" s="23"/>
      <c r="FN42" s="23"/>
      <c r="FO42" s="23"/>
      <c r="FP42" s="23"/>
      <c r="FQ42" s="23"/>
      <c r="FR42" s="23"/>
      <c r="FS42" s="23"/>
      <c r="FT42" s="23"/>
      <c r="FU42" s="23"/>
      <c r="FV42" s="23"/>
      <c r="FW42" s="23"/>
      <c r="FX42" s="23"/>
      <c r="FY42" s="23"/>
      <c r="FZ42" s="23"/>
      <c r="GA42" s="23"/>
      <c r="GB42" s="23"/>
      <c r="GC42" s="23"/>
      <c r="GD42" s="23"/>
      <c r="GE42" s="23"/>
      <c r="GF42" s="23"/>
      <c r="GG42" s="23"/>
      <c r="GH42" s="23"/>
      <c r="GI42" s="23"/>
      <c r="GJ42" s="23"/>
      <c r="GK42" s="23"/>
      <c r="GL42" s="23"/>
      <c r="GM42" s="23"/>
      <c r="GN42" s="23"/>
      <c r="GO42" s="23"/>
      <c r="GP42" s="23"/>
      <c r="GQ42" s="23"/>
      <c r="GR42" s="23"/>
      <c r="GS42" s="23"/>
      <c r="GT42" s="23"/>
      <c r="GU42" s="23"/>
      <c r="GV42" s="23"/>
      <c r="GW42" s="23"/>
      <c r="GX42" s="23"/>
      <c r="GY42" s="23"/>
      <c r="GZ42" s="23"/>
      <c r="HA42" s="23"/>
      <c r="HB42" s="23"/>
      <c r="HC42" s="23"/>
      <c r="HD42" s="23"/>
      <c r="HE42" s="23"/>
      <c r="HF42" s="23"/>
      <c r="HG42" s="23"/>
      <c r="HH42" s="23"/>
      <c r="HI42" s="23"/>
      <c r="HJ42" s="23"/>
      <c r="HK42" s="23"/>
      <c r="HL42" s="23"/>
      <c r="HM42" s="23"/>
      <c r="HN42" s="23"/>
      <c r="HO42" s="23"/>
      <c r="HP42" s="23"/>
      <c r="HQ42" s="23"/>
      <c r="HR42" s="23"/>
      <c r="HS42" s="23"/>
      <c r="HT42" s="23"/>
      <c r="HU42" s="23"/>
      <c r="HV42" s="23"/>
      <c r="HW42" s="23"/>
      <c r="HX42" s="23"/>
      <c r="HY42" s="23"/>
      <c r="HZ42" s="23"/>
      <c r="IA42" s="23"/>
      <c r="IB42" s="23"/>
      <c r="IC42" s="23"/>
      <c r="ID42" s="23"/>
      <c r="IE42" s="23"/>
      <c r="IF42" s="23"/>
      <c r="IG42" s="23"/>
      <c r="IH42" s="23"/>
      <c r="II42" s="23"/>
      <c r="IJ42" s="23"/>
      <c r="IK42" s="23"/>
      <c r="IL42" s="23"/>
      <c r="IM42" s="23"/>
      <c r="IN42" s="23"/>
      <c r="IO42" s="23"/>
      <c r="IP42" s="23"/>
      <c r="IQ42" s="23"/>
      <c r="IR42" s="23"/>
      <c r="IS42" s="23"/>
      <c r="IT42" s="23"/>
      <c r="IU42" s="23"/>
      <c r="IV42" s="23"/>
    </row>
    <row r="43" ht="11.25" customHeight="1">
      <c r="A43" s="21">
        <v>40.0</v>
      </c>
      <c r="B43" s="22">
        <v>1.0</v>
      </c>
      <c r="C43" s="22">
        <v>1.0</v>
      </c>
      <c r="D43" s="22">
        <v>1.0</v>
      </c>
      <c r="E43" s="22">
        <v>1.0</v>
      </c>
      <c r="F43" s="22">
        <v>1.0</v>
      </c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V43" s="23"/>
      <c r="DW43" s="23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/>
      <c r="EL43" s="23"/>
      <c r="EM43" s="23"/>
      <c r="EN43" s="23"/>
      <c r="EO43" s="23"/>
      <c r="EP43" s="23"/>
      <c r="EQ43" s="23"/>
      <c r="ER43" s="23"/>
      <c r="ES43" s="23"/>
      <c r="ET43" s="23"/>
      <c r="EU43" s="23"/>
      <c r="EV43" s="23"/>
      <c r="EW43" s="23"/>
      <c r="EX43" s="23"/>
      <c r="EY43" s="23"/>
      <c r="EZ43" s="23"/>
      <c r="FA43" s="23"/>
      <c r="FB43" s="23"/>
      <c r="FC43" s="23"/>
      <c r="FD43" s="23"/>
      <c r="FE43" s="23"/>
      <c r="FF43" s="23"/>
      <c r="FG43" s="23"/>
      <c r="FH43" s="23"/>
      <c r="FI43" s="23"/>
      <c r="FJ43" s="23"/>
      <c r="FK43" s="23"/>
      <c r="FL43" s="23"/>
      <c r="FM43" s="23"/>
      <c r="FN43" s="23"/>
      <c r="FO43" s="23"/>
      <c r="FP43" s="23"/>
      <c r="FQ43" s="23"/>
      <c r="FR43" s="23"/>
      <c r="FS43" s="23"/>
      <c r="FT43" s="23"/>
      <c r="FU43" s="23"/>
      <c r="FV43" s="23"/>
      <c r="FW43" s="23"/>
      <c r="FX43" s="23"/>
      <c r="FY43" s="23"/>
      <c r="FZ43" s="23"/>
      <c r="GA43" s="23"/>
      <c r="GB43" s="23"/>
      <c r="GC43" s="23"/>
      <c r="GD43" s="23"/>
      <c r="GE43" s="23"/>
      <c r="GF43" s="23"/>
      <c r="GG43" s="23"/>
      <c r="GH43" s="23"/>
      <c r="GI43" s="23"/>
      <c r="GJ43" s="23"/>
      <c r="GK43" s="23"/>
      <c r="GL43" s="23"/>
      <c r="GM43" s="23"/>
      <c r="GN43" s="23"/>
      <c r="GO43" s="23"/>
      <c r="GP43" s="23"/>
      <c r="GQ43" s="23"/>
      <c r="GR43" s="23"/>
      <c r="GS43" s="23"/>
      <c r="GT43" s="23"/>
      <c r="GU43" s="23"/>
      <c r="GV43" s="23"/>
      <c r="GW43" s="23"/>
      <c r="GX43" s="23"/>
      <c r="GY43" s="23"/>
      <c r="GZ43" s="23"/>
      <c r="HA43" s="23"/>
      <c r="HB43" s="23"/>
      <c r="HC43" s="23"/>
      <c r="HD43" s="23"/>
      <c r="HE43" s="23"/>
      <c r="HF43" s="23"/>
      <c r="HG43" s="23"/>
      <c r="HH43" s="23"/>
      <c r="HI43" s="23"/>
      <c r="HJ43" s="23"/>
      <c r="HK43" s="23"/>
      <c r="HL43" s="23"/>
      <c r="HM43" s="23"/>
      <c r="HN43" s="23"/>
      <c r="HO43" s="23"/>
      <c r="HP43" s="23"/>
      <c r="HQ43" s="23"/>
      <c r="HR43" s="23"/>
      <c r="HS43" s="23"/>
      <c r="HT43" s="23"/>
      <c r="HU43" s="23"/>
      <c r="HV43" s="23"/>
      <c r="HW43" s="23"/>
      <c r="HX43" s="23"/>
      <c r="HY43" s="23"/>
      <c r="HZ43" s="23"/>
      <c r="IA43" s="23"/>
      <c r="IB43" s="23"/>
      <c r="IC43" s="23"/>
      <c r="ID43" s="23"/>
      <c r="IE43" s="23"/>
      <c r="IF43" s="23"/>
      <c r="IG43" s="23"/>
      <c r="IH43" s="23"/>
      <c r="II43" s="23"/>
      <c r="IJ43" s="23"/>
      <c r="IK43" s="23"/>
      <c r="IL43" s="23"/>
      <c r="IM43" s="23"/>
      <c r="IN43" s="23"/>
      <c r="IO43" s="23"/>
      <c r="IP43" s="23"/>
      <c r="IQ43" s="23"/>
      <c r="IR43" s="23"/>
      <c r="IS43" s="23"/>
      <c r="IT43" s="23"/>
      <c r="IU43" s="23"/>
      <c r="IV43" s="23"/>
    </row>
    <row r="44" ht="11.25" customHeight="1">
      <c r="A44" s="21">
        <v>41.0</v>
      </c>
      <c r="B44" s="22">
        <v>1.0</v>
      </c>
      <c r="C44" s="22">
        <v>1.0</v>
      </c>
      <c r="D44" s="22">
        <v>1.0</v>
      </c>
      <c r="E44" s="22">
        <v>1.0</v>
      </c>
      <c r="F44" s="22">
        <v>1.0</v>
      </c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V44" s="23"/>
      <c r="DW44" s="23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3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3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3"/>
      <c r="FK44" s="23"/>
      <c r="FL44" s="23"/>
      <c r="FM44" s="23"/>
      <c r="FN44" s="23"/>
      <c r="FO44" s="23"/>
      <c r="FP44" s="23"/>
      <c r="FQ44" s="23"/>
      <c r="FR44" s="23"/>
      <c r="FS44" s="23"/>
      <c r="FT44" s="23"/>
      <c r="FU44" s="23"/>
      <c r="FV44" s="23"/>
      <c r="FW44" s="23"/>
      <c r="FX44" s="23"/>
      <c r="FY44" s="23"/>
      <c r="FZ44" s="23"/>
      <c r="GA44" s="23"/>
      <c r="GB44" s="23"/>
      <c r="GC44" s="23"/>
      <c r="GD44" s="23"/>
      <c r="GE44" s="23"/>
      <c r="GF44" s="23"/>
      <c r="GG44" s="23"/>
      <c r="GH44" s="23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3"/>
      <c r="GU44" s="23"/>
      <c r="GV44" s="23"/>
      <c r="GW44" s="23"/>
      <c r="GX44" s="23"/>
      <c r="GY44" s="23"/>
      <c r="GZ44" s="23"/>
      <c r="HA44" s="23"/>
      <c r="HB44" s="23"/>
      <c r="HC44" s="23"/>
      <c r="HD44" s="23"/>
      <c r="HE44" s="23"/>
      <c r="HF44" s="23"/>
      <c r="HG44" s="23"/>
      <c r="HH44" s="23"/>
      <c r="HI44" s="23"/>
      <c r="HJ44" s="23"/>
      <c r="HK44" s="23"/>
      <c r="HL44" s="23"/>
      <c r="HM44" s="23"/>
      <c r="HN44" s="23"/>
      <c r="HO44" s="23"/>
      <c r="HP44" s="23"/>
      <c r="HQ44" s="23"/>
      <c r="HR44" s="23"/>
      <c r="HS44" s="23"/>
      <c r="HT44" s="23"/>
      <c r="HU44" s="23"/>
      <c r="HV44" s="23"/>
      <c r="HW44" s="23"/>
      <c r="HX44" s="23"/>
      <c r="HY44" s="23"/>
      <c r="HZ44" s="23"/>
      <c r="IA44" s="23"/>
      <c r="IB44" s="23"/>
      <c r="IC44" s="23"/>
      <c r="ID44" s="23"/>
      <c r="IE44" s="23"/>
      <c r="IF44" s="23"/>
      <c r="IG44" s="23"/>
      <c r="IH44" s="23"/>
      <c r="II44" s="23"/>
      <c r="IJ44" s="23"/>
      <c r="IK44" s="23"/>
      <c r="IL44" s="23"/>
      <c r="IM44" s="23"/>
      <c r="IN44" s="23"/>
      <c r="IO44" s="23"/>
      <c r="IP44" s="23"/>
      <c r="IQ44" s="23"/>
      <c r="IR44" s="23"/>
      <c r="IS44" s="23"/>
      <c r="IT44" s="23"/>
      <c r="IU44" s="23"/>
      <c r="IV44" s="23"/>
    </row>
    <row r="45" ht="11.25" customHeight="1">
      <c r="A45" s="21">
        <v>42.0</v>
      </c>
      <c r="B45" s="22">
        <v>1.0</v>
      </c>
      <c r="C45" s="22">
        <v>1.0</v>
      </c>
      <c r="D45" s="22">
        <v>1.0</v>
      </c>
      <c r="E45" s="22">
        <v>1.0</v>
      </c>
      <c r="F45" s="22">
        <v>1.0</v>
      </c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ET45" s="23"/>
      <c r="EU45" s="23"/>
      <c r="EV45" s="23"/>
      <c r="EW45" s="23"/>
      <c r="EX45" s="23"/>
      <c r="EY45" s="23"/>
      <c r="EZ45" s="23"/>
      <c r="FA45" s="23"/>
      <c r="FB45" s="23"/>
      <c r="FC45" s="23"/>
      <c r="FD45" s="23"/>
      <c r="FE45" s="23"/>
      <c r="FF45" s="23"/>
      <c r="FG45" s="23"/>
      <c r="FH45" s="23"/>
      <c r="FI45" s="23"/>
      <c r="FJ45" s="23"/>
      <c r="FK45" s="23"/>
      <c r="FL45" s="23"/>
      <c r="FM45" s="23"/>
      <c r="FN45" s="23"/>
      <c r="FO45" s="23"/>
      <c r="FP45" s="23"/>
      <c r="FQ45" s="23"/>
      <c r="FR45" s="23"/>
      <c r="FS45" s="23"/>
      <c r="FT45" s="23"/>
      <c r="FU45" s="23"/>
      <c r="FV45" s="23"/>
      <c r="FW45" s="23"/>
      <c r="FX45" s="23"/>
      <c r="FY45" s="23"/>
      <c r="FZ45" s="23"/>
      <c r="GA45" s="23"/>
      <c r="GB45" s="23"/>
      <c r="GC45" s="23"/>
      <c r="GD45" s="23"/>
      <c r="GE45" s="23"/>
      <c r="GF45" s="23"/>
      <c r="GG45" s="23"/>
      <c r="GH45" s="23"/>
      <c r="GI45" s="23"/>
      <c r="GJ45" s="23"/>
      <c r="GK45" s="23"/>
      <c r="GL45" s="23"/>
      <c r="GM45" s="23"/>
      <c r="GN45" s="23"/>
      <c r="GO45" s="23"/>
      <c r="GP45" s="23"/>
      <c r="GQ45" s="23"/>
      <c r="GR45" s="23"/>
      <c r="GS45" s="23"/>
      <c r="GT45" s="23"/>
      <c r="GU45" s="23"/>
      <c r="GV45" s="23"/>
      <c r="GW45" s="23"/>
      <c r="GX45" s="23"/>
      <c r="GY45" s="23"/>
      <c r="GZ45" s="23"/>
      <c r="HA45" s="23"/>
      <c r="HB45" s="23"/>
      <c r="HC45" s="23"/>
      <c r="HD45" s="23"/>
      <c r="HE45" s="23"/>
      <c r="HF45" s="23"/>
      <c r="HG45" s="23"/>
      <c r="HH45" s="23"/>
      <c r="HI45" s="23"/>
      <c r="HJ45" s="23"/>
      <c r="HK45" s="23"/>
      <c r="HL45" s="23"/>
      <c r="HM45" s="23"/>
      <c r="HN45" s="23"/>
      <c r="HO45" s="23"/>
      <c r="HP45" s="23"/>
      <c r="HQ45" s="23"/>
      <c r="HR45" s="23"/>
      <c r="HS45" s="23"/>
      <c r="HT45" s="23"/>
      <c r="HU45" s="23"/>
      <c r="HV45" s="23"/>
      <c r="HW45" s="23"/>
      <c r="HX45" s="23"/>
      <c r="HY45" s="23"/>
      <c r="HZ45" s="23"/>
      <c r="IA45" s="23"/>
      <c r="IB45" s="23"/>
      <c r="IC45" s="23"/>
      <c r="ID45" s="23"/>
      <c r="IE45" s="23"/>
      <c r="IF45" s="23"/>
      <c r="IG45" s="23"/>
      <c r="IH45" s="23"/>
      <c r="II45" s="23"/>
      <c r="IJ45" s="23"/>
      <c r="IK45" s="23"/>
      <c r="IL45" s="23"/>
      <c r="IM45" s="23"/>
      <c r="IN45" s="23"/>
      <c r="IO45" s="23"/>
      <c r="IP45" s="23"/>
      <c r="IQ45" s="23"/>
      <c r="IR45" s="23"/>
      <c r="IS45" s="23"/>
      <c r="IT45" s="23"/>
      <c r="IU45" s="23"/>
      <c r="IV45" s="23"/>
    </row>
    <row r="46" ht="11.25" customHeight="1">
      <c r="A46" s="21">
        <v>43.0</v>
      </c>
      <c r="B46" s="22">
        <v>1.0</v>
      </c>
      <c r="C46" s="22">
        <v>1.0</v>
      </c>
      <c r="D46" s="22">
        <v>1.0</v>
      </c>
      <c r="E46" s="22">
        <v>1.0</v>
      </c>
      <c r="F46" s="22">
        <v>1.0</v>
      </c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ET46" s="23"/>
      <c r="EU46" s="23"/>
      <c r="EV46" s="23"/>
      <c r="EW46" s="23"/>
      <c r="EX46" s="23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3"/>
      <c r="FK46" s="23"/>
      <c r="FL46" s="23"/>
      <c r="FM46" s="23"/>
      <c r="FN46" s="23"/>
      <c r="FO46" s="23"/>
      <c r="FP46" s="23"/>
      <c r="FQ46" s="23"/>
      <c r="FR46" s="23"/>
      <c r="FS46" s="23"/>
      <c r="FT46" s="23"/>
      <c r="FU46" s="23"/>
      <c r="FV46" s="23"/>
      <c r="FW46" s="23"/>
      <c r="FX46" s="23"/>
      <c r="FY46" s="23"/>
      <c r="FZ46" s="23"/>
      <c r="GA46" s="23"/>
      <c r="GB46" s="23"/>
      <c r="GC46" s="23"/>
      <c r="GD46" s="23"/>
      <c r="GE46" s="23"/>
      <c r="GF46" s="23"/>
      <c r="GG46" s="23"/>
      <c r="GH46" s="23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3"/>
      <c r="HA46" s="23"/>
      <c r="HB46" s="23"/>
      <c r="HC46" s="23"/>
      <c r="HD46" s="23"/>
      <c r="HE46" s="23"/>
      <c r="HF46" s="23"/>
      <c r="HG46" s="23"/>
      <c r="HH46" s="23"/>
      <c r="HI46" s="23"/>
      <c r="HJ46" s="23"/>
      <c r="HK46" s="23"/>
      <c r="HL46" s="23"/>
      <c r="HM46" s="23"/>
      <c r="HN46" s="23"/>
      <c r="HO46" s="23"/>
      <c r="HP46" s="23"/>
      <c r="HQ46" s="23"/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  <c r="IL46" s="23"/>
      <c r="IM46" s="23"/>
      <c r="IN46" s="23"/>
      <c r="IO46" s="23"/>
      <c r="IP46" s="23"/>
      <c r="IQ46" s="23"/>
      <c r="IR46" s="23"/>
      <c r="IS46" s="23"/>
      <c r="IT46" s="23"/>
      <c r="IU46" s="23"/>
      <c r="IV46" s="23"/>
    </row>
    <row r="47" ht="11.25" customHeight="1">
      <c r="A47" s="21">
        <v>44.0</v>
      </c>
      <c r="B47" s="22">
        <v>1.0</v>
      </c>
      <c r="C47" s="22">
        <v>1.0</v>
      </c>
      <c r="D47" s="22">
        <v>1.0</v>
      </c>
      <c r="E47" s="22">
        <v>1.0</v>
      </c>
      <c r="F47" s="22">
        <v>1.0</v>
      </c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ET47" s="23"/>
      <c r="EU47" s="23"/>
      <c r="EV47" s="23"/>
      <c r="EW47" s="23"/>
      <c r="EX47" s="23"/>
      <c r="EY47" s="23"/>
      <c r="EZ47" s="23"/>
      <c r="FA47" s="23"/>
      <c r="FB47" s="23"/>
      <c r="FC47" s="23"/>
      <c r="FD47" s="23"/>
      <c r="FE47" s="23"/>
      <c r="FF47" s="23"/>
      <c r="FG47" s="23"/>
      <c r="FH47" s="23"/>
      <c r="FI47" s="23"/>
      <c r="FJ47" s="23"/>
      <c r="FK47" s="23"/>
      <c r="FL47" s="23"/>
      <c r="FM47" s="23"/>
      <c r="FN47" s="23"/>
      <c r="FO47" s="23"/>
      <c r="FP47" s="23"/>
      <c r="FQ47" s="23"/>
      <c r="FR47" s="23"/>
      <c r="FS47" s="23"/>
      <c r="FT47" s="23"/>
      <c r="FU47" s="23"/>
      <c r="FV47" s="23"/>
      <c r="FW47" s="23"/>
      <c r="FX47" s="23"/>
      <c r="FY47" s="23"/>
      <c r="FZ47" s="23"/>
      <c r="GA47" s="23"/>
      <c r="GB47" s="23"/>
      <c r="GC47" s="23"/>
      <c r="GD47" s="23"/>
      <c r="GE47" s="23"/>
      <c r="GF47" s="23"/>
      <c r="GG47" s="23"/>
      <c r="GH47" s="23"/>
      <c r="GI47" s="23"/>
      <c r="GJ47" s="23"/>
      <c r="GK47" s="23"/>
      <c r="GL47" s="23"/>
      <c r="GM47" s="23"/>
      <c r="GN47" s="23"/>
      <c r="GO47" s="23"/>
      <c r="GP47" s="23"/>
      <c r="GQ47" s="23"/>
      <c r="GR47" s="23"/>
      <c r="GS47" s="23"/>
      <c r="GT47" s="23"/>
      <c r="GU47" s="23"/>
      <c r="GV47" s="23"/>
      <c r="GW47" s="23"/>
      <c r="GX47" s="23"/>
      <c r="GY47" s="23"/>
      <c r="GZ47" s="23"/>
      <c r="HA47" s="23"/>
      <c r="HB47" s="23"/>
      <c r="HC47" s="23"/>
      <c r="HD47" s="23"/>
      <c r="HE47" s="23"/>
      <c r="HF47" s="23"/>
      <c r="HG47" s="23"/>
      <c r="HH47" s="23"/>
      <c r="HI47" s="23"/>
      <c r="HJ47" s="23"/>
      <c r="HK47" s="23"/>
      <c r="HL47" s="23"/>
      <c r="HM47" s="23"/>
      <c r="HN47" s="23"/>
      <c r="HO47" s="23"/>
      <c r="HP47" s="23"/>
      <c r="HQ47" s="23"/>
      <c r="HR47" s="23"/>
      <c r="HS47" s="23"/>
      <c r="HT47" s="23"/>
      <c r="HU47" s="23"/>
      <c r="HV47" s="23"/>
      <c r="HW47" s="23"/>
      <c r="HX47" s="23"/>
      <c r="HY47" s="23"/>
      <c r="HZ47" s="23"/>
      <c r="IA47" s="23"/>
      <c r="IB47" s="23"/>
      <c r="IC47" s="23"/>
      <c r="ID47" s="23"/>
      <c r="IE47" s="23"/>
      <c r="IF47" s="23"/>
      <c r="IG47" s="23"/>
      <c r="IH47" s="23"/>
      <c r="II47" s="23"/>
      <c r="IJ47" s="23"/>
      <c r="IK47" s="23"/>
      <c r="IL47" s="23"/>
      <c r="IM47" s="23"/>
      <c r="IN47" s="23"/>
      <c r="IO47" s="23"/>
      <c r="IP47" s="23"/>
      <c r="IQ47" s="23"/>
      <c r="IR47" s="23"/>
      <c r="IS47" s="23"/>
      <c r="IT47" s="23"/>
      <c r="IU47" s="23"/>
      <c r="IV47" s="23"/>
    </row>
    <row r="48" ht="11.25" customHeight="1">
      <c r="A48" s="21">
        <v>45.0</v>
      </c>
      <c r="B48" s="22">
        <v>1.0</v>
      </c>
      <c r="C48" s="22">
        <v>1.0</v>
      </c>
      <c r="D48" s="22">
        <v>1.0</v>
      </c>
      <c r="E48" s="22">
        <v>1.0</v>
      </c>
      <c r="F48" s="22">
        <v>1.0</v>
      </c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ET48" s="23"/>
      <c r="EU48" s="23"/>
      <c r="EV48" s="23"/>
      <c r="EW48" s="23"/>
      <c r="EX48" s="23"/>
      <c r="EY48" s="23"/>
      <c r="EZ48" s="23"/>
      <c r="FA48" s="23"/>
      <c r="FB48" s="23"/>
      <c r="FC48" s="23"/>
      <c r="FD48" s="23"/>
      <c r="FE48" s="23"/>
      <c r="FF48" s="23"/>
      <c r="FG48" s="23"/>
      <c r="FH48" s="23"/>
      <c r="FI48" s="23"/>
      <c r="FJ48" s="23"/>
      <c r="FK48" s="23"/>
      <c r="FL48" s="23"/>
      <c r="FM48" s="23"/>
      <c r="FN48" s="23"/>
      <c r="FO48" s="23"/>
      <c r="FP48" s="23"/>
      <c r="FQ48" s="23"/>
      <c r="FR48" s="23"/>
      <c r="FS48" s="23"/>
      <c r="FT48" s="23"/>
      <c r="FU48" s="23"/>
      <c r="FV48" s="23"/>
      <c r="FW48" s="23"/>
      <c r="FX48" s="23"/>
      <c r="FY48" s="23"/>
      <c r="FZ48" s="23"/>
      <c r="GA48" s="23"/>
      <c r="GB48" s="23"/>
      <c r="GC48" s="23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3"/>
      <c r="HA48" s="23"/>
      <c r="HB48" s="23"/>
      <c r="HC48" s="23"/>
      <c r="HD48" s="23"/>
      <c r="HE48" s="23"/>
      <c r="HF48" s="23"/>
      <c r="HG48" s="23"/>
      <c r="HH48" s="23"/>
      <c r="HI48" s="23"/>
      <c r="HJ48" s="23"/>
      <c r="HK48" s="23"/>
      <c r="HL48" s="23"/>
      <c r="HM48" s="23"/>
      <c r="HN48" s="23"/>
      <c r="HO48" s="23"/>
      <c r="HP48" s="23"/>
      <c r="HQ48" s="23"/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  <c r="IL48" s="23"/>
      <c r="IM48" s="23"/>
      <c r="IN48" s="23"/>
      <c r="IO48" s="23"/>
      <c r="IP48" s="23"/>
      <c r="IQ48" s="23"/>
      <c r="IR48" s="23"/>
      <c r="IS48" s="23"/>
      <c r="IT48" s="23"/>
      <c r="IU48" s="23"/>
      <c r="IV48" s="23"/>
    </row>
    <row r="49" ht="11.25" customHeight="1">
      <c r="A49" s="21">
        <v>46.0</v>
      </c>
      <c r="B49" s="22">
        <v>2.0</v>
      </c>
      <c r="C49" s="22">
        <v>2.0</v>
      </c>
      <c r="D49" s="22">
        <v>2.0</v>
      </c>
      <c r="E49" s="22">
        <v>2.0</v>
      </c>
      <c r="F49" s="22">
        <v>2.0</v>
      </c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  <c r="DH49" s="23"/>
      <c r="DI49" s="23"/>
      <c r="DJ49" s="23"/>
      <c r="DK49" s="23"/>
      <c r="DL49" s="23"/>
      <c r="DM49" s="23"/>
      <c r="DN49" s="23"/>
      <c r="DO49" s="23"/>
      <c r="DP49" s="23"/>
      <c r="DQ49" s="23"/>
      <c r="DR49" s="23"/>
      <c r="DS49" s="23"/>
      <c r="DT49" s="23"/>
      <c r="DU49" s="23"/>
      <c r="DV49" s="23"/>
      <c r="DW49" s="23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/>
      <c r="EL49" s="23"/>
      <c r="EM49" s="23"/>
      <c r="EN49" s="23"/>
      <c r="EO49" s="23"/>
      <c r="EP49" s="23"/>
      <c r="EQ49" s="23"/>
      <c r="ER49" s="23"/>
      <c r="ES49" s="23"/>
      <c r="ET49" s="23"/>
      <c r="EU49" s="23"/>
      <c r="EV49" s="23"/>
      <c r="EW49" s="23"/>
      <c r="EX49" s="23"/>
      <c r="EY49" s="23"/>
      <c r="EZ49" s="23"/>
      <c r="FA49" s="23"/>
      <c r="FB49" s="23"/>
      <c r="FC49" s="23"/>
      <c r="FD49" s="23"/>
      <c r="FE49" s="23"/>
      <c r="FF49" s="23"/>
      <c r="FG49" s="23"/>
      <c r="FH49" s="23"/>
      <c r="FI49" s="23"/>
      <c r="FJ49" s="23"/>
      <c r="FK49" s="23"/>
      <c r="FL49" s="23"/>
      <c r="FM49" s="23"/>
      <c r="FN49" s="23"/>
      <c r="FO49" s="23"/>
      <c r="FP49" s="23"/>
      <c r="FQ49" s="23"/>
      <c r="FR49" s="23"/>
      <c r="FS49" s="23"/>
      <c r="FT49" s="23"/>
      <c r="FU49" s="23"/>
      <c r="FV49" s="23"/>
      <c r="FW49" s="23"/>
      <c r="FX49" s="23"/>
      <c r="FY49" s="23"/>
      <c r="FZ49" s="23"/>
      <c r="GA49" s="23"/>
      <c r="GB49" s="23"/>
      <c r="GC49" s="23"/>
      <c r="GD49" s="23"/>
      <c r="GE49" s="23"/>
      <c r="GF49" s="23"/>
      <c r="GG49" s="23"/>
      <c r="GH49" s="23"/>
      <c r="GI49" s="23"/>
      <c r="GJ49" s="23"/>
      <c r="GK49" s="23"/>
      <c r="GL49" s="23"/>
      <c r="GM49" s="23"/>
      <c r="GN49" s="23"/>
      <c r="GO49" s="23"/>
      <c r="GP49" s="23"/>
      <c r="GQ49" s="23"/>
      <c r="GR49" s="23"/>
      <c r="GS49" s="23"/>
      <c r="GT49" s="23"/>
      <c r="GU49" s="23"/>
      <c r="GV49" s="23"/>
      <c r="GW49" s="23"/>
      <c r="GX49" s="23"/>
      <c r="GY49" s="23"/>
      <c r="GZ49" s="23"/>
      <c r="HA49" s="23"/>
      <c r="HB49" s="23"/>
      <c r="HC49" s="23"/>
      <c r="HD49" s="23"/>
      <c r="HE49" s="23"/>
      <c r="HF49" s="23"/>
      <c r="HG49" s="23"/>
      <c r="HH49" s="23"/>
      <c r="HI49" s="23"/>
      <c r="HJ49" s="23"/>
      <c r="HK49" s="23"/>
      <c r="HL49" s="23"/>
      <c r="HM49" s="23"/>
      <c r="HN49" s="23"/>
      <c r="HO49" s="23"/>
      <c r="HP49" s="23"/>
      <c r="HQ49" s="23"/>
      <c r="HR49" s="23"/>
      <c r="HS49" s="23"/>
      <c r="HT49" s="23"/>
      <c r="HU49" s="23"/>
      <c r="HV49" s="23"/>
      <c r="HW49" s="23"/>
      <c r="HX49" s="23"/>
      <c r="HY49" s="23"/>
      <c r="HZ49" s="23"/>
      <c r="IA49" s="23"/>
      <c r="IB49" s="23"/>
      <c r="IC49" s="23"/>
      <c r="ID49" s="23"/>
      <c r="IE49" s="23"/>
      <c r="IF49" s="23"/>
      <c r="IG49" s="23"/>
      <c r="IH49" s="23"/>
      <c r="II49" s="23"/>
      <c r="IJ49" s="23"/>
      <c r="IK49" s="23"/>
      <c r="IL49" s="23"/>
      <c r="IM49" s="23"/>
      <c r="IN49" s="23"/>
      <c r="IO49" s="23"/>
      <c r="IP49" s="23"/>
      <c r="IQ49" s="23"/>
      <c r="IR49" s="23"/>
      <c r="IS49" s="23"/>
      <c r="IT49" s="23"/>
      <c r="IU49" s="23"/>
      <c r="IV49" s="23"/>
    </row>
    <row r="50" ht="11.25" customHeight="1">
      <c r="A50" s="21">
        <v>47.0</v>
      </c>
      <c r="B50" s="22">
        <v>1.0</v>
      </c>
      <c r="C50" s="22">
        <v>1.0</v>
      </c>
      <c r="D50" s="22">
        <v>1.0</v>
      </c>
      <c r="E50" s="22">
        <v>1.0</v>
      </c>
      <c r="F50" s="22">
        <v>1.0</v>
      </c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23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/>
      <c r="EL50" s="23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3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3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3"/>
      <c r="FW50" s="23"/>
      <c r="FX50" s="23"/>
      <c r="FY50" s="23"/>
      <c r="FZ50" s="23"/>
      <c r="GA50" s="23"/>
      <c r="GB50" s="23"/>
      <c r="GC50" s="23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3"/>
      <c r="HA50" s="23"/>
      <c r="HB50" s="23"/>
      <c r="HC50" s="23"/>
      <c r="HD50" s="23"/>
      <c r="HE50" s="23"/>
      <c r="HF50" s="23"/>
      <c r="HG50" s="23"/>
      <c r="HH50" s="23"/>
      <c r="HI50" s="23"/>
      <c r="HJ50" s="23"/>
      <c r="HK50" s="23"/>
      <c r="HL50" s="23"/>
      <c r="HM50" s="23"/>
      <c r="HN50" s="23"/>
      <c r="HO50" s="23"/>
      <c r="HP50" s="23"/>
      <c r="HQ50" s="23"/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  <c r="IL50" s="23"/>
      <c r="IM50" s="23"/>
      <c r="IN50" s="23"/>
      <c r="IO50" s="23"/>
      <c r="IP50" s="23"/>
      <c r="IQ50" s="23"/>
      <c r="IR50" s="23"/>
      <c r="IS50" s="23"/>
      <c r="IT50" s="23"/>
      <c r="IU50" s="23"/>
      <c r="IV50" s="23"/>
    </row>
    <row r="51" ht="11.25" customHeight="1">
      <c r="A51" s="21">
        <v>48.0</v>
      </c>
      <c r="B51" s="22">
        <v>2.0</v>
      </c>
      <c r="C51" s="22">
        <v>2.0</v>
      </c>
      <c r="D51" s="22">
        <v>2.0</v>
      </c>
      <c r="E51" s="22">
        <v>2.0</v>
      </c>
      <c r="F51" s="22">
        <v>2.0</v>
      </c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23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/>
      <c r="EL51" s="23"/>
      <c r="EM51" s="23"/>
      <c r="EN51" s="23"/>
      <c r="EO51" s="23"/>
      <c r="EP51" s="23"/>
      <c r="EQ51" s="23"/>
      <c r="ER51" s="23"/>
      <c r="ES51" s="23"/>
      <c r="ET51" s="23"/>
      <c r="EU51" s="23"/>
      <c r="EV51" s="23"/>
      <c r="EW51" s="23"/>
      <c r="EX51" s="23"/>
      <c r="EY51" s="23"/>
      <c r="EZ51" s="23"/>
      <c r="FA51" s="23"/>
      <c r="FB51" s="23"/>
      <c r="FC51" s="23"/>
      <c r="FD51" s="23"/>
      <c r="FE51" s="23"/>
      <c r="FF51" s="23"/>
      <c r="FG51" s="23"/>
      <c r="FH51" s="23"/>
      <c r="FI51" s="23"/>
      <c r="FJ51" s="23"/>
      <c r="FK51" s="23"/>
      <c r="FL51" s="23"/>
      <c r="FM51" s="23"/>
      <c r="FN51" s="23"/>
      <c r="FO51" s="23"/>
      <c r="FP51" s="23"/>
      <c r="FQ51" s="23"/>
      <c r="FR51" s="23"/>
      <c r="FS51" s="23"/>
      <c r="FT51" s="23"/>
      <c r="FU51" s="23"/>
      <c r="FV51" s="23"/>
      <c r="FW51" s="23"/>
      <c r="FX51" s="23"/>
      <c r="FY51" s="23"/>
      <c r="FZ51" s="23"/>
      <c r="GA51" s="23"/>
      <c r="GB51" s="23"/>
      <c r="GC51" s="23"/>
      <c r="GD51" s="23"/>
      <c r="GE51" s="23"/>
      <c r="GF51" s="23"/>
      <c r="GG51" s="23"/>
      <c r="GH51" s="23"/>
      <c r="GI51" s="23"/>
      <c r="GJ51" s="23"/>
      <c r="GK51" s="23"/>
      <c r="GL51" s="23"/>
      <c r="GM51" s="23"/>
      <c r="GN51" s="23"/>
      <c r="GO51" s="23"/>
      <c r="GP51" s="23"/>
      <c r="GQ51" s="23"/>
      <c r="GR51" s="23"/>
      <c r="GS51" s="23"/>
      <c r="GT51" s="23"/>
      <c r="GU51" s="23"/>
      <c r="GV51" s="23"/>
      <c r="GW51" s="23"/>
      <c r="GX51" s="23"/>
      <c r="GY51" s="23"/>
      <c r="GZ51" s="23"/>
      <c r="HA51" s="23"/>
      <c r="HB51" s="23"/>
      <c r="HC51" s="23"/>
      <c r="HD51" s="23"/>
      <c r="HE51" s="23"/>
      <c r="HF51" s="23"/>
      <c r="HG51" s="23"/>
      <c r="HH51" s="23"/>
      <c r="HI51" s="23"/>
      <c r="HJ51" s="23"/>
      <c r="HK51" s="23"/>
      <c r="HL51" s="23"/>
      <c r="HM51" s="23"/>
      <c r="HN51" s="23"/>
      <c r="HO51" s="23"/>
      <c r="HP51" s="23"/>
      <c r="HQ51" s="23"/>
      <c r="HR51" s="23"/>
      <c r="HS51" s="23"/>
      <c r="HT51" s="23"/>
      <c r="HU51" s="23"/>
      <c r="HV51" s="23"/>
      <c r="HW51" s="23"/>
      <c r="HX51" s="23"/>
      <c r="HY51" s="23"/>
      <c r="HZ51" s="23"/>
      <c r="IA51" s="23"/>
      <c r="IB51" s="23"/>
      <c r="IC51" s="23"/>
      <c r="ID51" s="23"/>
      <c r="IE51" s="23"/>
      <c r="IF51" s="23"/>
      <c r="IG51" s="23"/>
      <c r="IH51" s="23"/>
      <c r="II51" s="23"/>
      <c r="IJ51" s="23"/>
      <c r="IK51" s="23"/>
      <c r="IL51" s="23"/>
      <c r="IM51" s="23"/>
      <c r="IN51" s="23"/>
      <c r="IO51" s="23"/>
      <c r="IP51" s="23"/>
      <c r="IQ51" s="23"/>
      <c r="IR51" s="23"/>
      <c r="IS51" s="23"/>
      <c r="IT51" s="23"/>
      <c r="IU51" s="23"/>
      <c r="IV51" s="23"/>
    </row>
    <row r="52" ht="11.25" customHeight="1">
      <c r="A52" s="21">
        <v>49.0</v>
      </c>
      <c r="B52" s="22">
        <v>2.0</v>
      </c>
      <c r="C52" s="22">
        <v>2.0</v>
      </c>
      <c r="D52" s="22">
        <v>2.0</v>
      </c>
      <c r="E52" s="22">
        <v>2.0</v>
      </c>
      <c r="F52" s="22">
        <v>2.0</v>
      </c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  <c r="DH52" s="23"/>
      <c r="DI52" s="23"/>
      <c r="DJ52" s="23"/>
      <c r="DK52" s="23"/>
      <c r="DL52" s="23"/>
      <c r="DM52" s="23"/>
      <c r="DN52" s="23"/>
      <c r="DO52" s="23"/>
      <c r="DP52" s="23"/>
      <c r="DQ52" s="23"/>
      <c r="DR52" s="23"/>
      <c r="DS52" s="23"/>
      <c r="DT52" s="23"/>
      <c r="DU52" s="23"/>
      <c r="DV52" s="23"/>
      <c r="DW52" s="23"/>
      <c r="DX52" s="23"/>
      <c r="DY52" s="23"/>
      <c r="DZ52" s="23"/>
      <c r="EA52" s="23"/>
      <c r="EB52" s="23"/>
      <c r="EC52" s="23"/>
      <c r="ED52" s="23"/>
      <c r="EE52" s="23"/>
      <c r="EF52" s="23"/>
      <c r="EG52" s="23"/>
      <c r="EH52" s="23"/>
      <c r="EI52" s="23"/>
      <c r="EJ52" s="23"/>
      <c r="EK52" s="23"/>
      <c r="EL52" s="23"/>
      <c r="EM52" s="23"/>
      <c r="EN52" s="23"/>
      <c r="EO52" s="23"/>
      <c r="EP52" s="23"/>
      <c r="EQ52" s="23"/>
      <c r="ER52" s="23"/>
      <c r="ES52" s="23"/>
      <c r="ET52" s="23"/>
      <c r="EU52" s="23"/>
      <c r="EV52" s="23"/>
      <c r="EW52" s="23"/>
      <c r="EX52" s="23"/>
      <c r="EY52" s="23"/>
      <c r="EZ52" s="23"/>
      <c r="FA52" s="23"/>
      <c r="FB52" s="23"/>
      <c r="FC52" s="23"/>
      <c r="FD52" s="23"/>
      <c r="FE52" s="23"/>
      <c r="FF52" s="23"/>
      <c r="FG52" s="23"/>
      <c r="FH52" s="23"/>
      <c r="FI52" s="23"/>
      <c r="FJ52" s="23"/>
      <c r="FK52" s="23"/>
      <c r="FL52" s="23"/>
      <c r="FM52" s="23"/>
      <c r="FN52" s="23"/>
      <c r="FO52" s="23"/>
      <c r="FP52" s="23"/>
      <c r="FQ52" s="23"/>
      <c r="FR52" s="23"/>
      <c r="FS52" s="23"/>
      <c r="FT52" s="23"/>
      <c r="FU52" s="23"/>
      <c r="FV52" s="23"/>
      <c r="FW52" s="23"/>
      <c r="FX52" s="23"/>
      <c r="FY52" s="23"/>
      <c r="FZ52" s="23"/>
      <c r="GA52" s="23"/>
      <c r="GB52" s="23"/>
      <c r="GC52" s="23"/>
      <c r="GD52" s="23"/>
      <c r="GE52" s="23"/>
      <c r="GF52" s="23"/>
      <c r="GG52" s="23"/>
      <c r="GH52" s="23"/>
      <c r="GI52" s="23"/>
      <c r="GJ52" s="23"/>
      <c r="GK52" s="23"/>
      <c r="GL52" s="23"/>
      <c r="GM52" s="23"/>
      <c r="GN52" s="23"/>
      <c r="GO52" s="23"/>
      <c r="GP52" s="23"/>
      <c r="GQ52" s="23"/>
      <c r="GR52" s="23"/>
      <c r="GS52" s="23"/>
      <c r="GT52" s="23"/>
      <c r="GU52" s="23"/>
      <c r="GV52" s="23"/>
      <c r="GW52" s="23"/>
      <c r="GX52" s="23"/>
      <c r="GY52" s="23"/>
      <c r="GZ52" s="23"/>
      <c r="HA52" s="23"/>
      <c r="HB52" s="23"/>
      <c r="HC52" s="23"/>
      <c r="HD52" s="23"/>
      <c r="HE52" s="23"/>
      <c r="HF52" s="23"/>
      <c r="HG52" s="23"/>
      <c r="HH52" s="23"/>
      <c r="HI52" s="23"/>
      <c r="HJ52" s="23"/>
      <c r="HK52" s="23"/>
      <c r="HL52" s="23"/>
      <c r="HM52" s="23"/>
      <c r="HN52" s="23"/>
      <c r="HO52" s="23"/>
      <c r="HP52" s="23"/>
      <c r="HQ52" s="23"/>
      <c r="HR52" s="23"/>
      <c r="HS52" s="23"/>
      <c r="HT52" s="23"/>
      <c r="HU52" s="23"/>
      <c r="HV52" s="23"/>
      <c r="HW52" s="23"/>
      <c r="HX52" s="23"/>
      <c r="HY52" s="23"/>
      <c r="HZ52" s="23"/>
      <c r="IA52" s="23"/>
      <c r="IB52" s="23"/>
      <c r="IC52" s="23"/>
      <c r="ID52" s="23"/>
      <c r="IE52" s="23"/>
      <c r="IF52" s="23"/>
      <c r="IG52" s="23"/>
      <c r="IH52" s="23"/>
      <c r="II52" s="23"/>
      <c r="IJ52" s="23"/>
      <c r="IK52" s="23"/>
      <c r="IL52" s="23"/>
      <c r="IM52" s="23"/>
      <c r="IN52" s="23"/>
      <c r="IO52" s="23"/>
      <c r="IP52" s="23"/>
      <c r="IQ52" s="23"/>
      <c r="IR52" s="23"/>
      <c r="IS52" s="23"/>
      <c r="IT52" s="23"/>
      <c r="IU52" s="23"/>
      <c r="IV52" s="23"/>
    </row>
    <row r="53" ht="11.25" customHeight="1">
      <c r="A53" s="21">
        <v>50.0</v>
      </c>
      <c r="B53" s="22">
        <v>1.0</v>
      </c>
      <c r="C53" s="22">
        <v>1.0</v>
      </c>
      <c r="D53" s="22">
        <v>1.0</v>
      </c>
      <c r="E53" s="22">
        <v>1.0</v>
      </c>
      <c r="F53" s="22">
        <v>1.0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3"/>
      <c r="DH53" s="23"/>
      <c r="DI53" s="23"/>
      <c r="DJ53" s="23"/>
      <c r="DK53" s="23"/>
      <c r="DL53" s="23"/>
      <c r="DM53" s="23"/>
      <c r="DN53" s="23"/>
      <c r="DO53" s="23"/>
      <c r="DP53" s="23"/>
      <c r="DQ53" s="23"/>
      <c r="DR53" s="23"/>
      <c r="DS53" s="23"/>
      <c r="DT53" s="23"/>
      <c r="DU53" s="23"/>
      <c r="DV53" s="23"/>
      <c r="DW53" s="23"/>
      <c r="DX53" s="23"/>
      <c r="DY53" s="23"/>
      <c r="DZ53" s="23"/>
      <c r="EA53" s="23"/>
      <c r="EB53" s="23"/>
      <c r="EC53" s="23"/>
      <c r="ED53" s="23"/>
      <c r="EE53" s="23"/>
      <c r="EF53" s="23"/>
      <c r="EG53" s="23"/>
      <c r="EH53" s="23"/>
      <c r="EI53" s="23"/>
      <c r="EJ53" s="23"/>
      <c r="EK53" s="23"/>
      <c r="EL53" s="23"/>
      <c r="EM53" s="23"/>
      <c r="EN53" s="23"/>
      <c r="EO53" s="23"/>
      <c r="EP53" s="23"/>
      <c r="EQ53" s="23"/>
      <c r="ER53" s="23"/>
      <c r="ES53" s="23"/>
      <c r="ET53" s="23"/>
      <c r="EU53" s="23"/>
      <c r="EV53" s="23"/>
      <c r="EW53" s="23"/>
      <c r="EX53" s="23"/>
      <c r="EY53" s="23"/>
      <c r="EZ53" s="23"/>
      <c r="FA53" s="23"/>
      <c r="FB53" s="23"/>
      <c r="FC53" s="23"/>
      <c r="FD53" s="23"/>
      <c r="FE53" s="23"/>
      <c r="FF53" s="23"/>
      <c r="FG53" s="23"/>
      <c r="FH53" s="23"/>
      <c r="FI53" s="23"/>
      <c r="FJ53" s="23"/>
      <c r="FK53" s="23"/>
      <c r="FL53" s="23"/>
      <c r="FM53" s="23"/>
      <c r="FN53" s="23"/>
      <c r="FO53" s="23"/>
      <c r="FP53" s="23"/>
      <c r="FQ53" s="23"/>
      <c r="FR53" s="23"/>
      <c r="FS53" s="23"/>
      <c r="FT53" s="23"/>
      <c r="FU53" s="23"/>
      <c r="FV53" s="23"/>
      <c r="FW53" s="23"/>
      <c r="FX53" s="23"/>
      <c r="FY53" s="23"/>
      <c r="FZ53" s="23"/>
      <c r="GA53" s="23"/>
      <c r="GB53" s="23"/>
      <c r="GC53" s="23"/>
      <c r="GD53" s="23"/>
      <c r="GE53" s="23"/>
      <c r="GF53" s="23"/>
      <c r="GG53" s="23"/>
      <c r="GH53" s="23"/>
      <c r="GI53" s="23"/>
      <c r="GJ53" s="23"/>
      <c r="GK53" s="23"/>
      <c r="GL53" s="23"/>
      <c r="GM53" s="23"/>
      <c r="GN53" s="23"/>
      <c r="GO53" s="23"/>
      <c r="GP53" s="23"/>
      <c r="GQ53" s="23"/>
      <c r="GR53" s="23"/>
      <c r="GS53" s="23"/>
      <c r="GT53" s="23"/>
      <c r="GU53" s="23"/>
      <c r="GV53" s="23"/>
      <c r="GW53" s="23"/>
      <c r="GX53" s="23"/>
      <c r="GY53" s="23"/>
      <c r="GZ53" s="23"/>
      <c r="HA53" s="23"/>
      <c r="HB53" s="23"/>
      <c r="HC53" s="23"/>
      <c r="HD53" s="23"/>
      <c r="HE53" s="23"/>
      <c r="HF53" s="23"/>
      <c r="HG53" s="23"/>
      <c r="HH53" s="23"/>
      <c r="HI53" s="23"/>
      <c r="HJ53" s="23"/>
      <c r="HK53" s="23"/>
      <c r="HL53" s="23"/>
      <c r="HM53" s="23"/>
      <c r="HN53" s="23"/>
      <c r="HO53" s="23"/>
      <c r="HP53" s="23"/>
      <c r="HQ53" s="23"/>
      <c r="HR53" s="23"/>
      <c r="HS53" s="23"/>
      <c r="HT53" s="23"/>
      <c r="HU53" s="23"/>
      <c r="HV53" s="23"/>
      <c r="HW53" s="23"/>
      <c r="HX53" s="23"/>
      <c r="HY53" s="23"/>
      <c r="HZ53" s="23"/>
      <c r="IA53" s="23"/>
      <c r="IB53" s="23"/>
      <c r="IC53" s="23"/>
      <c r="ID53" s="23"/>
      <c r="IE53" s="23"/>
      <c r="IF53" s="23"/>
      <c r="IG53" s="23"/>
      <c r="IH53" s="23"/>
      <c r="II53" s="23"/>
      <c r="IJ53" s="23"/>
      <c r="IK53" s="23"/>
      <c r="IL53" s="23"/>
      <c r="IM53" s="23"/>
      <c r="IN53" s="23"/>
      <c r="IO53" s="23"/>
      <c r="IP53" s="23"/>
      <c r="IQ53" s="23"/>
      <c r="IR53" s="23"/>
      <c r="IS53" s="23"/>
      <c r="IT53" s="23"/>
      <c r="IU53" s="23"/>
      <c r="IV53" s="23"/>
    </row>
    <row r="54" ht="11.25" customHeight="1">
      <c r="A54" s="21">
        <v>51.0</v>
      </c>
      <c r="B54" s="22">
        <v>1.0</v>
      </c>
      <c r="C54" s="22">
        <v>1.0</v>
      </c>
      <c r="D54" s="22">
        <v>1.0</v>
      </c>
      <c r="E54" s="22">
        <v>1.0</v>
      </c>
      <c r="F54" s="22">
        <v>1.0</v>
      </c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/>
      <c r="DP54" s="23"/>
      <c r="DQ54" s="23"/>
      <c r="DR54" s="23"/>
      <c r="DS54" s="23"/>
      <c r="DT54" s="23"/>
      <c r="DU54" s="23"/>
      <c r="DV54" s="23"/>
      <c r="DW54" s="23"/>
      <c r="DX54" s="23"/>
      <c r="DY54" s="23"/>
      <c r="DZ54" s="23"/>
      <c r="EA54" s="23"/>
      <c r="EB54" s="23"/>
      <c r="EC54" s="23"/>
      <c r="ED54" s="23"/>
      <c r="EE54" s="23"/>
      <c r="EF54" s="23"/>
      <c r="EG54" s="23"/>
      <c r="EH54" s="23"/>
      <c r="EI54" s="23"/>
      <c r="EJ54" s="23"/>
      <c r="EK54" s="23"/>
      <c r="EL54" s="23"/>
      <c r="EM54" s="23"/>
      <c r="EN54" s="23"/>
      <c r="EO54" s="23"/>
      <c r="EP54" s="23"/>
      <c r="EQ54" s="23"/>
      <c r="ER54" s="23"/>
      <c r="ES54" s="23"/>
      <c r="ET54" s="23"/>
      <c r="EU54" s="23"/>
      <c r="EV54" s="23"/>
      <c r="EW54" s="23"/>
      <c r="EX54" s="23"/>
      <c r="EY54" s="23"/>
      <c r="EZ54" s="23"/>
      <c r="FA54" s="23"/>
      <c r="FB54" s="23"/>
      <c r="FC54" s="23"/>
      <c r="FD54" s="23"/>
      <c r="FE54" s="23"/>
      <c r="FF54" s="23"/>
      <c r="FG54" s="23"/>
      <c r="FH54" s="23"/>
      <c r="FI54" s="23"/>
      <c r="FJ54" s="23"/>
      <c r="FK54" s="23"/>
      <c r="FL54" s="23"/>
      <c r="FM54" s="23"/>
      <c r="FN54" s="23"/>
      <c r="FO54" s="23"/>
      <c r="FP54" s="23"/>
      <c r="FQ54" s="23"/>
      <c r="FR54" s="23"/>
      <c r="FS54" s="23"/>
      <c r="FT54" s="23"/>
      <c r="FU54" s="23"/>
      <c r="FV54" s="23"/>
      <c r="FW54" s="23"/>
      <c r="FX54" s="23"/>
      <c r="FY54" s="23"/>
      <c r="FZ54" s="23"/>
      <c r="GA54" s="23"/>
      <c r="GB54" s="23"/>
      <c r="GC54" s="23"/>
      <c r="GD54" s="23"/>
      <c r="GE54" s="23"/>
      <c r="GF54" s="23"/>
      <c r="GG54" s="23"/>
      <c r="GH54" s="23"/>
      <c r="GI54" s="23"/>
      <c r="GJ54" s="23"/>
      <c r="GK54" s="23"/>
      <c r="GL54" s="23"/>
      <c r="GM54" s="23"/>
      <c r="GN54" s="23"/>
      <c r="GO54" s="23"/>
      <c r="GP54" s="23"/>
      <c r="GQ54" s="23"/>
      <c r="GR54" s="23"/>
      <c r="GS54" s="23"/>
      <c r="GT54" s="23"/>
      <c r="GU54" s="23"/>
      <c r="GV54" s="23"/>
      <c r="GW54" s="23"/>
      <c r="GX54" s="23"/>
      <c r="GY54" s="23"/>
      <c r="GZ54" s="23"/>
      <c r="HA54" s="23"/>
      <c r="HB54" s="23"/>
      <c r="HC54" s="23"/>
      <c r="HD54" s="23"/>
      <c r="HE54" s="23"/>
      <c r="HF54" s="23"/>
      <c r="HG54" s="23"/>
      <c r="HH54" s="23"/>
      <c r="HI54" s="23"/>
      <c r="HJ54" s="23"/>
      <c r="HK54" s="23"/>
      <c r="HL54" s="23"/>
      <c r="HM54" s="23"/>
      <c r="HN54" s="23"/>
      <c r="HO54" s="23"/>
      <c r="HP54" s="23"/>
      <c r="HQ54" s="23"/>
      <c r="HR54" s="23"/>
      <c r="HS54" s="23"/>
      <c r="HT54" s="23"/>
      <c r="HU54" s="23"/>
      <c r="HV54" s="23"/>
      <c r="HW54" s="23"/>
      <c r="HX54" s="23"/>
      <c r="HY54" s="23"/>
      <c r="HZ54" s="23"/>
      <c r="IA54" s="23"/>
      <c r="IB54" s="23"/>
      <c r="IC54" s="23"/>
      <c r="ID54" s="23"/>
      <c r="IE54" s="23"/>
      <c r="IF54" s="23"/>
      <c r="IG54" s="23"/>
      <c r="IH54" s="23"/>
      <c r="II54" s="23"/>
      <c r="IJ54" s="23"/>
      <c r="IK54" s="23"/>
      <c r="IL54" s="23"/>
      <c r="IM54" s="23"/>
      <c r="IN54" s="23"/>
      <c r="IO54" s="23"/>
      <c r="IP54" s="23"/>
      <c r="IQ54" s="23"/>
      <c r="IR54" s="23"/>
      <c r="IS54" s="23"/>
      <c r="IT54" s="23"/>
      <c r="IU54" s="23"/>
      <c r="IV54" s="23"/>
    </row>
    <row r="55" ht="11.25" customHeight="1">
      <c r="A55" s="21">
        <v>52.0</v>
      </c>
      <c r="B55" s="22">
        <v>1.0</v>
      </c>
      <c r="C55" s="22">
        <v>1.0</v>
      </c>
      <c r="D55" s="22">
        <v>1.0</v>
      </c>
      <c r="E55" s="22">
        <v>1.0</v>
      </c>
      <c r="F55" s="22">
        <v>1.0</v>
      </c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23"/>
      <c r="DX55" s="23"/>
      <c r="DY55" s="23"/>
      <c r="DZ55" s="23"/>
      <c r="EA55" s="23"/>
      <c r="EB55" s="23"/>
      <c r="EC55" s="23"/>
      <c r="ED55" s="23"/>
      <c r="EE55" s="23"/>
      <c r="EF55" s="23"/>
      <c r="EG55" s="23"/>
      <c r="EH55" s="23"/>
      <c r="EI55" s="23"/>
      <c r="EJ55" s="23"/>
      <c r="EK55" s="23"/>
      <c r="EL55" s="23"/>
      <c r="EM55" s="23"/>
      <c r="EN55" s="23"/>
      <c r="EO55" s="23"/>
      <c r="EP55" s="23"/>
      <c r="EQ55" s="23"/>
      <c r="ER55" s="23"/>
      <c r="ES55" s="23"/>
      <c r="ET55" s="23"/>
      <c r="EU55" s="23"/>
      <c r="EV55" s="23"/>
      <c r="EW55" s="23"/>
      <c r="EX55" s="23"/>
      <c r="EY55" s="23"/>
      <c r="EZ55" s="23"/>
      <c r="FA55" s="23"/>
      <c r="FB55" s="23"/>
      <c r="FC55" s="23"/>
      <c r="FD55" s="23"/>
      <c r="FE55" s="23"/>
      <c r="FF55" s="23"/>
      <c r="FG55" s="23"/>
      <c r="FH55" s="23"/>
      <c r="FI55" s="23"/>
      <c r="FJ55" s="23"/>
      <c r="FK55" s="23"/>
      <c r="FL55" s="23"/>
      <c r="FM55" s="23"/>
      <c r="FN55" s="23"/>
      <c r="FO55" s="23"/>
      <c r="FP55" s="23"/>
      <c r="FQ55" s="23"/>
      <c r="FR55" s="23"/>
      <c r="FS55" s="23"/>
      <c r="FT55" s="23"/>
      <c r="FU55" s="23"/>
      <c r="FV55" s="23"/>
      <c r="FW55" s="23"/>
      <c r="FX55" s="23"/>
      <c r="FY55" s="23"/>
      <c r="FZ55" s="23"/>
      <c r="GA55" s="23"/>
      <c r="GB55" s="23"/>
      <c r="GC55" s="23"/>
      <c r="GD55" s="23"/>
      <c r="GE55" s="23"/>
      <c r="GF55" s="23"/>
      <c r="GG55" s="23"/>
      <c r="GH55" s="23"/>
      <c r="GI55" s="23"/>
      <c r="GJ55" s="23"/>
      <c r="GK55" s="23"/>
      <c r="GL55" s="23"/>
      <c r="GM55" s="23"/>
      <c r="GN55" s="23"/>
      <c r="GO55" s="23"/>
      <c r="GP55" s="23"/>
      <c r="GQ55" s="23"/>
      <c r="GR55" s="23"/>
      <c r="GS55" s="23"/>
      <c r="GT55" s="23"/>
      <c r="GU55" s="23"/>
      <c r="GV55" s="23"/>
      <c r="GW55" s="23"/>
      <c r="GX55" s="23"/>
      <c r="GY55" s="23"/>
      <c r="GZ55" s="23"/>
      <c r="HA55" s="23"/>
      <c r="HB55" s="23"/>
      <c r="HC55" s="23"/>
      <c r="HD55" s="23"/>
      <c r="HE55" s="23"/>
      <c r="HF55" s="23"/>
      <c r="HG55" s="23"/>
      <c r="HH55" s="23"/>
      <c r="HI55" s="23"/>
      <c r="HJ55" s="23"/>
      <c r="HK55" s="23"/>
      <c r="HL55" s="23"/>
      <c r="HM55" s="23"/>
      <c r="HN55" s="23"/>
      <c r="HO55" s="23"/>
      <c r="HP55" s="23"/>
      <c r="HQ55" s="23"/>
      <c r="HR55" s="23"/>
      <c r="HS55" s="23"/>
      <c r="HT55" s="23"/>
      <c r="HU55" s="23"/>
      <c r="HV55" s="23"/>
      <c r="HW55" s="23"/>
      <c r="HX55" s="23"/>
      <c r="HY55" s="23"/>
      <c r="HZ55" s="23"/>
      <c r="IA55" s="23"/>
      <c r="IB55" s="23"/>
      <c r="IC55" s="23"/>
      <c r="ID55" s="23"/>
      <c r="IE55" s="23"/>
      <c r="IF55" s="23"/>
      <c r="IG55" s="23"/>
      <c r="IH55" s="23"/>
      <c r="II55" s="23"/>
      <c r="IJ55" s="23"/>
      <c r="IK55" s="23"/>
      <c r="IL55" s="23"/>
      <c r="IM55" s="23"/>
      <c r="IN55" s="23"/>
      <c r="IO55" s="23"/>
      <c r="IP55" s="23"/>
      <c r="IQ55" s="23"/>
      <c r="IR55" s="23"/>
      <c r="IS55" s="23"/>
      <c r="IT55" s="23"/>
      <c r="IU55" s="23"/>
      <c r="IV55" s="23"/>
    </row>
    <row r="56" ht="11.25" customHeight="1">
      <c r="A56" s="21">
        <v>53.0</v>
      </c>
      <c r="B56" s="22">
        <v>1.0</v>
      </c>
      <c r="C56" s="22">
        <v>1.0</v>
      </c>
      <c r="D56" s="22">
        <v>1.0</v>
      </c>
      <c r="E56" s="22">
        <v>1.0</v>
      </c>
      <c r="F56" s="22">
        <v>1.0</v>
      </c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  <c r="DO56" s="23"/>
      <c r="DP56" s="23"/>
      <c r="DQ56" s="23"/>
      <c r="DR56" s="23"/>
      <c r="DS56" s="23"/>
      <c r="DT56" s="23"/>
      <c r="DU56" s="23"/>
      <c r="DV56" s="23"/>
      <c r="DW56" s="23"/>
      <c r="DX56" s="23"/>
      <c r="DY56" s="23"/>
      <c r="DZ56" s="23"/>
      <c r="EA56" s="23"/>
      <c r="EB56" s="23"/>
      <c r="EC56" s="23"/>
      <c r="ED56" s="23"/>
      <c r="EE56" s="23"/>
      <c r="EF56" s="23"/>
      <c r="EG56" s="23"/>
      <c r="EH56" s="23"/>
      <c r="EI56" s="23"/>
      <c r="EJ56" s="23"/>
      <c r="EK56" s="23"/>
      <c r="EL56" s="23"/>
      <c r="EM56" s="23"/>
      <c r="EN56" s="23"/>
      <c r="EO56" s="23"/>
      <c r="EP56" s="23"/>
      <c r="EQ56" s="23"/>
      <c r="ER56" s="23"/>
      <c r="ES56" s="23"/>
      <c r="ET56" s="23"/>
      <c r="EU56" s="23"/>
      <c r="EV56" s="23"/>
      <c r="EW56" s="23"/>
      <c r="EX56" s="23"/>
      <c r="EY56" s="23"/>
      <c r="EZ56" s="23"/>
      <c r="FA56" s="23"/>
      <c r="FB56" s="23"/>
      <c r="FC56" s="23"/>
      <c r="FD56" s="23"/>
      <c r="FE56" s="23"/>
      <c r="FF56" s="23"/>
      <c r="FG56" s="23"/>
      <c r="FH56" s="23"/>
      <c r="FI56" s="23"/>
      <c r="FJ56" s="23"/>
      <c r="FK56" s="23"/>
      <c r="FL56" s="23"/>
      <c r="FM56" s="23"/>
      <c r="FN56" s="23"/>
      <c r="FO56" s="23"/>
      <c r="FP56" s="23"/>
      <c r="FQ56" s="23"/>
      <c r="FR56" s="23"/>
      <c r="FS56" s="23"/>
      <c r="FT56" s="23"/>
      <c r="FU56" s="23"/>
      <c r="FV56" s="23"/>
      <c r="FW56" s="23"/>
      <c r="FX56" s="23"/>
      <c r="FY56" s="23"/>
      <c r="FZ56" s="23"/>
      <c r="GA56" s="23"/>
      <c r="GB56" s="23"/>
      <c r="GC56" s="23"/>
      <c r="GD56" s="23"/>
      <c r="GE56" s="23"/>
      <c r="GF56" s="23"/>
      <c r="GG56" s="23"/>
      <c r="GH56" s="23"/>
      <c r="GI56" s="23"/>
      <c r="GJ56" s="23"/>
      <c r="GK56" s="23"/>
      <c r="GL56" s="23"/>
      <c r="GM56" s="23"/>
      <c r="GN56" s="23"/>
      <c r="GO56" s="23"/>
      <c r="GP56" s="23"/>
      <c r="GQ56" s="23"/>
      <c r="GR56" s="23"/>
      <c r="GS56" s="23"/>
      <c r="GT56" s="23"/>
      <c r="GU56" s="23"/>
      <c r="GV56" s="23"/>
      <c r="GW56" s="23"/>
      <c r="GX56" s="23"/>
      <c r="GY56" s="23"/>
      <c r="GZ56" s="23"/>
      <c r="HA56" s="23"/>
      <c r="HB56" s="23"/>
      <c r="HC56" s="23"/>
      <c r="HD56" s="23"/>
      <c r="HE56" s="23"/>
      <c r="HF56" s="23"/>
      <c r="HG56" s="23"/>
      <c r="HH56" s="23"/>
      <c r="HI56" s="23"/>
      <c r="HJ56" s="23"/>
      <c r="HK56" s="23"/>
      <c r="HL56" s="23"/>
      <c r="HM56" s="23"/>
      <c r="HN56" s="23"/>
      <c r="HO56" s="23"/>
      <c r="HP56" s="23"/>
      <c r="HQ56" s="23"/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  <c r="IL56" s="23"/>
      <c r="IM56" s="23"/>
      <c r="IN56" s="23"/>
      <c r="IO56" s="23"/>
      <c r="IP56" s="23"/>
      <c r="IQ56" s="23"/>
      <c r="IR56" s="23"/>
      <c r="IS56" s="23"/>
      <c r="IT56" s="23"/>
      <c r="IU56" s="23"/>
      <c r="IV56" s="23"/>
    </row>
    <row r="57" ht="11.25" customHeight="1">
      <c r="A57" s="21">
        <v>54.0</v>
      </c>
      <c r="B57" s="22">
        <v>1.0</v>
      </c>
      <c r="C57" s="22">
        <v>1.0</v>
      </c>
      <c r="D57" s="22">
        <v>1.0</v>
      </c>
      <c r="E57" s="22">
        <v>1.0</v>
      </c>
      <c r="F57" s="22">
        <v>1.0</v>
      </c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  <c r="DO57" s="23"/>
      <c r="DP57" s="23"/>
      <c r="DQ57" s="23"/>
      <c r="DR57" s="23"/>
      <c r="DS57" s="23"/>
      <c r="DT57" s="23"/>
      <c r="DU57" s="23"/>
      <c r="DV57" s="23"/>
      <c r="DW57" s="23"/>
      <c r="DX57" s="23"/>
      <c r="DY57" s="23"/>
      <c r="DZ57" s="23"/>
      <c r="EA57" s="23"/>
      <c r="EB57" s="23"/>
      <c r="EC57" s="23"/>
      <c r="ED57" s="23"/>
      <c r="EE57" s="23"/>
      <c r="EF57" s="23"/>
      <c r="EG57" s="23"/>
      <c r="EH57" s="23"/>
      <c r="EI57" s="23"/>
      <c r="EJ57" s="23"/>
      <c r="EK57" s="23"/>
      <c r="EL57" s="23"/>
      <c r="EM57" s="23"/>
      <c r="EN57" s="23"/>
      <c r="EO57" s="23"/>
      <c r="EP57" s="23"/>
      <c r="EQ57" s="23"/>
      <c r="ER57" s="23"/>
      <c r="ES57" s="23"/>
      <c r="ET57" s="23"/>
      <c r="EU57" s="23"/>
      <c r="EV57" s="23"/>
      <c r="EW57" s="23"/>
      <c r="EX57" s="23"/>
      <c r="EY57" s="23"/>
      <c r="EZ57" s="23"/>
      <c r="FA57" s="23"/>
      <c r="FB57" s="23"/>
      <c r="FC57" s="23"/>
      <c r="FD57" s="23"/>
      <c r="FE57" s="23"/>
      <c r="FF57" s="23"/>
      <c r="FG57" s="23"/>
      <c r="FH57" s="23"/>
      <c r="FI57" s="23"/>
      <c r="FJ57" s="23"/>
      <c r="FK57" s="23"/>
      <c r="FL57" s="23"/>
      <c r="FM57" s="23"/>
      <c r="FN57" s="23"/>
      <c r="FO57" s="23"/>
      <c r="FP57" s="23"/>
      <c r="FQ57" s="23"/>
      <c r="FR57" s="23"/>
      <c r="FS57" s="23"/>
      <c r="FT57" s="23"/>
      <c r="FU57" s="23"/>
      <c r="FV57" s="23"/>
      <c r="FW57" s="23"/>
      <c r="FX57" s="23"/>
      <c r="FY57" s="23"/>
      <c r="FZ57" s="23"/>
      <c r="GA57" s="23"/>
      <c r="GB57" s="23"/>
      <c r="GC57" s="23"/>
      <c r="GD57" s="23"/>
      <c r="GE57" s="23"/>
      <c r="GF57" s="23"/>
      <c r="GG57" s="23"/>
      <c r="GH57" s="23"/>
      <c r="GI57" s="23"/>
      <c r="GJ57" s="23"/>
      <c r="GK57" s="23"/>
      <c r="GL57" s="23"/>
      <c r="GM57" s="23"/>
      <c r="GN57" s="23"/>
      <c r="GO57" s="23"/>
      <c r="GP57" s="23"/>
      <c r="GQ57" s="23"/>
      <c r="GR57" s="23"/>
      <c r="GS57" s="23"/>
      <c r="GT57" s="23"/>
      <c r="GU57" s="23"/>
      <c r="GV57" s="23"/>
      <c r="GW57" s="23"/>
      <c r="GX57" s="23"/>
      <c r="GY57" s="23"/>
      <c r="GZ57" s="23"/>
      <c r="HA57" s="23"/>
      <c r="HB57" s="23"/>
      <c r="HC57" s="23"/>
      <c r="HD57" s="23"/>
      <c r="HE57" s="23"/>
      <c r="HF57" s="23"/>
      <c r="HG57" s="23"/>
      <c r="HH57" s="23"/>
      <c r="HI57" s="23"/>
      <c r="HJ57" s="23"/>
      <c r="HK57" s="23"/>
      <c r="HL57" s="23"/>
      <c r="HM57" s="23"/>
      <c r="HN57" s="23"/>
      <c r="HO57" s="23"/>
      <c r="HP57" s="23"/>
      <c r="HQ57" s="23"/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  <c r="IL57" s="23"/>
      <c r="IM57" s="23"/>
      <c r="IN57" s="23"/>
      <c r="IO57" s="23"/>
      <c r="IP57" s="23"/>
      <c r="IQ57" s="23"/>
      <c r="IR57" s="23"/>
      <c r="IS57" s="23"/>
      <c r="IT57" s="23"/>
      <c r="IU57" s="23"/>
      <c r="IV57" s="23"/>
    </row>
    <row r="58" ht="11.25" customHeight="1">
      <c r="A58" s="21">
        <v>55.0</v>
      </c>
      <c r="B58" s="22">
        <v>1.0</v>
      </c>
      <c r="C58" s="22">
        <v>1.0</v>
      </c>
      <c r="D58" s="22">
        <v>1.0</v>
      </c>
      <c r="E58" s="22">
        <v>1.0</v>
      </c>
      <c r="F58" s="22">
        <v>1.0</v>
      </c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3"/>
      <c r="DP58" s="23"/>
      <c r="DQ58" s="23"/>
      <c r="DR58" s="23"/>
      <c r="DS58" s="23"/>
      <c r="DT58" s="23"/>
      <c r="DU58" s="23"/>
      <c r="DV58" s="23"/>
      <c r="DW58" s="23"/>
      <c r="DX58" s="23"/>
      <c r="DY58" s="23"/>
      <c r="DZ58" s="23"/>
      <c r="EA58" s="23"/>
      <c r="EB58" s="23"/>
      <c r="EC58" s="23"/>
      <c r="ED58" s="23"/>
      <c r="EE58" s="23"/>
      <c r="EF58" s="23"/>
      <c r="EG58" s="23"/>
      <c r="EH58" s="23"/>
      <c r="EI58" s="23"/>
      <c r="EJ58" s="23"/>
      <c r="EK58" s="23"/>
      <c r="EL58" s="23"/>
      <c r="EM58" s="23"/>
      <c r="EN58" s="23"/>
      <c r="EO58" s="23"/>
      <c r="EP58" s="23"/>
      <c r="EQ58" s="23"/>
      <c r="ER58" s="23"/>
      <c r="ES58" s="23"/>
      <c r="ET58" s="23"/>
      <c r="EU58" s="23"/>
      <c r="EV58" s="23"/>
      <c r="EW58" s="23"/>
      <c r="EX58" s="23"/>
      <c r="EY58" s="23"/>
      <c r="EZ58" s="23"/>
      <c r="FA58" s="23"/>
      <c r="FB58" s="23"/>
      <c r="FC58" s="23"/>
      <c r="FD58" s="23"/>
      <c r="FE58" s="23"/>
      <c r="FF58" s="23"/>
      <c r="FG58" s="23"/>
      <c r="FH58" s="23"/>
      <c r="FI58" s="23"/>
      <c r="FJ58" s="23"/>
      <c r="FK58" s="23"/>
      <c r="FL58" s="23"/>
      <c r="FM58" s="23"/>
      <c r="FN58" s="23"/>
      <c r="FO58" s="23"/>
      <c r="FP58" s="23"/>
      <c r="FQ58" s="23"/>
      <c r="FR58" s="23"/>
      <c r="FS58" s="23"/>
      <c r="FT58" s="23"/>
      <c r="FU58" s="23"/>
      <c r="FV58" s="23"/>
      <c r="FW58" s="23"/>
      <c r="FX58" s="23"/>
      <c r="FY58" s="23"/>
      <c r="FZ58" s="23"/>
      <c r="GA58" s="23"/>
      <c r="GB58" s="23"/>
      <c r="GC58" s="23"/>
      <c r="GD58" s="23"/>
      <c r="GE58" s="23"/>
      <c r="GF58" s="23"/>
      <c r="GG58" s="23"/>
      <c r="GH58" s="23"/>
      <c r="GI58" s="23"/>
      <c r="GJ58" s="23"/>
      <c r="GK58" s="23"/>
      <c r="GL58" s="23"/>
      <c r="GM58" s="23"/>
      <c r="GN58" s="23"/>
      <c r="GO58" s="23"/>
      <c r="GP58" s="23"/>
      <c r="GQ58" s="23"/>
      <c r="GR58" s="23"/>
      <c r="GS58" s="23"/>
      <c r="GT58" s="23"/>
      <c r="GU58" s="23"/>
      <c r="GV58" s="23"/>
      <c r="GW58" s="23"/>
      <c r="GX58" s="23"/>
      <c r="GY58" s="23"/>
      <c r="GZ58" s="23"/>
      <c r="HA58" s="23"/>
      <c r="HB58" s="23"/>
      <c r="HC58" s="23"/>
      <c r="HD58" s="23"/>
      <c r="HE58" s="23"/>
      <c r="HF58" s="23"/>
      <c r="HG58" s="23"/>
      <c r="HH58" s="23"/>
      <c r="HI58" s="23"/>
      <c r="HJ58" s="23"/>
      <c r="HK58" s="23"/>
      <c r="HL58" s="23"/>
      <c r="HM58" s="23"/>
      <c r="HN58" s="23"/>
      <c r="HO58" s="23"/>
      <c r="HP58" s="23"/>
      <c r="HQ58" s="23"/>
      <c r="HR58" s="23"/>
      <c r="HS58" s="23"/>
      <c r="HT58" s="23"/>
      <c r="HU58" s="23"/>
      <c r="HV58" s="23"/>
      <c r="HW58" s="23"/>
      <c r="HX58" s="23"/>
      <c r="HY58" s="23"/>
      <c r="HZ58" s="23"/>
      <c r="IA58" s="23"/>
      <c r="IB58" s="23"/>
      <c r="IC58" s="23"/>
      <c r="ID58" s="23"/>
      <c r="IE58" s="23"/>
      <c r="IF58" s="23"/>
      <c r="IG58" s="23"/>
      <c r="IH58" s="23"/>
      <c r="II58" s="23"/>
      <c r="IJ58" s="23"/>
      <c r="IK58" s="23"/>
      <c r="IL58" s="23"/>
      <c r="IM58" s="23"/>
      <c r="IN58" s="23"/>
      <c r="IO58" s="23"/>
      <c r="IP58" s="23"/>
      <c r="IQ58" s="23"/>
      <c r="IR58" s="23"/>
      <c r="IS58" s="23"/>
      <c r="IT58" s="23"/>
      <c r="IU58" s="23"/>
      <c r="IV58" s="23"/>
    </row>
    <row r="59" ht="11.25" customHeight="1">
      <c r="A59" s="21">
        <v>56.0</v>
      </c>
      <c r="B59" s="22">
        <v>1.0</v>
      </c>
      <c r="C59" s="22">
        <v>1.0</v>
      </c>
      <c r="D59" s="22">
        <v>1.0</v>
      </c>
      <c r="E59" s="22">
        <v>1.0</v>
      </c>
      <c r="F59" s="22">
        <v>1.0</v>
      </c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  <c r="DH59" s="23"/>
      <c r="DI59" s="23"/>
      <c r="DJ59" s="23"/>
      <c r="DK59" s="23"/>
      <c r="DL59" s="23"/>
      <c r="DM59" s="23"/>
      <c r="DN59" s="23"/>
      <c r="DO59" s="23"/>
      <c r="DP59" s="23"/>
      <c r="DQ59" s="23"/>
      <c r="DR59" s="23"/>
      <c r="DS59" s="23"/>
      <c r="DT59" s="23"/>
      <c r="DU59" s="23"/>
      <c r="DV59" s="23"/>
      <c r="DW59" s="23"/>
      <c r="DX59" s="23"/>
      <c r="DY59" s="23"/>
      <c r="DZ59" s="23"/>
      <c r="EA59" s="23"/>
      <c r="EB59" s="23"/>
      <c r="EC59" s="23"/>
      <c r="ED59" s="23"/>
      <c r="EE59" s="23"/>
      <c r="EF59" s="23"/>
      <c r="EG59" s="23"/>
      <c r="EH59" s="23"/>
      <c r="EI59" s="23"/>
      <c r="EJ59" s="23"/>
      <c r="EK59" s="23"/>
      <c r="EL59" s="23"/>
      <c r="EM59" s="23"/>
      <c r="EN59" s="23"/>
      <c r="EO59" s="23"/>
      <c r="EP59" s="23"/>
      <c r="EQ59" s="23"/>
      <c r="ER59" s="23"/>
      <c r="ES59" s="23"/>
      <c r="ET59" s="23"/>
      <c r="EU59" s="23"/>
      <c r="EV59" s="23"/>
      <c r="EW59" s="23"/>
      <c r="EX59" s="23"/>
      <c r="EY59" s="23"/>
      <c r="EZ59" s="23"/>
      <c r="FA59" s="23"/>
      <c r="FB59" s="23"/>
      <c r="FC59" s="23"/>
      <c r="FD59" s="23"/>
      <c r="FE59" s="23"/>
      <c r="FF59" s="23"/>
      <c r="FG59" s="23"/>
      <c r="FH59" s="23"/>
      <c r="FI59" s="23"/>
      <c r="FJ59" s="23"/>
      <c r="FK59" s="23"/>
      <c r="FL59" s="23"/>
      <c r="FM59" s="23"/>
      <c r="FN59" s="23"/>
      <c r="FO59" s="23"/>
      <c r="FP59" s="23"/>
      <c r="FQ59" s="23"/>
      <c r="FR59" s="23"/>
      <c r="FS59" s="23"/>
      <c r="FT59" s="23"/>
      <c r="FU59" s="23"/>
      <c r="FV59" s="23"/>
      <c r="FW59" s="23"/>
      <c r="FX59" s="23"/>
      <c r="FY59" s="23"/>
      <c r="FZ59" s="23"/>
      <c r="GA59" s="23"/>
      <c r="GB59" s="23"/>
      <c r="GC59" s="23"/>
      <c r="GD59" s="23"/>
      <c r="GE59" s="23"/>
      <c r="GF59" s="23"/>
      <c r="GG59" s="23"/>
      <c r="GH59" s="23"/>
      <c r="GI59" s="23"/>
      <c r="GJ59" s="23"/>
      <c r="GK59" s="23"/>
      <c r="GL59" s="23"/>
      <c r="GM59" s="23"/>
      <c r="GN59" s="23"/>
      <c r="GO59" s="23"/>
      <c r="GP59" s="23"/>
      <c r="GQ59" s="23"/>
      <c r="GR59" s="23"/>
      <c r="GS59" s="23"/>
      <c r="GT59" s="23"/>
      <c r="GU59" s="23"/>
      <c r="GV59" s="23"/>
      <c r="GW59" s="23"/>
      <c r="GX59" s="23"/>
      <c r="GY59" s="23"/>
      <c r="GZ59" s="23"/>
      <c r="HA59" s="23"/>
      <c r="HB59" s="23"/>
      <c r="HC59" s="23"/>
      <c r="HD59" s="23"/>
      <c r="HE59" s="23"/>
      <c r="HF59" s="23"/>
      <c r="HG59" s="23"/>
      <c r="HH59" s="23"/>
      <c r="HI59" s="23"/>
      <c r="HJ59" s="23"/>
      <c r="HK59" s="23"/>
      <c r="HL59" s="23"/>
      <c r="HM59" s="23"/>
      <c r="HN59" s="23"/>
      <c r="HO59" s="23"/>
      <c r="HP59" s="23"/>
      <c r="HQ59" s="23"/>
      <c r="HR59" s="23"/>
      <c r="HS59" s="23"/>
      <c r="HT59" s="23"/>
      <c r="HU59" s="23"/>
      <c r="HV59" s="23"/>
      <c r="HW59" s="23"/>
      <c r="HX59" s="23"/>
      <c r="HY59" s="23"/>
      <c r="HZ59" s="23"/>
      <c r="IA59" s="23"/>
      <c r="IB59" s="23"/>
      <c r="IC59" s="23"/>
      <c r="ID59" s="23"/>
      <c r="IE59" s="23"/>
      <c r="IF59" s="23"/>
      <c r="IG59" s="23"/>
      <c r="IH59" s="23"/>
      <c r="II59" s="23"/>
      <c r="IJ59" s="23"/>
      <c r="IK59" s="23"/>
      <c r="IL59" s="23"/>
      <c r="IM59" s="23"/>
      <c r="IN59" s="23"/>
      <c r="IO59" s="23"/>
      <c r="IP59" s="23"/>
      <c r="IQ59" s="23"/>
      <c r="IR59" s="23"/>
      <c r="IS59" s="23"/>
      <c r="IT59" s="23"/>
      <c r="IU59" s="23"/>
      <c r="IV59" s="23"/>
    </row>
    <row r="60" ht="11.25" customHeight="1">
      <c r="A60" s="21">
        <v>57.0</v>
      </c>
      <c r="B60" s="22">
        <v>2.0</v>
      </c>
      <c r="C60" s="22">
        <v>2.0</v>
      </c>
      <c r="D60" s="22">
        <v>2.0</v>
      </c>
      <c r="E60" s="22">
        <v>2.0</v>
      </c>
      <c r="F60" s="22">
        <v>2.0</v>
      </c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3"/>
      <c r="DP60" s="23"/>
      <c r="DQ60" s="23"/>
      <c r="DR60" s="23"/>
      <c r="DS60" s="23"/>
      <c r="DT60" s="23"/>
      <c r="DU60" s="23"/>
      <c r="DV60" s="23"/>
      <c r="DW60" s="23"/>
      <c r="DX60" s="23"/>
      <c r="DY60" s="23"/>
      <c r="DZ60" s="23"/>
      <c r="EA60" s="23"/>
      <c r="EB60" s="23"/>
      <c r="EC60" s="23"/>
      <c r="ED60" s="23"/>
      <c r="EE60" s="23"/>
      <c r="EF60" s="23"/>
      <c r="EG60" s="23"/>
      <c r="EH60" s="23"/>
      <c r="EI60" s="23"/>
      <c r="EJ60" s="23"/>
      <c r="EK60" s="23"/>
      <c r="EL60" s="23"/>
      <c r="EM60" s="23"/>
      <c r="EN60" s="23"/>
      <c r="EO60" s="23"/>
      <c r="EP60" s="23"/>
      <c r="EQ60" s="23"/>
      <c r="ER60" s="23"/>
      <c r="ES60" s="23"/>
      <c r="ET60" s="23"/>
      <c r="EU60" s="23"/>
      <c r="EV60" s="23"/>
      <c r="EW60" s="23"/>
      <c r="EX60" s="23"/>
      <c r="EY60" s="23"/>
      <c r="EZ60" s="23"/>
      <c r="FA60" s="23"/>
      <c r="FB60" s="23"/>
      <c r="FC60" s="23"/>
      <c r="FD60" s="23"/>
      <c r="FE60" s="23"/>
      <c r="FF60" s="23"/>
      <c r="FG60" s="23"/>
      <c r="FH60" s="23"/>
      <c r="FI60" s="23"/>
      <c r="FJ60" s="23"/>
      <c r="FK60" s="23"/>
      <c r="FL60" s="23"/>
      <c r="FM60" s="23"/>
      <c r="FN60" s="23"/>
      <c r="FO60" s="23"/>
      <c r="FP60" s="23"/>
      <c r="FQ60" s="23"/>
      <c r="FR60" s="23"/>
      <c r="FS60" s="23"/>
      <c r="FT60" s="23"/>
      <c r="FU60" s="23"/>
      <c r="FV60" s="23"/>
      <c r="FW60" s="23"/>
      <c r="FX60" s="23"/>
      <c r="FY60" s="23"/>
      <c r="FZ60" s="23"/>
      <c r="GA60" s="23"/>
      <c r="GB60" s="23"/>
      <c r="GC60" s="23"/>
      <c r="GD60" s="23"/>
      <c r="GE60" s="23"/>
      <c r="GF60" s="23"/>
      <c r="GG60" s="23"/>
      <c r="GH60" s="23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3"/>
      <c r="GU60" s="23"/>
      <c r="GV60" s="23"/>
      <c r="GW60" s="23"/>
      <c r="GX60" s="23"/>
      <c r="GY60" s="23"/>
      <c r="GZ60" s="23"/>
      <c r="HA60" s="23"/>
      <c r="HB60" s="23"/>
      <c r="HC60" s="23"/>
      <c r="HD60" s="23"/>
      <c r="HE60" s="23"/>
      <c r="HF60" s="23"/>
      <c r="HG60" s="23"/>
      <c r="HH60" s="23"/>
      <c r="HI60" s="23"/>
      <c r="HJ60" s="23"/>
      <c r="HK60" s="23"/>
      <c r="HL60" s="23"/>
      <c r="HM60" s="23"/>
      <c r="HN60" s="23"/>
      <c r="HO60" s="23"/>
      <c r="HP60" s="23"/>
      <c r="HQ60" s="23"/>
      <c r="HR60" s="23"/>
      <c r="HS60" s="23"/>
      <c r="HT60" s="23"/>
      <c r="HU60" s="23"/>
      <c r="HV60" s="23"/>
      <c r="HW60" s="23"/>
      <c r="HX60" s="23"/>
      <c r="HY60" s="23"/>
      <c r="HZ60" s="23"/>
      <c r="IA60" s="23"/>
      <c r="IB60" s="23"/>
      <c r="IC60" s="23"/>
      <c r="ID60" s="23"/>
      <c r="IE60" s="23"/>
      <c r="IF60" s="23"/>
      <c r="IG60" s="23"/>
      <c r="IH60" s="23"/>
      <c r="II60" s="23"/>
      <c r="IJ60" s="23"/>
      <c r="IK60" s="23"/>
      <c r="IL60" s="23"/>
      <c r="IM60" s="23"/>
      <c r="IN60" s="23"/>
      <c r="IO60" s="23"/>
      <c r="IP60" s="23"/>
      <c r="IQ60" s="23"/>
      <c r="IR60" s="23"/>
      <c r="IS60" s="23"/>
      <c r="IT60" s="23"/>
      <c r="IU60" s="23"/>
      <c r="IV60" s="23"/>
    </row>
    <row r="61" ht="11.25" customHeight="1">
      <c r="A61" s="21">
        <v>58.0</v>
      </c>
      <c r="B61" s="22">
        <v>1.0</v>
      </c>
      <c r="C61" s="22">
        <v>1.0</v>
      </c>
      <c r="D61" s="22">
        <v>1.0</v>
      </c>
      <c r="E61" s="22">
        <v>1.0</v>
      </c>
      <c r="F61" s="22">
        <v>1.0</v>
      </c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3"/>
      <c r="DH61" s="23"/>
      <c r="DI61" s="23"/>
      <c r="DJ61" s="23"/>
      <c r="DK61" s="23"/>
      <c r="DL61" s="23"/>
      <c r="DM61" s="23"/>
      <c r="DN61" s="23"/>
      <c r="DO61" s="23"/>
      <c r="DP61" s="23"/>
      <c r="DQ61" s="23"/>
      <c r="DR61" s="23"/>
      <c r="DS61" s="23"/>
      <c r="DT61" s="23"/>
      <c r="DU61" s="23"/>
      <c r="DV61" s="23"/>
      <c r="DW61" s="23"/>
      <c r="DX61" s="23"/>
      <c r="DY61" s="23"/>
      <c r="DZ61" s="23"/>
      <c r="EA61" s="23"/>
      <c r="EB61" s="23"/>
      <c r="EC61" s="23"/>
      <c r="ED61" s="23"/>
      <c r="EE61" s="23"/>
      <c r="EF61" s="23"/>
      <c r="EG61" s="23"/>
      <c r="EH61" s="23"/>
      <c r="EI61" s="23"/>
      <c r="EJ61" s="23"/>
      <c r="EK61" s="23"/>
      <c r="EL61" s="23"/>
      <c r="EM61" s="23"/>
      <c r="EN61" s="23"/>
      <c r="EO61" s="23"/>
      <c r="EP61" s="23"/>
      <c r="EQ61" s="23"/>
      <c r="ER61" s="23"/>
      <c r="ES61" s="23"/>
      <c r="ET61" s="23"/>
      <c r="EU61" s="23"/>
      <c r="EV61" s="23"/>
      <c r="EW61" s="23"/>
      <c r="EX61" s="23"/>
      <c r="EY61" s="23"/>
      <c r="EZ61" s="23"/>
      <c r="FA61" s="23"/>
      <c r="FB61" s="23"/>
      <c r="FC61" s="23"/>
      <c r="FD61" s="23"/>
      <c r="FE61" s="23"/>
      <c r="FF61" s="23"/>
      <c r="FG61" s="23"/>
      <c r="FH61" s="23"/>
      <c r="FI61" s="23"/>
      <c r="FJ61" s="23"/>
      <c r="FK61" s="23"/>
      <c r="FL61" s="23"/>
      <c r="FM61" s="23"/>
      <c r="FN61" s="23"/>
      <c r="FO61" s="23"/>
      <c r="FP61" s="23"/>
      <c r="FQ61" s="23"/>
      <c r="FR61" s="23"/>
      <c r="FS61" s="23"/>
      <c r="FT61" s="23"/>
      <c r="FU61" s="23"/>
      <c r="FV61" s="23"/>
      <c r="FW61" s="23"/>
      <c r="FX61" s="23"/>
      <c r="FY61" s="23"/>
      <c r="FZ61" s="23"/>
      <c r="GA61" s="23"/>
      <c r="GB61" s="23"/>
      <c r="GC61" s="23"/>
      <c r="GD61" s="23"/>
      <c r="GE61" s="23"/>
      <c r="GF61" s="23"/>
      <c r="GG61" s="23"/>
      <c r="GH61" s="23"/>
      <c r="GI61" s="23"/>
      <c r="GJ61" s="23"/>
      <c r="GK61" s="23"/>
      <c r="GL61" s="23"/>
      <c r="GM61" s="23"/>
      <c r="GN61" s="23"/>
      <c r="GO61" s="23"/>
      <c r="GP61" s="23"/>
      <c r="GQ61" s="23"/>
      <c r="GR61" s="23"/>
      <c r="GS61" s="23"/>
      <c r="GT61" s="23"/>
      <c r="GU61" s="23"/>
      <c r="GV61" s="23"/>
      <c r="GW61" s="23"/>
      <c r="GX61" s="23"/>
      <c r="GY61" s="23"/>
      <c r="GZ61" s="23"/>
      <c r="HA61" s="23"/>
      <c r="HB61" s="23"/>
      <c r="HC61" s="23"/>
      <c r="HD61" s="23"/>
      <c r="HE61" s="23"/>
      <c r="HF61" s="23"/>
      <c r="HG61" s="23"/>
      <c r="HH61" s="23"/>
      <c r="HI61" s="23"/>
      <c r="HJ61" s="23"/>
      <c r="HK61" s="23"/>
      <c r="HL61" s="23"/>
      <c r="HM61" s="23"/>
      <c r="HN61" s="23"/>
      <c r="HO61" s="23"/>
      <c r="HP61" s="23"/>
      <c r="HQ61" s="23"/>
      <c r="HR61" s="23"/>
      <c r="HS61" s="23"/>
      <c r="HT61" s="23"/>
      <c r="HU61" s="23"/>
      <c r="HV61" s="23"/>
      <c r="HW61" s="23"/>
      <c r="HX61" s="23"/>
      <c r="HY61" s="23"/>
      <c r="HZ61" s="23"/>
      <c r="IA61" s="23"/>
      <c r="IB61" s="23"/>
      <c r="IC61" s="23"/>
      <c r="ID61" s="23"/>
      <c r="IE61" s="23"/>
      <c r="IF61" s="23"/>
      <c r="IG61" s="23"/>
      <c r="IH61" s="23"/>
      <c r="II61" s="23"/>
      <c r="IJ61" s="23"/>
      <c r="IK61" s="23"/>
      <c r="IL61" s="23"/>
      <c r="IM61" s="23"/>
      <c r="IN61" s="23"/>
      <c r="IO61" s="23"/>
      <c r="IP61" s="23"/>
      <c r="IQ61" s="23"/>
      <c r="IR61" s="23"/>
      <c r="IS61" s="23"/>
      <c r="IT61" s="23"/>
      <c r="IU61" s="23"/>
      <c r="IV61" s="23"/>
    </row>
    <row r="62" ht="11.25" customHeight="1">
      <c r="A62" s="21">
        <v>59.0</v>
      </c>
      <c r="B62" s="22">
        <v>2.0</v>
      </c>
      <c r="C62" s="22">
        <v>2.0</v>
      </c>
      <c r="D62" s="22">
        <v>2.0</v>
      </c>
      <c r="E62" s="22">
        <v>2.0</v>
      </c>
      <c r="F62" s="22">
        <v>2.0</v>
      </c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23"/>
      <c r="DP62" s="23"/>
      <c r="DQ62" s="23"/>
      <c r="DR62" s="23"/>
      <c r="DS62" s="23"/>
      <c r="DT62" s="23"/>
      <c r="DU62" s="23"/>
      <c r="DV62" s="23"/>
      <c r="DW62" s="23"/>
      <c r="DX62" s="23"/>
      <c r="DY62" s="23"/>
      <c r="DZ62" s="23"/>
      <c r="EA62" s="23"/>
      <c r="EB62" s="23"/>
      <c r="EC62" s="23"/>
      <c r="ED62" s="23"/>
      <c r="EE62" s="23"/>
      <c r="EF62" s="23"/>
      <c r="EG62" s="23"/>
      <c r="EH62" s="23"/>
      <c r="EI62" s="23"/>
      <c r="EJ62" s="23"/>
      <c r="EK62" s="23"/>
      <c r="EL62" s="23"/>
      <c r="EM62" s="23"/>
      <c r="EN62" s="23"/>
      <c r="EO62" s="23"/>
      <c r="EP62" s="23"/>
      <c r="EQ62" s="23"/>
      <c r="ER62" s="23"/>
      <c r="ES62" s="23"/>
      <c r="ET62" s="23"/>
      <c r="EU62" s="23"/>
      <c r="EV62" s="23"/>
      <c r="EW62" s="23"/>
      <c r="EX62" s="23"/>
      <c r="EY62" s="23"/>
      <c r="EZ62" s="23"/>
      <c r="FA62" s="23"/>
      <c r="FB62" s="23"/>
      <c r="FC62" s="23"/>
      <c r="FD62" s="23"/>
      <c r="FE62" s="23"/>
      <c r="FF62" s="23"/>
      <c r="FG62" s="23"/>
      <c r="FH62" s="23"/>
      <c r="FI62" s="23"/>
      <c r="FJ62" s="23"/>
      <c r="FK62" s="23"/>
      <c r="FL62" s="23"/>
      <c r="FM62" s="23"/>
      <c r="FN62" s="23"/>
      <c r="FO62" s="23"/>
      <c r="FP62" s="23"/>
      <c r="FQ62" s="23"/>
      <c r="FR62" s="23"/>
      <c r="FS62" s="23"/>
      <c r="FT62" s="23"/>
      <c r="FU62" s="23"/>
      <c r="FV62" s="23"/>
      <c r="FW62" s="23"/>
      <c r="FX62" s="23"/>
      <c r="FY62" s="23"/>
      <c r="FZ62" s="23"/>
      <c r="GA62" s="23"/>
      <c r="GB62" s="23"/>
      <c r="GC62" s="23"/>
      <c r="GD62" s="23"/>
      <c r="GE62" s="23"/>
      <c r="GF62" s="23"/>
      <c r="GG62" s="23"/>
      <c r="GH62" s="23"/>
      <c r="GI62" s="23"/>
      <c r="GJ62" s="23"/>
      <c r="GK62" s="23"/>
      <c r="GL62" s="23"/>
      <c r="GM62" s="23"/>
      <c r="GN62" s="23"/>
      <c r="GO62" s="23"/>
      <c r="GP62" s="23"/>
      <c r="GQ62" s="23"/>
      <c r="GR62" s="23"/>
      <c r="GS62" s="23"/>
      <c r="GT62" s="23"/>
      <c r="GU62" s="23"/>
      <c r="GV62" s="23"/>
      <c r="GW62" s="23"/>
      <c r="GX62" s="23"/>
      <c r="GY62" s="23"/>
      <c r="GZ62" s="23"/>
      <c r="HA62" s="23"/>
      <c r="HB62" s="23"/>
      <c r="HC62" s="23"/>
      <c r="HD62" s="23"/>
      <c r="HE62" s="23"/>
      <c r="HF62" s="23"/>
      <c r="HG62" s="23"/>
      <c r="HH62" s="23"/>
      <c r="HI62" s="23"/>
      <c r="HJ62" s="23"/>
      <c r="HK62" s="23"/>
      <c r="HL62" s="23"/>
      <c r="HM62" s="23"/>
      <c r="HN62" s="23"/>
      <c r="HO62" s="23"/>
      <c r="HP62" s="23"/>
      <c r="HQ62" s="23"/>
      <c r="HR62" s="23"/>
      <c r="HS62" s="23"/>
      <c r="HT62" s="23"/>
      <c r="HU62" s="23"/>
      <c r="HV62" s="23"/>
      <c r="HW62" s="23"/>
      <c r="HX62" s="23"/>
      <c r="HY62" s="23"/>
      <c r="HZ62" s="23"/>
      <c r="IA62" s="23"/>
      <c r="IB62" s="23"/>
      <c r="IC62" s="23"/>
      <c r="ID62" s="23"/>
      <c r="IE62" s="23"/>
      <c r="IF62" s="23"/>
      <c r="IG62" s="23"/>
      <c r="IH62" s="23"/>
      <c r="II62" s="23"/>
      <c r="IJ62" s="23"/>
      <c r="IK62" s="23"/>
      <c r="IL62" s="23"/>
      <c r="IM62" s="23"/>
      <c r="IN62" s="23"/>
      <c r="IO62" s="23"/>
      <c r="IP62" s="23"/>
      <c r="IQ62" s="23"/>
      <c r="IR62" s="23"/>
      <c r="IS62" s="23"/>
      <c r="IT62" s="23"/>
      <c r="IU62" s="23"/>
      <c r="IV62" s="23"/>
    </row>
    <row r="63" ht="11.25" customHeight="1">
      <c r="A63" s="21">
        <v>60.0</v>
      </c>
      <c r="B63" s="22">
        <v>2.0</v>
      </c>
      <c r="C63" s="22">
        <v>2.0</v>
      </c>
      <c r="D63" s="22">
        <v>2.0</v>
      </c>
      <c r="E63" s="22">
        <v>2.0</v>
      </c>
      <c r="F63" s="22">
        <v>2.0</v>
      </c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  <c r="DO63" s="23"/>
      <c r="DP63" s="23"/>
      <c r="DQ63" s="23"/>
      <c r="DR63" s="23"/>
      <c r="DS63" s="23"/>
      <c r="DT63" s="23"/>
      <c r="DU63" s="23"/>
      <c r="DV63" s="23"/>
      <c r="DW63" s="23"/>
      <c r="DX63" s="23"/>
      <c r="DY63" s="23"/>
      <c r="DZ63" s="23"/>
      <c r="EA63" s="23"/>
      <c r="EB63" s="23"/>
      <c r="EC63" s="23"/>
      <c r="ED63" s="23"/>
      <c r="EE63" s="23"/>
      <c r="EF63" s="23"/>
      <c r="EG63" s="23"/>
      <c r="EH63" s="23"/>
      <c r="EI63" s="23"/>
      <c r="EJ63" s="23"/>
      <c r="EK63" s="23"/>
      <c r="EL63" s="23"/>
      <c r="EM63" s="23"/>
      <c r="EN63" s="23"/>
      <c r="EO63" s="23"/>
      <c r="EP63" s="23"/>
      <c r="EQ63" s="23"/>
      <c r="ER63" s="23"/>
      <c r="ES63" s="23"/>
      <c r="ET63" s="23"/>
      <c r="EU63" s="23"/>
      <c r="EV63" s="23"/>
      <c r="EW63" s="23"/>
      <c r="EX63" s="23"/>
      <c r="EY63" s="23"/>
      <c r="EZ63" s="23"/>
      <c r="FA63" s="23"/>
      <c r="FB63" s="23"/>
      <c r="FC63" s="23"/>
      <c r="FD63" s="23"/>
      <c r="FE63" s="23"/>
      <c r="FF63" s="23"/>
      <c r="FG63" s="23"/>
      <c r="FH63" s="23"/>
      <c r="FI63" s="23"/>
      <c r="FJ63" s="23"/>
      <c r="FK63" s="23"/>
      <c r="FL63" s="23"/>
      <c r="FM63" s="23"/>
      <c r="FN63" s="23"/>
      <c r="FO63" s="23"/>
      <c r="FP63" s="23"/>
      <c r="FQ63" s="23"/>
      <c r="FR63" s="23"/>
      <c r="FS63" s="23"/>
      <c r="FT63" s="23"/>
      <c r="FU63" s="23"/>
      <c r="FV63" s="23"/>
      <c r="FW63" s="23"/>
      <c r="FX63" s="23"/>
      <c r="FY63" s="23"/>
      <c r="FZ63" s="23"/>
      <c r="GA63" s="23"/>
      <c r="GB63" s="23"/>
      <c r="GC63" s="23"/>
      <c r="GD63" s="23"/>
      <c r="GE63" s="23"/>
      <c r="GF63" s="23"/>
      <c r="GG63" s="23"/>
      <c r="GH63" s="23"/>
      <c r="GI63" s="23"/>
      <c r="GJ63" s="23"/>
      <c r="GK63" s="23"/>
      <c r="GL63" s="23"/>
      <c r="GM63" s="23"/>
      <c r="GN63" s="23"/>
      <c r="GO63" s="23"/>
      <c r="GP63" s="23"/>
      <c r="GQ63" s="23"/>
      <c r="GR63" s="23"/>
      <c r="GS63" s="23"/>
      <c r="GT63" s="23"/>
      <c r="GU63" s="23"/>
      <c r="GV63" s="23"/>
      <c r="GW63" s="23"/>
      <c r="GX63" s="23"/>
      <c r="GY63" s="23"/>
      <c r="GZ63" s="23"/>
      <c r="HA63" s="23"/>
      <c r="HB63" s="23"/>
      <c r="HC63" s="23"/>
      <c r="HD63" s="23"/>
      <c r="HE63" s="23"/>
      <c r="HF63" s="23"/>
      <c r="HG63" s="23"/>
      <c r="HH63" s="23"/>
      <c r="HI63" s="23"/>
      <c r="HJ63" s="23"/>
      <c r="HK63" s="23"/>
      <c r="HL63" s="23"/>
      <c r="HM63" s="23"/>
      <c r="HN63" s="23"/>
      <c r="HO63" s="23"/>
      <c r="HP63" s="23"/>
      <c r="HQ63" s="23"/>
      <c r="HR63" s="23"/>
      <c r="HS63" s="23"/>
      <c r="HT63" s="23"/>
      <c r="HU63" s="23"/>
      <c r="HV63" s="23"/>
      <c r="HW63" s="23"/>
      <c r="HX63" s="23"/>
      <c r="HY63" s="23"/>
      <c r="HZ63" s="23"/>
      <c r="IA63" s="23"/>
      <c r="IB63" s="23"/>
      <c r="IC63" s="23"/>
      <c r="ID63" s="23"/>
      <c r="IE63" s="23"/>
      <c r="IF63" s="23"/>
      <c r="IG63" s="23"/>
      <c r="IH63" s="23"/>
      <c r="II63" s="23"/>
      <c r="IJ63" s="23"/>
      <c r="IK63" s="23"/>
      <c r="IL63" s="23"/>
      <c r="IM63" s="23"/>
      <c r="IN63" s="23"/>
      <c r="IO63" s="23"/>
      <c r="IP63" s="23"/>
      <c r="IQ63" s="23"/>
      <c r="IR63" s="23"/>
      <c r="IS63" s="23"/>
      <c r="IT63" s="23"/>
      <c r="IU63" s="23"/>
      <c r="IV63" s="23"/>
    </row>
    <row r="64" ht="11.25" customHeight="1">
      <c r="A64" s="21">
        <v>61.0</v>
      </c>
      <c r="B64" s="22">
        <v>1.0</v>
      </c>
      <c r="C64" s="22">
        <v>1.0</v>
      </c>
      <c r="D64" s="22">
        <v>1.0</v>
      </c>
      <c r="E64" s="22">
        <v>1.0</v>
      </c>
      <c r="F64" s="22">
        <v>1.0</v>
      </c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3"/>
      <c r="DH64" s="23"/>
      <c r="DI64" s="23"/>
      <c r="DJ64" s="23"/>
      <c r="DK64" s="23"/>
      <c r="DL64" s="23"/>
      <c r="DM64" s="23"/>
      <c r="DN64" s="23"/>
      <c r="DO64" s="23"/>
      <c r="DP64" s="23"/>
      <c r="DQ64" s="23"/>
      <c r="DR64" s="23"/>
      <c r="DS64" s="23"/>
      <c r="DT64" s="23"/>
      <c r="DU64" s="23"/>
      <c r="DV64" s="23"/>
      <c r="DW64" s="23"/>
      <c r="DX64" s="23"/>
      <c r="DY64" s="23"/>
      <c r="DZ64" s="23"/>
      <c r="EA64" s="23"/>
      <c r="EB64" s="23"/>
      <c r="EC64" s="23"/>
      <c r="ED64" s="23"/>
      <c r="EE64" s="23"/>
      <c r="EF64" s="23"/>
      <c r="EG64" s="23"/>
      <c r="EH64" s="23"/>
      <c r="EI64" s="23"/>
      <c r="EJ64" s="23"/>
      <c r="EK64" s="23"/>
      <c r="EL64" s="23"/>
      <c r="EM64" s="23"/>
      <c r="EN64" s="23"/>
      <c r="EO64" s="23"/>
      <c r="EP64" s="23"/>
      <c r="EQ64" s="23"/>
      <c r="ER64" s="23"/>
      <c r="ES64" s="23"/>
      <c r="ET64" s="23"/>
      <c r="EU64" s="23"/>
      <c r="EV64" s="23"/>
      <c r="EW64" s="23"/>
      <c r="EX64" s="23"/>
      <c r="EY64" s="23"/>
      <c r="EZ64" s="23"/>
      <c r="FA64" s="23"/>
      <c r="FB64" s="23"/>
      <c r="FC64" s="23"/>
      <c r="FD64" s="23"/>
      <c r="FE64" s="23"/>
      <c r="FF64" s="23"/>
      <c r="FG64" s="23"/>
      <c r="FH64" s="23"/>
      <c r="FI64" s="23"/>
      <c r="FJ64" s="23"/>
      <c r="FK64" s="23"/>
      <c r="FL64" s="23"/>
      <c r="FM64" s="23"/>
      <c r="FN64" s="23"/>
      <c r="FO64" s="23"/>
      <c r="FP64" s="23"/>
      <c r="FQ64" s="23"/>
      <c r="FR64" s="23"/>
      <c r="FS64" s="23"/>
      <c r="FT64" s="23"/>
      <c r="FU64" s="23"/>
      <c r="FV64" s="23"/>
      <c r="FW64" s="23"/>
      <c r="FX64" s="23"/>
      <c r="FY64" s="23"/>
      <c r="FZ64" s="23"/>
      <c r="GA64" s="23"/>
      <c r="GB64" s="23"/>
      <c r="GC64" s="23"/>
      <c r="GD64" s="23"/>
      <c r="GE64" s="23"/>
      <c r="GF64" s="23"/>
      <c r="GG64" s="23"/>
      <c r="GH64" s="23"/>
      <c r="GI64" s="23"/>
      <c r="GJ64" s="23"/>
      <c r="GK64" s="23"/>
      <c r="GL64" s="23"/>
      <c r="GM64" s="23"/>
      <c r="GN64" s="23"/>
      <c r="GO64" s="23"/>
      <c r="GP64" s="23"/>
      <c r="GQ64" s="23"/>
      <c r="GR64" s="23"/>
      <c r="GS64" s="23"/>
      <c r="GT64" s="23"/>
      <c r="GU64" s="23"/>
      <c r="GV64" s="23"/>
      <c r="GW64" s="23"/>
      <c r="GX64" s="23"/>
      <c r="GY64" s="23"/>
      <c r="GZ64" s="23"/>
      <c r="HA64" s="23"/>
      <c r="HB64" s="23"/>
      <c r="HC64" s="23"/>
      <c r="HD64" s="23"/>
      <c r="HE64" s="23"/>
      <c r="HF64" s="23"/>
      <c r="HG64" s="23"/>
      <c r="HH64" s="23"/>
      <c r="HI64" s="23"/>
      <c r="HJ64" s="23"/>
      <c r="HK64" s="23"/>
      <c r="HL64" s="23"/>
      <c r="HM64" s="23"/>
      <c r="HN64" s="23"/>
      <c r="HO64" s="23"/>
      <c r="HP64" s="23"/>
      <c r="HQ64" s="23"/>
      <c r="HR64" s="23"/>
      <c r="HS64" s="23"/>
      <c r="HT64" s="23"/>
      <c r="HU64" s="23"/>
      <c r="HV64" s="23"/>
      <c r="HW64" s="23"/>
      <c r="HX64" s="23"/>
      <c r="HY64" s="23"/>
      <c r="HZ64" s="23"/>
      <c r="IA64" s="23"/>
      <c r="IB64" s="23"/>
      <c r="IC64" s="23"/>
      <c r="ID64" s="23"/>
      <c r="IE64" s="23"/>
      <c r="IF64" s="23"/>
      <c r="IG64" s="23"/>
      <c r="IH64" s="23"/>
      <c r="II64" s="23"/>
      <c r="IJ64" s="23"/>
      <c r="IK64" s="23"/>
      <c r="IL64" s="23"/>
      <c r="IM64" s="23"/>
      <c r="IN64" s="23"/>
      <c r="IO64" s="23"/>
      <c r="IP64" s="23"/>
      <c r="IQ64" s="23"/>
      <c r="IR64" s="23"/>
      <c r="IS64" s="23"/>
      <c r="IT64" s="23"/>
      <c r="IU64" s="23"/>
      <c r="IV64" s="23"/>
    </row>
    <row r="65" ht="11.25" customHeight="1">
      <c r="A65" s="21">
        <v>62.0</v>
      </c>
      <c r="B65" s="22">
        <v>1.0</v>
      </c>
      <c r="C65" s="22">
        <v>1.0</v>
      </c>
      <c r="D65" s="22">
        <v>1.0</v>
      </c>
      <c r="E65" s="22">
        <v>1.0</v>
      </c>
      <c r="F65" s="22">
        <v>1.0</v>
      </c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3"/>
      <c r="DH65" s="23"/>
      <c r="DI65" s="23"/>
      <c r="DJ65" s="23"/>
      <c r="DK65" s="23"/>
      <c r="DL65" s="23"/>
      <c r="DM65" s="23"/>
      <c r="DN65" s="23"/>
      <c r="DO65" s="23"/>
      <c r="DP65" s="23"/>
      <c r="DQ65" s="23"/>
      <c r="DR65" s="23"/>
      <c r="DS65" s="23"/>
      <c r="DT65" s="23"/>
      <c r="DU65" s="23"/>
      <c r="DV65" s="23"/>
      <c r="DW65" s="23"/>
      <c r="DX65" s="23"/>
      <c r="DY65" s="23"/>
      <c r="DZ65" s="23"/>
      <c r="EA65" s="23"/>
      <c r="EB65" s="23"/>
      <c r="EC65" s="23"/>
      <c r="ED65" s="23"/>
      <c r="EE65" s="23"/>
      <c r="EF65" s="23"/>
      <c r="EG65" s="23"/>
      <c r="EH65" s="23"/>
      <c r="EI65" s="23"/>
      <c r="EJ65" s="23"/>
      <c r="EK65" s="23"/>
      <c r="EL65" s="23"/>
      <c r="EM65" s="23"/>
      <c r="EN65" s="23"/>
      <c r="EO65" s="23"/>
      <c r="EP65" s="23"/>
      <c r="EQ65" s="23"/>
      <c r="ER65" s="23"/>
      <c r="ES65" s="23"/>
      <c r="ET65" s="23"/>
      <c r="EU65" s="23"/>
      <c r="EV65" s="23"/>
      <c r="EW65" s="23"/>
      <c r="EX65" s="23"/>
      <c r="EY65" s="23"/>
      <c r="EZ65" s="23"/>
      <c r="FA65" s="23"/>
      <c r="FB65" s="23"/>
      <c r="FC65" s="23"/>
      <c r="FD65" s="23"/>
      <c r="FE65" s="23"/>
      <c r="FF65" s="23"/>
      <c r="FG65" s="23"/>
      <c r="FH65" s="23"/>
      <c r="FI65" s="23"/>
      <c r="FJ65" s="23"/>
      <c r="FK65" s="23"/>
      <c r="FL65" s="23"/>
      <c r="FM65" s="23"/>
      <c r="FN65" s="23"/>
      <c r="FO65" s="23"/>
      <c r="FP65" s="23"/>
      <c r="FQ65" s="23"/>
      <c r="FR65" s="23"/>
      <c r="FS65" s="23"/>
      <c r="FT65" s="23"/>
      <c r="FU65" s="23"/>
      <c r="FV65" s="23"/>
      <c r="FW65" s="23"/>
      <c r="FX65" s="23"/>
      <c r="FY65" s="23"/>
      <c r="FZ65" s="23"/>
      <c r="GA65" s="23"/>
      <c r="GB65" s="23"/>
      <c r="GC65" s="23"/>
      <c r="GD65" s="23"/>
      <c r="GE65" s="23"/>
      <c r="GF65" s="23"/>
      <c r="GG65" s="23"/>
      <c r="GH65" s="23"/>
      <c r="GI65" s="23"/>
      <c r="GJ65" s="23"/>
      <c r="GK65" s="23"/>
      <c r="GL65" s="23"/>
      <c r="GM65" s="23"/>
      <c r="GN65" s="23"/>
      <c r="GO65" s="23"/>
      <c r="GP65" s="23"/>
      <c r="GQ65" s="23"/>
      <c r="GR65" s="23"/>
      <c r="GS65" s="23"/>
      <c r="GT65" s="23"/>
      <c r="GU65" s="23"/>
      <c r="GV65" s="23"/>
      <c r="GW65" s="23"/>
      <c r="GX65" s="23"/>
      <c r="GY65" s="23"/>
      <c r="GZ65" s="23"/>
      <c r="HA65" s="23"/>
      <c r="HB65" s="23"/>
      <c r="HC65" s="23"/>
      <c r="HD65" s="23"/>
      <c r="HE65" s="23"/>
      <c r="HF65" s="23"/>
      <c r="HG65" s="23"/>
      <c r="HH65" s="23"/>
      <c r="HI65" s="23"/>
      <c r="HJ65" s="23"/>
      <c r="HK65" s="23"/>
      <c r="HL65" s="23"/>
      <c r="HM65" s="23"/>
      <c r="HN65" s="23"/>
      <c r="HO65" s="23"/>
      <c r="HP65" s="23"/>
      <c r="HQ65" s="23"/>
      <c r="HR65" s="23"/>
      <c r="HS65" s="23"/>
      <c r="HT65" s="23"/>
      <c r="HU65" s="23"/>
      <c r="HV65" s="23"/>
      <c r="HW65" s="23"/>
      <c r="HX65" s="23"/>
      <c r="HY65" s="23"/>
      <c r="HZ65" s="23"/>
      <c r="IA65" s="23"/>
      <c r="IB65" s="23"/>
      <c r="IC65" s="23"/>
      <c r="ID65" s="23"/>
      <c r="IE65" s="23"/>
      <c r="IF65" s="23"/>
      <c r="IG65" s="23"/>
      <c r="IH65" s="23"/>
      <c r="II65" s="23"/>
      <c r="IJ65" s="23"/>
      <c r="IK65" s="23"/>
      <c r="IL65" s="23"/>
      <c r="IM65" s="23"/>
      <c r="IN65" s="23"/>
      <c r="IO65" s="23"/>
      <c r="IP65" s="23"/>
      <c r="IQ65" s="23"/>
      <c r="IR65" s="23"/>
      <c r="IS65" s="23"/>
      <c r="IT65" s="23"/>
      <c r="IU65" s="23"/>
      <c r="IV65" s="23"/>
    </row>
    <row r="66" ht="11.25" customHeight="1">
      <c r="A66" s="21">
        <v>63.0</v>
      </c>
      <c r="B66" s="22">
        <v>1.0</v>
      </c>
      <c r="C66" s="22">
        <v>1.0</v>
      </c>
      <c r="D66" s="22">
        <v>1.0</v>
      </c>
      <c r="E66" s="22">
        <v>1.0</v>
      </c>
      <c r="F66" s="22">
        <v>1.0</v>
      </c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  <c r="ID66" s="23"/>
      <c r="IE66" s="23"/>
      <c r="IF66" s="23"/>
      <c r="IG66" s="23"/>
      <c r="IH66" s="23"/>
      <c r="II66" s="23"/>
      <c r="IJ66" s="23"/>
      <c r="IK66" s="23"/>
      <c r="IL66" s="23"/>
      <c r="IM66" s="23"/>
      <c r="IN66" s="23"/>
      <c r="IO66" s="23"/>
      <c r="IP66" s="23"/>
      <c r="IQ66" s="23"/>
      <c r="IR66" s="23"/>
      <c r="IS66" s="23"/>
      <c r="IT66" s="23"/>
      <c r="IU66" s="23"/>
      <c r="IV66" s="23"/>
    </row>
    <row r="67" ht="11.25" customHeight="1">
      <c r="A67" s="21">
        <v>64.0</v>
      </c>
      <c r="B67" s="22">
        <v>1.0</v>
      </c>
      <c r="C67" s="22">
        <v>1.0</v>
      </c>
      <c r="D67" s="22">
        <v>1.0</v>
      </c>
      <c r="E67" s="22">
        <v>1.0</v>
      </c>
      <c r="F67" s="22">
        <v>1.0</v>
      </c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  <c r="ID67" s="23"/>
      <c r="IE67" s="23"/>
      <c r="IF67" s="23"/>
      <c r="IG67" s="23"/>
      <c r="IH67" s="23"/>
      <c r="II67" s="23"/>
      <c r="IJ67" s="23"/>
      <c r="IK67" s="23"/>
      <c r="IL67" s="23"/>
      <c r="IM67" s="23"/>
      <c r="IN67" s="23"/>
      <c r="IO67" s="23"/>
      <c r="IP67" s="23"/>
      <c r="IQ67" s="23"/>
      <c r="IR67" s="23"/>
      <c r="IS67" s="23"/>
      <c r="IT67" s="23"/>
      <c r="IU67" s="23"/>
      <c r="IV67" s="23"/>
    </row>
    <row r="68" ht="11.25" customHeight="1">
      <c r="A68" s="21">
        <v>65.0</v>
      </c>
      <c r="B68" s="22">
        <v>1.0</v>
      </c>
      <c r="C68" s="22">
        <v>1.0</v>
      </c>
      <c r="D68" s="22">
        <v>1.0</v>
      </c>
      <c r="E68" s="22">
        <v>1.0</v>
      </c>
      <c r="F68" s="22">
        <v>1.0</v>
      </c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  <c r="ID68" s="23"/>
      <c r="IE68" s="23"/>
      <c r="IF68" s="23"/>
      <c r="IG68" s="23"/>
      <c r="IH68" s="23"/>
      <c r="II68" s="23"/>
      <c r="IJ68" s="23"/>
      <c r="IK68" s="23"/>
      <c r="IL68" s="23"/>
      <c r="IM68" s="23"/>
      <c r="IN68" s="23"/>
      <c r="IO68" s="23"/>
      <c r="IP68" s="23"/>
      <c r="IQ68" s="23"/>
      <c r="IR68" s="23"/>
      <c r="IS68" s="23"/>
      <c r="IT68" s="23"/>
      <c r="IU68" s="23"/>
      <c r="IV68" s="23"/>
    </row>
    <row r="69" ht="11.25" customHeight="1">
      <c r="A69" s="21">
        <v>66.0</v>
      </c>
      <c r="B69" s="22">
        <v>1.0</v>
      </c>
      <c r="C69" s="22">
        <v>1.0</v>
      </c>
      <c r="D69" s="22">
        <v>1.0</v>
      </c>
      <c r="E69" s="22">
        <v>1.0</v>
      </c>
      <c r="F69" s="22">
        <v>1.0</v>
      </c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3"/>
      <c r="DH69" s="23"/>
      <c r="DI69" s="23"/>
      <c r="DJ69" s="23"/>
      <c r="DK69" s="23"/>
      <c r="DL69" s="23"/>
      <c r="DM69" s="23"/>
      <c r="DN69" s="23"/>
      <c r="DO69" s="23"/>
      <c r="DP69" s="23"/>
      <c r="DQ69" s="23"/>
      <c r="DR69" s="23"/>
      <c r="DS69" s="23"/>
      <c r="DT69" s="23"/>
      <c r="DU69" s="23"/>
      <c r="DV69" s="23"/>
      <c r="DW69" s="23"/>
      <c r="DX69" s="23"/>
      <c r="DY69" s="23"/>
      <c r="DZ69" s="23"/>
      <c r="EA69" s="23"/>
      <c r="EB69" s="23"/>
      <c r="EC69" s="23"/>
      <c r="ED69" s="23"/>
      <c r="EE69" s="23"/>
      <c r="EF69" s="23"/>
      <c r="EG69" s="23"/>
      <c r="EH69" s="23"/>
      <c r="EI69" s="23"/>
      <c r="EJ69" s="23"/>
      <c r="EK69" s="23"/>
      <c r="EL69" s="23"/>
      <c r="EM69" s="23"/>
      <c r="EN69" s="23"/>
      <c r="EO69" s="23"/>
      <c r="EP69" s="23"/>
      <c r="EQ69" s="23"/>
      <c r="ER69" s="23"/>
      <c r="ES69" s="23"/>
      <c r="ET69" s="23"/>
      <c r="EU69" s="23"/>
      <c r="EV69" s="23"/>
      <c r="EW69" s="23"/>
      <c r="EX69" s="23"/>
      <c r="EY69" s="23"/>
      <c r="EZ69" s="23"/>
      <c r="FA69" s="23"/>
      <c r="FB69" s="23"/>
      <c r="FC69" s="23"/>
      <c r="FD69" s="23"/>
      <c r="FE69" s="23"/>
      <c r="FF69" s="23"/>
      <c r="FG69" s="23"/>
      <c r="FH69" s="23"/>
      <c r="FI69" s="23"/>
      <c r="FJ69" s="23"/>
      <c r="FK69" s="23"/>
      <c r="FL69" s="23"/>
      <c r="FM69" s="23"/>
      <c r="FN69" s="23"/>
      <c r="FO69" s="23"/>
      <c r="FP69" s="23"/>
      <c r="FQ69" s="23"/>
      <c r="FR69" s="23"/>
      <c r="FS69" s="23"/>
      <c r="FT69" s="23"/>
      <c r="FU69" s="23"/>
      <c r="FV69" s="23"/>
      <c r="FW69" s="23"/>
      <c r="FX69" s="23"/>
      <c r="FY69" s="23"/>
      <c r="FZ69" s="23"/>
      <c r="GA69" s="23"/>
      <c r="GB69" s="23"/>
      <c r="GC69" s="23"/>
      <c r="GD69" s="23"/>
      <c r="GE69" s="23"/>
      <c r="GF69" s="23"/>
      <c r="GG69" s="23"/>
      <c r="GH69" s="23"/>
      <c r="GI69" s="23"/>
      <c r="GJ69" s="23"/>
      <c r="GK69" s="23"/>
      <c r="GL69" s="23"/>
      <c r="GM69" s="23"/>
      <c r="GN69" s="23"/>
      <c r="GO69" s="23"/>
      <c r="GP69" s="23"/>
      <c r="GQ69" s="23"/>
      <c r="GR69" s="23"/>
      <c r="GS69" s="23"/>
      <c r="GT69" s="23"/>
      <c r="GU69" s="23"/>
      <c r="GV69" s="23"/>
      <c r="GW69" s="23"/>
      <c r="GX69" s="23"/>
      <c r="GY69" s="23"/>
      <c r="GZ69" s="23"/>
      <c r="HA69" s="23"/>
      <c r="HB69" s="23"/>
      <c r="HC69" s="23"/>
      <c r="HD69" s="23"/>
      <c r="HE69" s="23"/>
      <c r="HF69" s="23"/>
      <c r="HG69" s="23"/>
      <c r="HH69" s="23"/>
      <c r="HI69" s="23"/>
      <c r="HJ69" s="23"/>
      <c r="HK69" s="23"/>
      <c r="HL69" s="23"/>
      <c r="HM69" s="23"/>
      <c r="HN69" s="23"/>
      <c r="HO69" s="23"/>
      <c r="HP69" s="23"/>
      <c r="HQ69" s="23"/>
      <c r="HR69" s="23"/>
      <c r="HS69" s="23"/>
      <c r="HT69" s="23"/>
      <c r="HU69" s="23"/>
      <c r="HV69" s="23"/>
      <c r="HW69" s="23"/>
      <c r="HX69" s="23"/>
      <c r="HY69" s="23"/>
      <c r="HZ69" s="23"/>
      <c r="IA69" s="23"/>
      <c r="IB69" s="23"/>
      <c r="IC69" s="23"/>
      <c r="ID69" s="23"/>
      <c r="IE69" s="23"/>
      <c r="IF69" s="23"/>
      <c r="IG69" s="23"/>
      <c r="IH69" s="23"/>
      <c r="II69" s="23"/>
      <c r="IJ69" s="23"/>
      <c r="IK69" s="23"/>
      <c r="IL69" s="23"/>
      <c r="IM69" s="23"/>
      <c r="IN69" s="23"/>
      <c r="IO69" s="23"/>
      <c r="IP69" s="23"/>
      <c r="IQ69" s="23"/>
      <c r="IR69" s="23"/>
      <c r="IS69" s="23"/>
      <c r="IT69" s="23"/>
      <c r="IU69" s="23"/>
      <c r="IV69" s="23"/>
    </row>
    <row r="70" ht="11.25" customHeight="1">
      <c r="A70" s="21">
        <v>67.0</v>
      </c>
      <c r="B70" s="22">
        <v>1.0</v>
      </c>
      <c r="C70" s="22">
        <v>1.0</v>
      </c>
      <c r="D70" s="22">
        <v>1.0</v>
      </c>
      <c r="E70" s="22">
        <v>1.0</v>
      </c>
      <c r="F70" s="22">
        <v>1.0</v>
      </c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  <c r="DH70" s="23"/>
      <c r="DI70" s="23"/>
      <c r="DJ70" s="23"/>
      <c r="DK70" s="23"/>
      <c r="DL70" s="23"/>
      <c r="DM70" s="23"/>
      <c r="DN70" s="23"/>
      <c r="DO70" s="23"/>
      <c r="DP70" s="23"/>
      <c r="DQ70" s="23"/>
      <c r="DR70" s="23"/>
      <c r="DS70" s="23"/>
      <c r="DT70" s="23"/>
      <c r="DU70" s="23"/>
      <c r="DV70" s="23"/>
      <c r="DW70" s="23"/>
      <c r="DX70" s="23"/>
      <c r="DY70" s="23"/>
      <c r="DZ70" s="23"/>
      <c r="EA70" s="23"/>
      <c r="EB70" s="23"/>
      <c r="EC70" s="23"/>
      <c r="ED70" s="23"/>
      <c r="EE70" s="23"/>
      <c r="EF70" s="23"/>
      <c r="EG70" s="23"/>
      <c r="EH70" s="23"/>
      <c r="EI70" s="23"/>
      <c r="EJ70" s="23"/>
      <c r="EK70" s="23"/>
      <c r="EL70" s="23"/>
      <c r="EM70" s="23"/>
      <c r="EN70" s="23"/>
      <c r="EO70" s="23"/>
      <c r="EP70" s="23"/>
      <c r="EQ70" s="23"/>
      <c r="ER70" s="23"/>
      <c r="ES70" s="23"/>
      <c r="ET70" s="23"/>
      <c r="EU70" s="23"/>
      <c r="EV70" s="23"/>
      <c r="EW70" s="23"/>
      <c r="EX70" s="23"/>
      <c r="EY70" s="23"/>
      <c r="EZ70" s="23"/>
      <c r="FA70" s="23"/>
      <c r="FB70" s="23"/>
      <c r="FC70" s="23"/>
      <c r="FD70" s="23"/>
      <c r="FE70" s="23"/>
      <c r="FF70" s="23"/>
      <c r="FG70" s="23"/>
      <c r="FH70" s="23"/>
      <c r="FI70" s="23"/>
      <c r="FJ70" s="23"/>
      <c r="FK70" s="23"/>
      <c r="FL70" s="23"/>
      <c r="FM70" s="23"/>
      <c r="FN70" s="23"/>
      <c r="FO70" s="23"/>
      <c r="FP70" s="23"/>
      <c r="FQ70" s="23"/>
      <c r="FR70" s="23"/>
      <c r="FS70" s="23"/>
      <c r="FT70" s="23"/>
      <c r="FU70" s="23"/>
      <c r="FV70" s="23"/>
      <c r="FW70" s="23"/>
      <c r="FX70" s="23"/>
      <c r="FY70" s="23"/>
      <c r="FZ70" s="23"/>
      <c r="GA70" s="23"/>
      <c r="GB70" s="23"/>
      <c r="GC70" s="23"/>
      <c r="GD70" s="23"/>
      <c r="GE70" s="23"/>
      <c r="GF70" s="23"/>
      <c r="GG70" s="23"/>
      <c r="GH70" s="23"/>
      <c r="GI70" s="23"/>
      <c r="GJ70" s="23"/>
      <c r="GK70" s="23"/>
      <c r="GL70" s="23"/>
      <c r="GM70" s="23"/>
      <c r="GN70" s="23"/>
      <c r="GO70" s="23"/>
      <c r="GP70" s="23"/>
      <c r="GQ70" s="23"/>
      <c r="GR70" s="23"/>
      <c r="GS70" s="23"/>
      <c r="GT70" s="23"/>
      <c r="GU70" s="23"/>
      <c r="GV70" s="23"/>
      <c r="GW70" s="23"/>
      <c r="GX70" s="23"/>
      <c r="GY70" s="23"/>
      <c r="GZ70" s="23"/>
      <c r="HA70" s="23"/>
      <c r="HB70" s="23"/>
      <c r="HC70" s="23"/>
      <c r="HD70" s="23"/>
      <c r="HE70" s="23"/>
      <c r="HF70" s="23"/>
      <c r="HG70" s="23"/>
      <c r="HH70" s="23"/>
      <c r="HI70" s="23"/>
      <c r="HJ70" s="23"/>
      <c r="HK70" s="23"/>
      <c r="HL70" s="23"/>
      <c r="HM70" s="23"/>
      <c r="HN70" s="23"/>
      <c r="HO70" s="23"/>
      <c r="HP70" s="23"/>
      <c r="HQ70" s="23"/>
      <c r="HR70" s="23"/>
      <c r="HS70" s="23"/>
      <c r="HT70" s="23"/>
      <c r="HU70" s="23"/>
      <c r="HV70" s="23"/>
      <c r="HW70" s="23"/>
      <c r="HX70" s="23"/>
      <c r="HY70" s="23"/>
      <c r="HZ70" s="23"/>
      <c r="IA70" s="23"/>
      <c r="IB70" s="23"/>
      <c r="IC70" s="23"/>
      <c r="ID70" s="23"/>
      <c r="IE70" s="23"/>
      <c r="IF70" s="23"/>
      <c r="IG70" s="23"/>
      <c r="IH70" s="23"/>
      <c r="II70" s="23"/>
      <c r="IJ70" s="23"/>
      <c r="IK70" s="23"/>
      <c r="IL70" s="23"/>
      <c r="IM70" s="23"/>
      <c r="IN70" s="23"/>
      <c r="IO70" s="23"/>
      <c r="IP70" s="23"/>
      <c r="IQ70" s="23"/>
      <c r="IR70" s="23"/>
      <c r="IS70" s="23"/>
      <c r="IT70" s="23"/>
      <c r="IU70" s="23"/>
      <c r="IV70" s="23"/>
    </row>
    <row r="71" ht="11.25" customHeight="1">
      <c r="A71" s="21">
        <v>68.0</v>
      </c>
      <c r="B71" s="22">
        <v>2.0</v>
      </c>
      <c r="C71" s="22">
        <v>2.0</v>
      </c>
      <c r="D71" s="22">
        <v>2.0</v>
      </c>
      <c r="E71" s="22">
        <v>2.0</v>
      </c>
      <c r="F71" s="22">
        <v>2.0</v>
      </c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  <c r="DH71" s="23"/>
      <c r="DI71" s="23"/>
      <c r="DJ71" s="23"/>
      <c r="DK71" s="23"/>
      <c r="DL71" s="23"/>
      <c r="DM71" s="23"/>
      <c r="DN71" s="23"/>
      <c r="DO71" s="23"/>
      <c r="DP71" s="23"/>
      <c r="DQ71" s="23"/>
      <c r="DR71" s="23"/>
      <c r="DS71" s="23"/>
      <c r="DT71" s="23"/>
      <c r="DU71" s="23"/>
      <c r="DV71" s="23"/>
      <c r="DW71" s="23"/>
      <c r="DX71" s="23"/>
      <c r="DY71" s="23"/>
      <c r="DZ71" s="23"/>
      <c r="EA71" s="23"/>
      <c r="EB71" s="23"/>
      <c r="EC71" s="23"/>
      <c r="ED71" s="23"/>
      <c r="EE71" s="23"/>
      <c r="EF71" s="23"/>
      <c r="EG71" s="23"/>
      <c r="EH71" s="23"/>
      <c r="EI71" s="23"/>
      <c r="EJ71" s="23"/>
      <c r="EK71" s="23"/>
      <c r="EL71" s="23"/>
      <c r="EM71" s="23"/>
      <c r="EN71" s="23"/>
      <c r="EO71" s="23"/>
      <c r="EP71" s="23"/>
      <c r="EQ71" s="23"/>
      <c r="ER71" s="23"/>
      <c r="ES71" s="23"/>
      <c r="ET71" s="23"/>
      <c r="EU71" s="23"/>
      <c r="EV71" s="23"/>
      <c r="EW71" s="23"/>
      <c r="EX71" s="23"/>
      <c r="EY71" s="23"/>
      <c r="EZ71" s="23"/>
      <c r="FA71" s="23"/>
      <c r="FB71" s="23"/>
      <c r="FC71" s="23"/>
      <c r="FD71" s="23"/>
      <c r="FE71" s="23"/>
      <c r="FF71" s="23"/>
      <c r="FG71" s="23"/>
      <c r="FH71" s="23"/>
      <c r="FI71" s="23"/>
      <c r="FJ71" s="23"/>
      <c r="FK71" s="23"/>
      <c r="FL71" s="23"/>
      <c r="FM71" s="23"/>
      <c r="FN71" s="23"/>
      <c r="FO71" s="23"/>
      <c r="FP71" s="23"/>
      <c r="FQ71" s="23"/>
      <c r="FR71" s="23"/>
      <c r="FS71" s="23"/>
      <c r="FT71" s="23"/>
      <c r="FU71" s="23"/>
      <c r="FV71" s="23"/>
      <c r="FW71" s="23"/>
      <c r="FX71" s="23"/>
      <c r="FY71" s="23"/>
      <c r="FZ71" s="23"/>
      <c r="GA71" s="23"/>
      <c r="GB71" s="23"/>
      <c r="GC71" s="23"/>
      <c r="GD71" s="23"/>
      <c r="GE71" s="23"/>
      <c r="GF71" s="23"/>
      <c r="GG71" s="23"/>
      <c r="GH71" s="23"/>
      <c r="GI71" s="23"/>
      <c r="GJ71" s="23"/>
      <c r="GK71" s="23"/>
      <c r="GL71" s="23"/>
      <c r="GM71" s="23"/>
      <c r="GN71" s="23"/>
      <c r="GO71" s="23"/>
      <c r="GP71" s="23"/>
      <c r="GQ71" s="23"/>
      <c r="GR71" s="23"/>
      <c r="GS71" s="23"/>
      <c r="GT71" s="23"/>
      <c r="GU71" s="23"/>
      <c r="GV71" s="23"/>
      <c r="GW71" s="23"/>
      <c r="GX71" s="23"/>
      <c r="GY71" s="23"/>
      <c r="GZ71" s="23"/>
      <c r="HA71" s="23"/>
      <c r="HB71" s="23"/>
      <c r="HC71" s="23"/>
      <c r="HD71" s="23"/>
      <c r="HE71" s="23"/>
      <c r="HF71" s="23"/>
      <c r="HG71" s="23"/>
      <c r="HH71" s="23"/>
      <c r="HI71" s="23"/>
      <c r="HJ71" s="23"/>
      <c r="HK71" s="23"/>
      <c r="HL71" s="23"/>
      <c r="HM71" s="23"/>
      <c r="HN71" s="23"/>
      <c r="HO71" s="23"/>
      <c r="HP71" s="23"/>
      <c r="HQ71" s="23"/>
      <c r="HR71" s="23"/>
      <c r="HS71" s="23"/>
      <c r="HT71" s="23"/>
      <c r="HU71" s="23"/>
      <c r="HV71" s="23"/>
      <c r="HW71" s="23"/>
      <c r="HX71" s="23"/>
      <c r="HY71" s="23"/>
      <c r="HZ71" s="23"/>
      <c r="IA71" s="23"/>
      <c r="IB71" s="23"/>
      <c r="IC71" s="23"/>
      <c r="ID71" s="23"/>
      <c r="IE71" s="23"/>
      <c r="IF71" s="23"/>
      <c r="IG71" s="23"/>
      <c r="IH71" s="23"/>
      <c r="II71" s="23"/>
      <c r="IJ71" s="23"/>
      <c r="IK71" s="23"/>
      <c r="IL71" s="23"/>
      <c r="IM71" s="23"/>
      <c r="IN71" s="23"/>
      <c r="IO71" s="23"/>
      <c r="IP71" s="23"/>
      <c r="IQ71" s="23"/>
      <c r="IR71" s="23"/>
      <c r="IS71" s="23"/>
      <c r="IT71" s="23"/>
      <c r="IU71" s="23"/>
      <c r="IV71" s="23"/>
    </row>
    <row r="72" ht="11.25" customHeight="1">
      <c r="A72" s="21">
        <v>69.0</v>
      </c>
      <c r="B72" s="22">
        <v>1.0</v>
      </c>
      <c r="C72" s="22">
        <v>1.0</v>
      </c>
      <c r="D72" s="22">
        <v>1.0</v>
      </c>
      <c r="E72" s="22">
        <v>1.0</v>
      </c>
      <c r="F72" s="22">
        <v>1.0</v>
      </c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3"/>
      <c r="DH72" s="23"/>
      <c r="DI72" s="23"/>
      <c r="DJ72" s="23"/>
      <c r="DK72" s="23"/>
      <c r="DL72" s="23"/>
      <c r="DM72" s="23"/>
      <c r="DN72" s="23"/>
      <c r="DO72" s="23"/>
      <c r="DP72" s="23"/>
      <c r="DQ72" s="23"/>
      <c r="DR72" s="23"/>
      <c r="DS72" s="23"/>
      <c r="DT72" s="23"/>
      <c r="DU72" s="23"/>
      <c r="DV72" s="23"/>
      <c r="DW72" s="23"/>
      <c r="DX72" s="23"/>
      <c r="DY72" s="23"/>
      <c r="DZ72" s="23"/>
      <c r="EA72" s="23"/>
      <c r="EB72" s="23"/>
      <c r="EC72" s="23"/>
      <c r="ED72" s="23"/>
      <c r="EE72" s="23"/>
      <c r="EF72" s="23"/>
      <c r="EG72" s="23"/>
      <c r="EH72" s="23"/>
      <c r="EI72" s="23"/>
      <c r="EJ72" s="23"/>
      <c r="EK72" s="23"/>
      <c r="EL72" s="23"/>
      <c r="EM72" s="23"/>
      <c r="EN72" s="23"/>
      <c r="EO72" s="23"/>
      <c r="EP72" s="23"/>
      <c r="EQ72" s="23"/>
      <c r="ER72" s="23"/>
      <c r="ES72" s="23"/>
      <c r="ET72" s="23"/>
      <c r="EU72" s="23"/>
      <c r="EV72" s="23"/>
      <c r="EW72" s="23"/>
      <c r="EX72" s="23"/>
      <c r="EY72" s="23"/>
      <c r="EZ72" s="23"/>
      <c r="FA72" s="23"/>
      <c r="FB72" s="23"/>
      <c r="FC72" s="23"/>
      <c r="FD72" s="23"/>
      <c r="FE72" s="23"/>
      <c r="FF72" s="23"/>
      <c r="FG72" s="23"/>
      <c r="FH72" s="23"/>
      <c r="FI72" s="23"/>
      <c r="FJ72" s="23"/>
      <c r="FK72" s="23"/>
      <c r="FL72" s="23"/>
      <c r="FM72" s="23"/>
      <c r="FN72" s="23"/>
      <c r="FO72" s="23"/>
      <c r="FP72" s="23"/>
      <c r="FQ72" s="23"/>
      <c r="FR72" s="23"/>
      <c r="FS72" s="23"/>
      <c r="FT72" s="23"/>
      <c r="FU72" s="23"/>
      <c r="FV72" s="23"/>
      <c r="FW72" s="23"/>
      <c r="FX72" s="23"/>
      <c r="FY72" s="23"/>
      <c r="FZ72" s="23"/>
      <c r="GA72" s="23"/>
      <c r="GB72" s="23"/>
      <c r="GC72" s="23"/>
      <c r="GD72" s="23"/>
      <c r="GE72" s="23"/>
      <c r="GF72" s="23"/>
      <c r="GG72" s="23"/>
      <c r="GH72" s="23"/>
      <c r="GI72" s="23"/>
      <c r="GJ72" s="23"/>
      <c r="GK72" s="23"/>
      <c r="GL72" s="23"/>
      <c r="GM72" s="23"/>
      <c r="GN72" s="23"/>
      <c r="GO72" s="23"/>
      <c r="GP72" s="23"/>
      <c r="GQ72" s="23"/>
      <c r="GR72" s="23"/>
      <c r="GS72" s="23"/>
      <c r="GT72" s="23"/>
      <c r="GU72" s="23"/>
      <c r="GV72" s="23"/>
      <c r="GW72" s="23"/>
      <c r="GX72" s="23"/>
      <c r="GY72" s="23"/>
      <c r="GZ72" s="23"/>
      <c r="HA72" s="23"/>
      <c r="HB72" s="23"/>
      <c r="HC72" s="23"/>
      <c r="HD72" s="23"/>
      <c r="HE72" s="23"/>
      <c r="HF72" s="23"/>
      <c r="HG72" s="23"/>
      <c r="HH72" s="23"/>
      <c r="HI72" s="23"/>
      <c r="HJ72" s="23"/>
      <c r="HK72" s="23"/>
      <c r="HL72" s="23"/>
      <c r="HM72" s="23"/>
      <c r="HN72" s="23"/>
      <c r="HO72" s="23"/>
      <c r="HP72" s="23"/>
      <c r="HQ72" s="23"/>
      <c r="HR72" s="23"/>
      <c r="HS72" s="23"/>
      <c r="HT72" s="23"/>
      <c r="HU72" s="23"/>
      <c r="HV72" s="23"/>
      <c r="HW72" s="23"/>
      <c r="HX72" s="23"/>
      <c r="HY72" s="23"/>
      <c r="HZ72" s="23"/>
      <c r="IA72" s="23"/>
      <c r="IB72" s="23"/>
      <c r="IC72" s="23"/>
      <c r="ID72" s="23"/>
      <c r="IE72" s="23"/>
      <c r="IF72" s="23"/>
      <c r="IG72" s="23"/>
      <c r="IH72" s="23"/>
      <c r="II72" s="23"/>
      <c r="IJ72" s="23"/>
      <c r="IK72" s="23"/>
      <c r="IL72" s="23"/>
      <c r="IM72" s="23"/>
      <c r="IN72" s="23"/>
      <c r="IO72" s="23"/>
      <c r="IP72" s="23"/>
      <c r="IQ72" s="23"/>
      <c r="IR72" s="23"/>
      <c r="IS72" s="23"/>
      <c r="IT72" s="23"/>
      <c r="IU72" s="23"/>
      <c r="IV72" s="23"/>
    </row>
    <row r="73" ht="11.25" customHeight="1">
      <c r="A73" s="21">
        <v>70.0</v>
      </c>
      <c r="B73" s="22">
        <v>2.0</v>
      </c>
      <c r="C73" s="22">
        <v>2.0</v>
      </c>
      <c r="D73" s="22">
        <v>2.0</v>
      </c>
      <c r="E73" s="22">
        <v>2.0</v>
      </c>
      <c r="F73" s="22">
        <v>2.0</v>
      </c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3"/>
      <c r="DH73" s="23"/>
      <c r="DI73" s="23"/>
      <c r="DJ73" s="23"/>
      <c r="DK73" s="23"/>
      <c r="DL73" s="23"/>
      <c r="DM73" s="23"/>
      <c r="DN73" s="23"/>
      <c r="DO73" s="23"/>
      <c r="DP73" s="23"/>
      <c r="DQ73" s="23"/>
      <c r="DR73" s="23"/>
      <c r="DS73" s="23"/>
      <c r="DT73" s="23"/>
      <c r="DU73" s="23"/>
      <c r="DV73" s="23"/>
      <c r="DW73" s="23"/>
      <c r="DX73" s="23"/>
      <c r="DY73" s="23"/>
      <c r="DZ73" s="23"/>
      <c r="EA73" s="23"/>
      <c r="EB73" s="23"/>
      <c r="EC73" s="23"/>
      <c r="ED73" s="23"/>
      <c r="EE73" s="23"/>
      <c r="EF73" s="23"/>
      <c r="EG73" s="23"/>
      <c r="EH73" s="23"/>
      <c r="EI73" s="23"/>
      <c r="EJ73" s="23"/>
      <c r="EK73" s="23"/>
      <c r="EL73" s="23"/>
      <c r="EM73" s="23"/>
      <c r="EN73" s="23"/>
      <c r="EO73" s="23"/>
      <c r="EP73" s="23"/>
      <c r="EQ73" s="23"/>
      <c r="ER73" s="23"/>
      <c r="ES73" s="23"/>
      <c r="ET73" s="23"/>
      <c r="EU73" s="23"/>
      <c r="EV73" s="23"/>
      <c r="EW73" s="23"/>
      <c r="EX73" s="23"/>
      <c r="EY73" s="23"/>
      <c r="EZ73" s="23"/>
      <c r="FA73" s="23"/>
      <c r="FB73" s="23"/>
      <c r="FC73" s="23"/>
      <c r="FD73" s="23"/>
      <c r="FE73" s="23"/>
      <c r="FF73" s="23"/>
      <c r="FG73" s="23"/>
      <c r="FH73" s="23"/>
      <c r="FI73" s="23"/>
      <c r="FJ73" s="23"/>
      <c r="FK73" s="23"/>
      <c r="FL73" s="23"/>
      <c r="FM73" s="23"/>
      <c r="FN73" s="23"/>
      <c r="FO73" s="23"/>
      <c r="FP73" s="23"/>
      <c r="FQ73" s="23"/>
      <c r="FR73" s="23"/>
      <c r="FS73" s="23"/>
      <c r="FT73" s="23"/>
      <c r="FU73" s="23"/>
      <c r="FV73" s="23"/>
      <c r="FW73" s="23"/>
      <c r="FX73" s="23"/>
      <c r="FY73" s="23"/>
      <c r="FZ73" s="23"/>
      <c r="GA73" s="23"/>
      <c r="GB73" s="23"/>
      <c r="GC73" s="23"/>
      <c r="GD73" s="23"/>
      <c r="GE73" s="23"/>
      <c r="GF73" s="23"/>
      <c r="GG73" s="23"/>
      <c r="GH73" s="23"/>
      <c r="GI73" s="23"/>
      <c r="GJ73" s="23"/>
      <c r="GK73" s="23"/>
      <c r="GL73" s="23"/>
      <c r="GM73" s="23"/>
      <c r="GN73" s="23"/>
      <c r="GO73" s="23"/>
      <c r="GP73" s="23"/>
      <c r="GQ73" s="23"/>
      <c r="GR73" s="23"/>
      <c r="GS73" s="23"/>
      <c r="GT73" s="23"/>
      <c r="GU73" s="23"/>
      <c r="GV73" s="23"/>
      <c r="GW73" s="23"/>
      <c r="GX73" s="23"/>
      <c r="GY73" s="23"/>
      <c r="GZ73" s="23"/>
      <c r="HA73" s="23"/>
      <c r="HB73" s="23"/>
      <c r="HC73" s="23"/>
      <c r="HD73" s="23"/>
      <c r="HE73" s="23"/>
      <c r="HF73" s="23"/>
      <c r="HG73" s="23"/>
      <c r="HH73" s="23"/>
      <c r="HI73" s="23"/>
      <c r="HJ73" s="23"/>
      <c r="HK73" s="23"/>
      <c r="HL73" s="23"/>
      <c r="HM73" s="23"/>
      <c r="HN73" s="23"/>
      <c r="HO73" s="23"/>
      <c r="HP73" s="23"/>
      <c r="HQ73" s="23"/>
      <c r="HR73" s="23"/>
      <c r="HS73" s="23"/>
      <c r="HT73" s="23"/>
      <c r="HU73" s="23"/>
      <c r="HV73" s="23"/>
      <c r="HW73" s="23"/>
      <c r="HX73" s="23"/>
      <c r="HY73" s="23"/>
      <c r="HZ73" s="23"/>
      <c r="IA73" s="23"/>
      <c r="IB73" s="23"/>
      <c r="IC73" s="23"/>
      <c r="ID73" s="23"/>
      <c r="IE73" s="23"/>
      <c r="IF73" s="23"/>
      <c r="IG73" s="23"/>
      <c r="IH73" s="23"/>
      <c r="II73" s="23"/>
      <c r="IJ73" s="23"/>
      <c r="IK73" s="23"/>
      <c r="IL73" s="23"/>
      <c r="IM73" s="23"/>
      <c r="IN73" s="23"/>
      <c r="IO73" s="23"/>
      <c r="IP73" s="23"/>
      <c r="IQ73" s="23"/>
      <c r="IR73" s="23"/>
      <c r="IS73" s="23"/>
      <c r="IT73" s="23"/>
      <c r="IU73" s="23"/>
      <c r="IV73" s="23"/>
    </row>
    <row r="74" ht="11.25" customHeight="1">
      <c r="A74" s="21">
        <v>71.0</v>
      </c>
      <c r="B74" s="22">
        <v>2.0</v>
      </c>
      <c r="C74" s="22">
        <v>2.0</v>
      </c>
      <c r="D74" s="22">
        <v>2.0</v>
      </c>
      <c r="E74" s="22">
        <v>2.0</v>
      </c>
      <c r="F74" s="22">
        <v>2.0</v>
      </c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  <c r="DH74" s="23"/>
      <c r="DI74" s="23"/>
      <c r="DJ74" s="23"/>
      <c r="DK74" s="23"/>
      <c r="DL74" s="23"/>
      <c r="DM74" s="23"/>
      <c r="DN74" s="23"/>
      <c r="DO74" s="23"/>
      <c r="DP74" s="23"/>
      <c r="DQ74" s="23"/>
      <c r="DR74" s="23"/>
      <c r="DS74" s="23"/>
      <c r="DT74" s="23"/>
      <c r="DU74" s="23"/>
      <c r="DV74" s="23"/>
      <c r="DW74" s="23"/>
      <c r="DX74" s="23"/>
      <c r="DY74" s="23"/>
      <c r="DZ74" s="23"/>
      <c r="EA74" s="23"/>
      <c r="EB74" s="23"/>
      <c r="EC74" s="23"/>
      <c r="ED74" s="23"/>
      <c r="EE74" s="23"/>
      <c r="EF74" s="23"/>
      <c r="EG74" s="23"/>
      <c r="EH74" s="23"/>
      <c r="EI74" s="23"/>
      <c r="EJ74" s="23"/>
      <c r="EK74" s="23"/>
      <c r="EL74" s="23"/>
      <c r="EM74" s="23"/>
      <c r="EN74" s="23"/>
      <c r="EO74" s="23"/>
      <c r="EP74" s="23"/>
      <c r="EQ74" s="23"/>
      <c r="ER74" s="23"/>
      <c r="ES74" s="23"/>
      <c r="ET74" s="23"/>
      <c r="EU74" s="23"/>
      <c r="EV74" s="23"/>
      <c r="EW74" s="23"/>
      <c r="EX74" s="23"/>
      <c r="EY74" s="23"/>
      <c r="EZ74" s="23"/>
      <c r="FA74" s="23"/>
      <c r="FB74" s="23"/>
      <c r="FC74" s="23"/>
      <c r="FD74" s="23"/>
      <c r="FE74" s="23"/>
      <c r="FF74" s="23"/>
      <c r="FG74" s="23"/>
      <c r="FH74" s="23"/>
      <c r="FI74" s="23"/>
      <c r="FJ74" s="23"/>
      <c r="FK74" s="23"/>
      <c r="FL74" s="23"/>
      <c r="FM74" s="23"/>
      <c r="FN74" s="23"/>
      <c r="FO74" s="23"/>
      <c r="FP74" s="23"/>
      <c r="FQ74" s="23"/>
      <c r="FR74" s="23"/>
      <c r="FS74" s="23"/>
      <c r="FT74" s="23"/>
      <c r="FU74" s="23"/>
      <c r="FV74" s="23"/>
      <c r="FW74" s="23"/>
      <c r="FX74" s="23"/>
      <c r="FY74" s="23"/>
      <c r="FZ74" s="23"/>
      <c r="GA74" s="23"/>
      <c r="GB74" s="23"/>
      <c r="GC74" s="23"/>
      <c r="GD74" s="23"/>
      <c r="GE74" s="23"/>
      <c r="GF74" s="23"/>
      <c r="GG74" s="23"/>
      <c r="GH74" s="23"/>
      <c r="GI74" s="23"/>
      <c r="GJ74" s="23"/>
      <c r="GK74" s="23"/>
      <c r="GL74" s="23"/>
      <c r="GM74" s="23"/>
      <c r="GN74" s="23"/>
      <c r="GO74" s="23"/>
      <c r="GP74" s="23"/>
      <c r="GQ74" s="23"/>
      <c r="GR74" s="23"/>
      <c r="GS74" s="23"/>
      <c r="GT74" s="23"/>
      <c r="GU74" s="23"/>
      <c r="GV74" s="23"/>
      <c r="GW74" s="23"/>
      <c r="GX74" s="23"/>
      <c r="GY74" s="23"/>
      <c r="GZ74" s="23"/>
      <c r="HA74" s="23"/>
      <c r="HB74" s="23"/>
      <c r="HC74" s="23"/>
      <c r="HD74" s="23"/>
      <c r="HE74" s="23"/>
      <c r="HF74" s="23"/>
      <c r="HG74" s="23"/>
      <c r="HH74" s="23"/>
      <c r="HI74" s="23"/>
      <c r="HJ74" s="23"/>
      <c r="HK74" s="23"/>
      <c r="HL74" s="23"/>
      <c r="HM74" s="23"/>
      <c r="HN74" s="23"/>
      <c r="HO74" s="23"/>
      <c r="HP74" s="23"/>
      <c r="HQ74" s="23"/>
      <c r="HR74" s="23"/>
      <c r="HS74" s="23"/>
      <c r="HT74" s="23"/>
      <c r="HU74" s="23"/>
      <c r="HV74" s="23"/>
      <c r="HW74" s="23"/>
      <c r="HX74" s="23"/>
      <c r="HY74" s="23"/>
      <c r="HZ74" s="23"/>
      <c r="IA74" s="23"/>
      <c r="IB74" s="23"/>
      <c r="IC74" s="23"/>
      <c r="ID74" s="23"/>
      <c r="IE74" s="23"/>
      <c r="IF74" s="23"/>
      <c r="IG74" s="23"/>
      <c r="IH74" s="23"/>
      <c r="II74" s="23"/>
      <c r="IJ74" s="23"/>
      <c r="IK74" s="23"/>
      <c r="IL74" s="23"/>
      <c r="IM74" s="23"/>
      <c r="IN74" s="23"/>
      <c r="IO74" s="23"/>
      <c r="IP74" s="23"/>
      <c r="IQ74" s="23"/>
      <c r="IR74" s="23"/>
      <c r="IS74" s="23"/>
      <c r="IT74" s="23"/>
      <c r="IU74" s="23"/>
      <c r="IV74" s="23"/>
    </row>
    <row r="75" ht="11.25" customHeight="1">
      <c r="A75" s="21">
        <v>72.0</v>
      </c>
      <c r="B75" s="22">
        <v>1.0</v>
      </c>
      <c r="C75" s="22">
        <v>1.0</v>
      </c>
      <c r="D75" s="22">
        <v>1.0</v>
      </c>
      <c r="E75" s="22">
        <v>1.0</v>
      </c>
      <c r="F75" s="22">
        <v>1.0</v>
      </c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  <c r="DH75" s="23"/>
      <c r="DI75" s="23"/>
      <c r="DJ75" s="23"/>
      <c r="DK75" s="23"/>
      <c r="DL75" s="23"/>
      <c r="DM75" s="23"/>
      <c r="DN75" s="23"/>
      <c r="DO75" s="23"/>
      <c r="DP75" s="23"/>
      <c r="DQ75" s="23"/>
      <c r="DR75" s="23"/>
      <c r="DS75" s="23"/>
      <c r="DT75" s="23"/>
      <c r="DU75" s="23"/>
      <c r="DV75" s="23"/>
      <c r="DW75" s="23"/>
      <c r="DX75" s="23"/>
      <c r="DY75" s="23"/>
      <c r="DZ75" s="23"/>
      <c r="EA75" s="23"/>
      <c r="EB75" s="23"/>
      <c r="EC75" s="23"/>
      <c r="ED75" s="23"/>
      <c r="EE75" s="23"/>
      <c r="EF75" s="23"/>
      <c r="EG75" s="23"/>
      <c r="EH75" s="23"/>
      <c r="EI75" s="23"/>
      <c r="EJ75" s="23"/>
      <c r="EK75" s="23"/>
      <c r="EL75" s="23"/>
      <c r="EM75" s="23"/>
      <c r="EN75" s="23"/>
      <c r="EO75" s="23"/>
      <c r="EP75" s="23"/>
      <c r="EQ75" s="23"/>
      <c r="ER75" s="23"/>
      <c r="ES75" s="23"/>
      <c r="ET75" s="23"/>
      <c r="EU75" s="23"/>
      <c r="EV75" s="23"/>
      <c r="EW75" s="23"/>
      <c r="EX75" s="23"/>
      <c r="EY75" s="23"/>
      <c r="EZ75" s="23"/>
      <c r="FA75" s="23"/>
      <c r="FB75" s="23"/>
      <c r="FC75" s="23"/>
      <c r="FD75" s="23"/>
      <c r="FE75" s="23"/>
      <c r="FF75" s="23"/>
      <c r="FG75" s="23"/>
      <c r="FH75" s="23"/>
      <c r="FI75" s="23"/>
      <c r="FJ75" s="23"/>
      <c r="FK75" s="23"/>
      <c r="FL75" s="23"/>
      <c r="FM75" s="23"/>
      <c r="FN75" s="23"/>
      <c r="FO75" s="23"/>
      <c r="FP75" s="23"/>
      <c r="FQ75" s="23"/>
      <c r="FR75" s="23"/>
      <c r="FS75" s="23"/>
      <c r="FT75" s="23"/>
      <c r="FU75" s="23"/>
      <c r="FV75" s="23"/>
      <c r="FW75" s="23"/>
      <c r="FX75" s="23"/>
      <c r="FY75" s="23"/>
      <c r="FZ75" s="23"/>
      <c r="GA75" s="23"/>
      <c r="GB75" s="23"/>
      <c r="GC75" s="23"/>
      <c r="GD75" s="23"/>
      <c r="GE75" s="23"/>
      <c r="GF75" s="23"/>
      <c r="GG75" s="23"/>
      <c r="GH75" s="23"/>
      <c r="GI75" s="23"/>
      <c r="GJ75" s="23"/>
      <c r="GK75" s="23"/>
      <c r="GL75" s="23"/>
      <c r="GM75" s="23"/>
      <c r="GN75" s="23"/>
      <c r="GO75" s="23"/>
      <c r="GP75" s="23"/>
      <c r="GQ75" s="23"/>
      <c r="GR75" s="23"/>
      <c r="GS75" s="23"/>
      <c r="GT75" s="23"/>
      <c r="GU75" s="23"/>
      <c r="GV75" s="23"/>
      <c r="GW75" s="23"/>
      <c r="GX75" s="23"/>
      <c r="GY75" s="23"/>
      <c r="GZ75" s="23"/>
      <c r="HA75" s="23"/>
      <c r="HB75" s="23"/>
      <c r="HC75" s="23"/>
      <c r="HD75" s="23"/>
      <c r="HE75" s="23"/>
      <c r="HF75" s="23"/>
      <c r="HG75" s="23"/>
      <c r="HH75" s="23"/>
      <c r="HI75" s="23"/>
      <c r="HJ75" s="23"/>
      <c r="HK75" s="23"/>
      <c r="HL75" s="23"/>
      <c r="HM75" s="23"/>
      <c r="HN75" s="23"/>
      <c r="HO75" s="23"/>
      <c r="HP75" s="23"/>
      <c r="HQ75" s="23"/>
      <c r="HR75" s="23"/>
      <c r="HS75" s="23"/>
      <c r="HT75" s="23"/>
      <c r="HU75" s="23"/>
      <c r="HV75" s="23"/>
      <c r="HW75" s="23"/>
      <c r="HX75" s="23"/>
      <c r="HY75" s="23"/>
      <c r="HZ75" s="23"/>
      <c r="IA75" s="23"/>
      <c r="IB75" s="23"/>
      <c r="IC75" s="23"/>
      <c r="ID75" s="23"/>
      <c r="IE75" s="23"/>
      <c r="IF75" s="23"/>
      <c r="IG75" s="23"/>
      <c r="IH75" s="23"/>
      <c r="II75" s="23"/>
      <c r="IJ75" s="23"/>
      <c r="IK75" s="23"/>
      <c r="IL75" s="23"/>
      <c r="IM75" s="23"/>
      <c r="IN75" s="23"/>
      <c r="IO75" s="23"/>
      <c r="IP75" s="23"/>
      <c r="IQ75" s="23"/>
      <c r="IR75" s="23"/>
      <c r="IS75" s="23"/>
      <c r="IT75" s="23"/>
      <c r="IU75" s="23"/>
      <c r="IV75" s="23"/>
    </row>
    <row r="76" ht="11.25" customHeight="1">
      <c r="A76" s="21">
        <v>73.0</v>
      </c>
      <c r="B76" s="22">
        <v>1.0</v>
      </c>
      <c r="C76" s="22">
        <v>1.0</v>
      </c>
      <c r="D76" s="22">
        <v>1.0</v>
      </c>
      <c r="E76" s="22">
        <v>1.0</v>
      </c>
      <c r="F76" s="22">
        <v>1.0</v>
      </c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3"/>
      <c r="CK76" s="23"/>
      <c r="CL76" s="23"/>
      <c r="CM76" s="23"/>
      <c r="CN76" s="23"/>
      <c r="CO76" s="23"/>
      <c r="CP76" s="23"/>
      <c r="CQ76" s="23"/>
      <c r="CR76" s="23"/>
      <c r="CS76" s="23"/>
      <c r="CT76" s="23"/>
      <c r="CU76" s="23"/>
      <c r="CV76" s="23"/>
      <c r="CW76" s="23"/>
      <c r="CX76" s="23"/>
      <c r="CY76" s="23"/>
      <c r="CZ76" s="23"/>
      <c r="DA76" s="23"/>
      <c r="DB76" s="23"/>
      <c r="DC76" s="23"/>
      <c r="DD76" s="23"/>
      <c r="DE76" s="23"/>
      <c r="DF76" s="23"/>
      <c r="DG76" s="23"/>
      <c r="DH76" s="23"/>
      <c r="DI76" s="23"/>
      <c r="DJ76" s="23"/>
      <c r="DK76" s="23"/>
      <c r="DL76" s="23"/>
      <c r="DM76" s="23"/>
      <c r="DN76" s="23"/>
      <c r="DO76" s="23"/>
      <c r="DP76" s="23"/>
      <c r="DQ76" s="23"/>
      <c r="DR76" s="23"/>
      <c r="DS76" s="23"/>
      <c r="DT76" s="23"/>
      <c r="DU76" s="23"/>
      <c r="DV76" s="23"/>
      <c r="DW76" s="23"/>
      <c r="DX76" s="23"/>
      <c r="DY76" s="23"/>
      <c r="DZ76" s="23"/>
      <c r="EA76" s="23"/>
      <c r="EB76" s="23"/>
      <c r="EC76" s="23"/>
      <c r="ED76" s="23"/>
      <c r="EE76" s="23"/>
      <c r="EF76" s="23"/>
      <c r="EG76" s="23"/>
      <c r="EH76" s="23"/>
      <c r="EI76" s="23"/>
      <c r="EJ76" s="23"/>
      <c r="EK76" s="23"/>
      <c r="EL76" s="23"/>
      <c r="EM76" s="23"/>
      <c r="EN76" s="23"/>
      <c r="EO76" s="23"/>
      <c r="EP76" s="23"/>
      <c r="EQ76" s="23"/>
      <c r="ER76" s="23"/>
      <c r="ES76" s="23"/>
      <c r="ET76" s="23"/>
      <c r="EU76" s="23"/>
      <c r="EV76" s="23"/>
      <c r="EW76" s="23"/>
      <c r="EX76" s="23"/>
      <c r="EY76" s="23"/>
      <c r="EZ76" s="23"/>
      <c r="FA76" s="23"/>
      <c r="FB76" s="23"/>
      <c r="FC76" s="23"/>
      <c r="FD76" s="23"/>
      <c r="FE76" s="23"/>
      <c r="FF76" s="23"/>
      <c r="FG76" s="23"/>
      <c r="FH76" s="23"/>
      <c r="FI76" s="23"/>
      <c r="FJ76" s="23"/>
      <c r="FK76" s="23"/>
      <c r="FL76" s="23"/>
      <c r="FM76" s="23"/>
      <c r="FN76" s="23"/>
      <c r="FO76" s="23"/>
      <c r="FP76" s="23"/>
      <c r="FQ76" s="23"/>
      <c r="FR76" s="23"/>
      <c r="FS76" s="23"/>
      <c r="FT76" s="23"/>
      <c r="FU76" s="23"/>
      <c r="FV76" s="23"/>
      <c r="FW76" s="23"/>
      <c r="FX76" s="23"/>
      <c r="FY76" s="23"/>
      <c r="FZ76" s="23"/>
      <c r="GA76" s="23"/>
      <c r="GB76" s="23"/>
      <c r="GC76" s="23"/>
      <c r="GD76" s="23"/>
      <c r="GE76" s="23"/>
      <c r="GF76" s="23"/>
      <c r="GG76" s="23"/>
      <c r="GH76" s="23"/>
      <c r="GI76" s="23"/>
      <c r="GJ76" s="23"/>
      <c r="GK76" s="23"/>
      <c r="GL76" s="23"/>
      <c r="GM76" s="23"/>
      <c r="GN76" s="23"/>
      <c r="GO76" s="23"/>
      <c r="GP76" s="23"/>
      <c r="GQ76" s="23"/>
      <c r="GR76" s="23"/>
      <c r="GS76" s="23"/>
      <c r="GT76" s="23"/>
      <c r="GU76" s="23"/>
      <c r="GV76" s="23"/>
      <c r="GW76" s="23"/>
      <c r="GX76" s="23"/>
      <c r="GY76" s="23"/>
      <c r="GZ76" s="23"/>
      <c r="HA76" s="23"/>
      <c r="HB76" s="23"/>
      <c r="HC76" s="23"/>
      <c r="HD76" s="23"/>
      <c r="HE76" s="23"/>
      <c r="HF76" s="23"/>
      <c r="HG76" s="23"/>
      <c r="HH76" s="23"/>
      <c r="HI76" s="23"/>
      <c r="HJ76" s="23"/>
      <c r="HK76" s="23"/>
      <c r="HL76" s="23"/>
      <c r="HM76" s="23"/>
      <c r="HN76" s="23"/>
      <c r="HO76" s="23"/>
      <c r="HP76" s="23"/>
      <c r="HQ76" s="23"/>
      <c r="HR76" s="23"/>
      <c r="HS76" s="23"/>
      <c r="HT76" s="23"/>
      <c r="HU76" s="23"/>
      <c r="HV76" s="23"/>
      <c r="HW76" s="23"/>
      <c r="HX76" s="23"/>
      <c r="HY76" s="23"/>
      <c r="HZ76" s="23"/>
      <c r="IA76" s="23"/>
      <c r="IB76" s="23"/>
      <c r="IC76" s="23"/>
      <c r="ID76" s="23"/>
      <c r="IE76" s="23"/>
      <c r="IF76" s="23"/>
      <c r="IG76" s="23"/>
      <c r="IH76" s="23"/>
      <c r="II76" s="23"/>
      <c r="IJ76" s="23"/>
      <c r="IK76" s="23"/>
      <c r="IL76" s="23"/>
      <c r="IM76" s="23"/>
      <c r="IN76" s="23"/>
      <c r="IO76" s="23"/>
      <c r="IP76" s="23"/>
      <c r="IQ76" s="23"/>
      <c r="IR76" s="23"/>
      <c r="IS76" s="23"/>
      <c r="IT76" s="23"/>
      <c r="IU76" s="23"/>
      <c r="IV76" s="23"/>
    </row>
    <row r="77" ht="11.25" customHeight="1">
      <c r="A77" s="21">
        <v>74.0</v>
      </c>
      <c r="B77" s="22">
        <v>1.0</v>
      </c>
      <c r="C77" s="22">
        <v>1.0</v>
      </c>
      <c r="D77" s="22">
        <v>1.0</v>
      </c>
      <c r="E77" s="22">
        <v>1.0</v>
      </c>
      <c r="F77" s="22">
        <v>1.0</v>
      </c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  <c r="DA77" s="23"/>
      <c r="DB77" s="23"/>
      <c r="DC77" s="23"/>
      <c r="DD77" s="23"/>
      <c r="DE77" s="23"/>
      <c r="DF77" s="23"/>
      <c r="DG77" s="23"/>
      <c r="DH77" s="23"/>
      <c r="DI77" s="23"/>
      <c r="DJ77" s="23"/>
      <c r="DK77" s="23"/>
      <c r="DL77" s="23"/>
      <c r="DM77" s="23"/>
      <c r="DN77" s="23"/>
      <c r="DO77" s="23"/>
      <c r="DP77" s="23"/>
      <c r="DQ77" s="23"/>
      <c r="DR77" s="23"/>
      <c r="DS77" s="23"/>
      <c r="DT77" s="23"/>
      <c r="DU77" s="23"/>
      <c r="DV77" s="23"/>
      <c r="DW77" s="23"/>
      <c r="DX77" s="23"/>
      <c r="DY77" s="23"/>
      <c r="DZ77" s="23"/>
      <c r="EA77" s="23"/>
      <c r="EB77" s="23"/>
      <c r="EC77" s="23"/>
      <c r="ED77" s="23"/>
      <c r="EE77" s="23"/>
      <c r="EF77" s="23"/>
      <c r="EG77" s="23"/>
      <c r="EH77" s="23"/>
      <c r="EI77" s="23"/>
      <c r="EJ77" s="23"/>
      <c r="EK77" s="23"/>
      <c r="EL77" s="23"/>
      <c r="EM77" s="23"/>
      <c r="EN77" s="23"/>
      <c r="EO77" s="23"/>
      <c r="EP77" s="23"/>
      <c r="EQ77" s="23"/>
      <c r="ER77" s="23"/>
      <c r="ES77" s="23"/>
      <c r="ET77" s="23"/>
      <c r="EU77" s="23"/>
      <c r="EV77" s="23"/>
      <c r="EW77" s="23"/>
      <c r="EX77" s="23"/>
      <c r="EY77" s="23"/>
      <c r="EZ77" s="23"/>
      <c r="FA77" s="23"/>
      <c r="FB77" s="23"/>
      <c r="FC77" s="23"/>
      <c r="FD77" s="23"/>
      <c r="FE77" s="23"/>
      <c r="FF77" s="23"/>
      <c r="FG77" s="23"/>
      <c r="FH77" s="23"/>
      <c r="FI77" s="23"/>
      <c r="FJ77" s="23"/>
      <c r="FK77" s="23"/>
      <c r="FL77" s="23"/>
      <c r="FM77" s="23"/>
      <c r="FN77" s="23"/>
      <c r="FO77" s="23"/>
      <c r="FP77" s="23"/>
      <c r="FQ77" s="23"/>
      <c r="FR77" s="23"/>
      <c r="FS77" s="23"/>
      <c r="FT77" s="23"/>
      <c r="FU77" s="23"/>
      <c r="FV77" s="23"/>
      <c r="FW77" s="23"/>
      <c r="FX77" s="23"/>
      <c r="FY77" s="23"/>
      <c r="FZ77" s="23"/>
      <c r="GA77" s="23"/>
      <c r="GB77" s="23"/>
      <c r="GC77" s="23"/>
      <c r="GD77" s="23"/>
      <c r="GE77" s="23"/>
      <c r="GF77" s="23"/>
      <c r="GG77" s="23"/>
      <c r="GH77" s="23"/>
      <c r="GI77" s="23"/>
      <c r="GJ77" s="23"/>
      <c r="GK77" s="23"/>
      <c r="GL77" s="23"/>
      <c r="GM77" s="23"/>
      <c r="GN77" s="23"/>
      <c r="GO77" s="23"/>
      <c r="GP77" s="23"/>
      <c r="GQ77" s="23"/>
      <c r="GR77" s="23"/>
      <c r="GS77" s="23"/>
      <c r="GT77" s="23"/>
      <c r="GU77" s="23"/>
      <c r="GV77" s="23"/>
      <c r="GW77" s="23"/>
      <c r="GX77" s="23"/>
      <c r="GY77" s="23"/>
      <c r="GZ77" s="23"/>
      <c r="HA77" s="23"/>
      <c r="HB77" s="23"/>
      <c r="HC77" s="23"/>
      <c r="HD77" s="23"/>
      <c r="HE77" s="23"/>
      <c r="HF77" s="23"/>
      <c r="HG77" s="23"/>
      <c r="HH77" s="23"/>
      <c r="HI77" s="23"/>
      <c r="HJ77" s="23"/>
      <c r="HK77" s="23"/>
      <c r="HL77" s="23"/>
      <c r="HM77" s="23"/>
      <c r="HN77" s="23"/>
      <c r="HO77" s="23"/>
      <c r="HP77" s="23"/>
      <c r="HQ77" s="23"/>
      <c r="HR77" s="23"/>
      <c r="HS77" s="23"/>
      <c r="HT77" s="23"/>
      <c r="HU77" s="23"/>
      <c r="HV77" s="23"/>
      <c r="HW77" s="23"/>
      <c r="HX77" s="23"/>
      <c r="HY77" s="23"/>
      <c r="HZ77" s="23"/>
      <c r="IA77" s="23"/>
      <c r="IB77" s="23"/>
      <c r="IC77" s="23"/>
      <c r="ID77" s="23"/>
      <c r="IE77" s="23"/>
      <c r="IF77" s="23"/>
      <c r="IG77" s="23"/>
      <c r="IH77" s="23"/>
      <c r="II77" s="23"/>
      <c r="IJ77" s="23"/>
      <c r="IK77" s="23"/>
      <c r="IL77" s="23"/>
      <c r="IM77" s="23"/>
      <c r="IN77" s="23"/>
      <c r="IO77" s="23"/>
      <c r="IP77" s="23"/>
      <c r="IQ77" s="23"/>
      <c r="IR77" s="23"/>
      <c r="IS77" s="23"/>
      <c r="IT77" s="23"/>
      <c r="IU77" s="23"/>
      <c r="IV77" s="23"/>
    </row>
    <row r="78" ht="11.25" customHeight="1">
      <c r="A78" s="21">
        <v>75.0</v>
      </c>
      <c r="B78" s="22">
        <v>1.0</v>
      </c>
      <c r="C78" s="22">
        <v>1.0</v>
      </c>
      <c r="D78" s="22">
        <v>1.0</v>
      </c>
      <c r="E78" s="22">
        <v>1.0</v>
      </c>
      <c r="F78" s="22">
        <v>1.0</v>
      </c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/>
      <c r="DP78" s="23"/>
      <c r="DQ78" s="23"/>
      <c r="DR78" s="23"/>
      <c r="DS78" s="23"/>
      <c r="DT78" s="23"/>
      <c r="DU78" s="23"/>
      <c r="DV78" s="23"/>
      <c r="DW78" s="23"/>
      <c r="DX78" s="23"/>
      <c r="DY78" s="23"/>
      <c r="DZ78" s="23"/>
      <c r="EA78" s="23"/>
      <c r="EB78" s="23"/>
      <c r="EC78" s="23"/>
      <c r="ED78" s="23"/>
      <c r="EE78" s="23"/>
      <c r="EF78" s="23"/>
      <c r="EG78" s="23"/>
      <c r="EH78" s="23"/>
      <c r="EI78" s="23"/>
      <c r="EJ78" s="23"/>
      <c r="EK78" s="23"/>
      <c r="EL78" s="23"/>
      <c r="EM78" s="23"/>
      <c r="EN78" s="23"/>
      <c r="EO78" s="23"/>
      <c r="EP78" s="23"/>
      <c r="EQ78" s="23"/>
      <c r="ER78" s="23"/>
      <c r="ES78" s="23"/>
      <c r="ET78" s="23"/>
      <c r="EU78" s="23"/>
      <c r="EV78" s="23"/>
      <c r="EW78" s="23"/>
      <c r="EX78" s="23"/>
      <c r="EY78" s="23"/>
      <c r="EZ78" s="23"/>
      <c r="FA78" s="23"/>
      <c r="FB78" s="23"/>
      <c r="FC78" s="23"/>
      <c r="FD78" s="23"/>
      <c r="FE78" s="23"/>
      <c r="FF78" s="23"/>
      <c r="FG78" s="23"/>
      <c r="FH78" s="23"/>
      <c r="FI78" s="23"/>
      <c r="FJ78" s="23"/>
      <c r="FK78" s="23"/>
      <c r="FL78" s="23"/>
      <c r="FM78" s="23"/>
      <c r="FN78" s="23"/>
      <c r="FO78" s="23"/>
      <c r="FP78" s="23"/>
      <c r="FQ78" s="23"/>
      <c r="FR78" s="23"/>
      <c r="FS78" s="23"/>
      <c r="FT78" s="23"/>
      <c r="FU78" s="23"/>
      <c r="FV78" s="23"/>
      <c r="FW78" s="23"/>
      <c r="FX78" s="23"/>
      <c r="FY78" s="23"/>
      <c r="FZ78" s="23"/>
      <c r="GA78" s="23"/>
      <c r="GB78" s="23"/>
      <c r="GC78" s="23"/>
      <c r="GD78" s="23"/>
      <c r="GE78" s="23"/>
      <c r="GF78" s="23"/>
      <c r="GG78" s="23"/>
      <c r="GH78" s="23"/>
      <c r="GI78" s="23"/>
      <c r="GJ78" s="23"/>
      <c r="GK78" s="23"/>
      <c r="GL78" s="23"/>
      <c r="GM78" s="23"/>
      <c r="GN78" s="23"/>
      <c r="GO78" s="23"/>
      <c r="GP78" s="23"/>
      <c r="GQ78" s="23"/>
      <c r="GR78" s="23"/>
      <c r="GS78" s="23"/>
      <c r="GT78" s="23"/>
      <c r="GU78" s="23"/>
      <c r="GV78" s="23"/>
      <c r="GW78" s="23"/>
      <c r="GX78" s="23"/>
      <c r="GY78" s="23"/>
      <c r="GZ78" s="23"/>
      <c r="HA78" s="23"/>
      <c r="HB78" s="23"/>
      <c r="HC78" s="23"/>
      <c r="HD78" s="23"/>
      <c r="HE78" s="23"/>
      <c r="HF78" s="23"/>
      <c r="HG78" s="23"/>
      <c r="HH78" s="23"/>
      <c r="HI78" s="23"/>
      <c r="HJ78" s="23"/>
      <c r="HK78" s="23"/>
      <c r="HL78" s="23"/>
      <c r="HM78" s="23"/>
      <c r="HN78" s="23"/>
      <c r="HO78" s="23"/>
      <c r="HP78" s="23"/>
      <c r="HQ78" s="23"/>
      <c r="HR78" s="23"/>
      <c r="HS78" s="23"/>
      <c r="HT78" s="23"/>
      <c r="HU78" s="23"/>
      <c r="HV78" s="23"/>
      <c r="HW78" s="23"/>
      <c r="HX78" s="23"/>
      <c r="HY78" s="23"/>
      <c r="HZ78" s="23"/>
      <c r="IA78" s="23"/>
      <c r="IB78" s="23"/>
      <c r="IC78" s="23"/>
      <c r="ID78" s="23"/>
      <c r="IE78" s="23"/>
      <c r="IF78" s="23"/>
      <c r="IG78" s="23"/>
      <c r="IH78" s="23"/>
      <c r="II78" s="23"/>
      <c r="IJ78" s="23"/>
      <c r="IK78" s="23"/>
      <c r="IL78" s="23"/>
      <c r="IM78" s="23"/>
      <c r="IN78" s="23"/>
      <c r="IO78" s="23"/>
      <c r="IP78" s="23"/>
      <c r="IQ78" s="23"/>
      <c r="IR78" s="23"/>
      <c r="IS78" s="23"/>
      <c r="IT78" s="23"/>
      <c r="IU78" s="23"/>
      <c r="IV78" s="23"/>
    </row>
    <row r="79" ht="11.25" customHeight="1">
      <c r="A79" s="21">
        <v>76.0</v>
      </c>
      <c r="B79" s="22">
        <v>1.0</v>
      </c>
      <c r="C79" s="22">
        <v>1.0</v>
      </c>
      <c r="D79" s="22">
        <v>1.0</v>
      </c>
      <c r="E79" s="22">
        <v>1.0</v>
      </c>
      <c r="F79" s="22">
        <v>1.0</v>
      </c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/>
      <c r="DP79" s="23"/>
      <c r="DQ79" s="23"/>
      <c r="DR79" s="23"/>
      <c r="DS79" s="23"/>
      <c r="DT79" s="23"/>
      <c r="DU79" s="23"/>
      <c r="DV79" s="23"/>
      <c r="DW79" s="23"/>
      <c r="DX79" s="23"/>
      <c r="DY79" s="23"/>
      <c r="DZ79" s="23"/>
      <c r="EA79" s="23"/>
      <c r="EB79" s="23"/>
      <c r="EC79" s="23"/>
      <c r="ED79" s="23"/>
      <c r="EE79" s="23"/>
      <c r="EF79" s="23"/>
      <c r="EG79" s="23"/>
      <c r="EH79" s="23"/>
      <c r="EI79" s="23"/>
      <c r="EJ79" s="23"/>
      <c r="EK79" s="23"/>
      <c r="EL79" s="23"/>
      <c r="EM79" s="23"/>
      <c r="EN79" s="23"/>
      <c r="EO79" s="23"/>
      <c r="EP79" s="23"/>
      <c r="EQ79" s="23"/>
      <c r="ER79" s="23"/>
      <c r="ES79" s="23"/>
      <c r="ET79" s="23"/>
      <c r="EU79" s="23"/>
      <c r="EV79" s="23"/>
      <c r="EW79" s="23"/>
      <c r="EX79" s="23"/>
      <c r="EY79" s="23"/>
      <c r="EZ79" s="23"/>
      <c r="FA79" s="23"/>
      <c r="FB79" s="23"/>
      <c r="FC79" s="23"/>
      <c r="FD79" s="23"/>
      <c r="FE79" s="23"/>
      <c r="FF79" s="23"/>
      <c r="FG79" s="23"/>
      <c r="FH79" s="23"/>
      <c r="FI79" s="23"/>
      <c r="FJ79" s="23"/>
      <c r="FK79" s="23"/>
      <c r="FL79" s="23"/>
      <c r="FM79" s="23"/>
      <c r="FN79" s="23"/>
      <c r="FO79" s="23"/>
      <c r="FP79" s="23"/>
      <c r="FQ79" s="23"/>
      <c r="FR79" s="23"/>
      <c r="FS79" s="23"/>
      <c r="FT79" s="23"/>
      <c r="FU79" s="23"/>
      <c r="FV79" s="23"/>
      <c r="FW79" s="23"/>
      <c r="FX79" s="23"/>
      <c r="FY79" s="23"/>
      <c r="FZ79" s="23"/>
      <c r="GA79" s="23"/>
      <c r="GB79" s="23"/>
      <c r="GC79" s="23"/>
      <c r="GD79" s="23"/>
      <c r="GE79" s="23"/>
      <c r="GF79" s="23"/>
      <c r="GG79" s="23"/>
      <c r="GH79" s="23"/>
      <c r="GI79" s="23"/>
      <c r="GJ79" s="23"/>
      <c r="GK79" s="23"/>
      <c r="GL79" s="23"/>
      <c r="GM79" s="23"/>
      <c r="GN79" s="23"/>
      <c r="GO79" s="23"/>
      <c r="GP79" s="23"/>
      <c r="GQ79" s="23"/>
      <c r="GR79" s="23"/>
      <c r="GS79" s="23"/>
      <c r="GT79" s="23"/>
      <c r="GU79" s="23"/>
      <c r="GV79" s="23"/>
      <c r="GW79" s="23"/>
      <c r="GX79" s="23"/>
      <c r="GY79" s="23"/>
      <c r="GZ79" s="23"/>
      <c r="HA79" s="23"/>
      <c r="HB79" s="23"/>
      <c r="HC79" s="23"/>
      <c r="HD79" s="23"/>
      <c r="HE79" s="23"/>
      <c r="HF79" s="23"/>
      <c r="HG79" s="23"/>
      <c r="HH79" s="23"/>
      <c r="HI79" s="23"/>
      <c r="HJ79" s="23"/>
      <c r="HK79" s="23"/>
      <c r="HL79" s="23"/>
      <c r="HM79" s="23"/>
      <c r="HN79" s="23"/>
      <c r="HO79" s="23"/>
      <c r="HP79" s="23"/>
      <c r="HQ79" s="23"/>
      <c r="HR79" s="23"/>
      <c r="HS79" s="23"/>
      <c r="HT79" s="23"/>
      <c r="HU79" s="23"/>
      <c r="HV79" s="23"/>
      <c r="HW79" s="23"/>
      <c r="HX79" s="23"/>
      <c r="HY79" s="23"/>
      <c r="HZ79" s="23"/>
      <c r="IA79" s="23"/>
      <c r="IB79" s="23"/>
      <c r="IC79" s="23"/>
      <c r="ID79" s="23"/>
      <c r="IE79" s="23"/>
      <c r="IF79" s="23"/>
      <c r="IG79" s="23"/>
      <c r="IH79" s="23"/>
      <c r="II79" s="23"/>
      <c r="IJ79" s="23"/>
      <c r="IK79" s="23"/>
      <c r="IL79" s="23"/>
      <c r="IM79" s="23"/>
      <c r="IN79" s="23"/>
      <c r="IO79" s="23"/>
      <c r="IP79" s="23"/>
      <c r="IQ79" s="23"/>
      <c r="IR79" s="23"/>
      <c r="IS79" s="23"/>
      <c r="IT79" s="23"/>
      <c r="IU79" s="23"/>
      <c r="IV79" s="23"/>
    </row>
    <row r="80" ht="11.25" customHeight="1">
      <c r="A80" s="21">
        <v>77.0</v>
      </c>
      <c r="B80" s="22">
        <v>1.0</v>
      </c>
      <c r="C80" s="22">
        <v>1.0</v>
      </c>
      <c r="D80" s="22">
        <v>1.0</v>
      </c>
      <c r="E80" s="22">
        <v>1.0</v>
      </c>
      <c r="F80" s="22">
        <v>1.0</v>
      </c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3"/>
      <c r="DH80" s="23"/>
      <c r="DI80" s="23"/>
      <c r="DJ80" s="23"/>
      <c r="DK80" s="23"/>
      <c r="DL80" s="23"/>
      <c r="DM80" s="23"/>
      <c r="DN80" s="23"/>
      <c r="DO80" s="23"/>
      <c r="DP80" s="23"/>
      <c r="DQ80" s="23"/>
      <c r="DR80" s="23"/>
      <c r="DS80" s="23"/>
      <c r="DT80" s="23"/>
      <c r="DU80" s="23"/>
      <c r="DV80" s="23"/>
      <c r="DW80" s="23"/>
      <c r="DX80" s="23"/>
      <c r="DY80" s="23"/>
      <c r="DZ80" s="23"/>
      <c r="EA80" s="23"/>
      <c r="EB80" s="23"/>
      <c r="EC80" s="23"/>
      <c r="ED80" s="23"/>
      <c r="EE80" s="23"/>
      <c r="EF80" s="23"/>
      <c r="EG80" s="23"/>
      <c r="EH80" s="23"/>
      <c r="EI80" s="23"/>
      <c r="EJ80" s="23"/>
      <c r="EK80" s="23"/>
      <c r="EL80" s="23"/>
      <c r="EM80" s="23"/>
      <c r="EN80" s="23"/>
      <c r="EO80" s="23"/>
      <c r="EP80" s="23"/>
      <c r="EQ80" s="23"/>
      <c r="ER80" s="23"/>
      <c r="ES80" s="23"/>
      <c r="ET80" s="23"/>
      <c r="EU80" s="23"/>
      <c r="EV80" s="23"/>
      <c r="EW80" s="23"/>
      <c r="EX80" s="23"/>
      <c r="EY80" s="23"/>
      <c r="EZ80" s="23"/>
      <c r="FA80" s="23"/>
      <c r="FB80" s="23"/>
      <c r="FC80" s="23"/>
      <c r="FD80" s="23"/>
      <c r="FE80" s="23"/>
      <c r="FF80" s="23"/>
      <c r="FG80" s="23"/>
      <c r="FH80" s="23"/>
      <c r="FI80" s="23"/>
      <c r="FJ80" s="23"/>
      <c r="FK80" s="23"/>
      <c r="FL80" s="23"/>
      <c r="FM80" s="23"/>
      <c r="FN80" s="23"/>
      <c r="FO80" s="23"/>
      <c r="FP80" s="23"/>
      <c r="FQ80" s="23"/>
      <c r="FR80" s="23"/>
      <c r="FS80" s="23"/>
      <c r="FT80" s="23"/>
      <c r="FU80" s="23"/>
      <c r="FV80" s="23"/>
      <c r="FW80" s="23"/>
      <c r="FX80" s="23"/>
      <c r="FY80" s="23"/>
      <c r="FZ80" s="23"/>
      <c r="GA80" s="23"/>
      <c r="GB80" s="23"/>
      <c r="GC80" s="23"/>
      <c r="GD80" s="23"/>
      <c r="GE80" s="23"/>
      <c r="GF80" s="23"/>
      <c r="GG80" s="23"/>
      <c r="GH80" s="23"/>
      <c r="GI80" s="23"/>
      <c r="GJ80" s="23"/>
      <c r="GK80" s="23"/>
      <c r="GL80" s="23"/>
      <c r="GM80" s="23"/>
      <c r="GN80" s="23"/>
      <c r="GO80" s="23"/>
      <c r="GP80" s="23"/>
      <c r="GQ80" s="23"/>
      <c r="GR80" s="23"/>
      <c r="GS80" s="23"/>
      <c r="GT80" s="23"/>
      <c r="GU80" s="23"/>
      <c r="GV80" s="23"/>
      <c r="GW80" s="23"/>
      <c r="GX80" s="23"/>
      <c r="GY80" s="23"/>
      <c r="GZ80" s="23"/>
      <c r="HA80" s="23"/>
      <c r="HB80" s="23"/>
      <c r="HC80" s="23"/>
      <c r="HD80" s="23"/>
      <c r="HE80" s="23"/>
      <c r="HF80" s="23"/>
      <c r="HG80" s="23"/>
      <c r="HH80" s="23"/>
      <c r="HI80" s="23"/>
      <c r="HJ80" s="23"/>
      <c r="HK80" s="23"/>
      <c r="HL80" s="23"/>
      <c r="HM80" s="23"/>
      <c r="HN80" s="23"/>
      <c r="HO80" s="23"/>
      <c r="HP80" s="23"/>
      <c r="HQ80" s="23"/>
      <c r="HR80" s="23"/>
      <c r="HS80" s="23"/>
      <c r="HT80" s="23"/>
      <c r="HU80" s="23"/>
      <c r="HV80" s="23"/>
      <c r="HW80" s="23"/>
      <c r="HX80" s="23"/>
      <c r="HY80" s="23"/>
      <c r="HZ80" s="23"/>
      <c r="IA80" s="23"/>
      <c r="IB80" s="23"/>
      <c r="IC80" s="23"/>
      <c r="ID80" s="23"/>
      <c r="IE80" s="23"/>
      <c r="IF80" s="23"/>
      <c r="IG80" s="23"/>
      <c r="IH80" s="23"/>
      <c r="II80" s="23"/>
      <c r="IJ80" s="23"/>
      <c r="IK80" s="23"/>
      <c r="IL80" s="23"/>
      <c r="IM80" s="23"/>
      <c r="IN80" s="23"/>
      <c r="IO80" s="23"/>
      <c r="IP80" s="23"/>
      <c r="IQ80" s="23"/>
      <c r="IR80" s="23"/>
      <c r="IS80" s="23"/>
      <c r="IT80" s="23"/>
      <c r="IU80" s="23"/>
      <c r="IV80" s="23"/>
    </row>
    <row r="81" ht="11.25" customHeight="1">
      <c r="A81" s="21">
        <v>78.0</v>
      </c>
      <c r="B81" s="22">
        <v>1.0</v>
      </c>
      <c r="C81" s="22">
        <v>1.0</v>
      </c>
      <c r="D81" s="22">
        <v>1.0</v>
      </c>
      <c r="E81" s="22">
        <v>1.0</v>
      </c>
      <c r="F81" s="22">
        <v>1.0</v>
      </c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  <c r="DH81" s="23"/>
      <c r="DI81" s="23"/>
      <c r="DJ81" s="23"/>
      <c r="DK81" s="23"/>
      <c r="DL81" s="23"/>
      <c r="DM81" s="23"/>
      <c r="DN81" s="23"/>
      <c r="DO81" s="23"/>
      <c r="DP81" s="23"/>
      <c r="DQ81" s="23"/>
      <c r="DR81" s="23"/>
      <c r="DS81" s="23"/>
      <c r="DT81" s="23"/>
      <c r="DU81" s="23"/>
      <c r="DV81" s="23"/>
      <c r="DW81" s="23"/>
      <c r="DX81" s="23"/>
      <c r="DY81" s="23"/>
      <c r="DZ81" s="23"/>
      <c r="EA81" s="23"/>
      <c r="EB81" s="23"/>
      <c r="EC81" s="23"/>
      <c r="ED81" s="23"/>
      <c r="EE81" s="23"/>
      <c r="EF81" s="23"/>
      <c r="EG81" s="23"/>
      <c r="EH81" s="23"/>
      <c r="EI81" s="23"/>
      <c r="EJ81" s="23"/>
      <c r="EK81" s="23"/>
      <c r="EL81" s="23"/>
      <c r="EM81" s="23"/>
      <c r="EN81" s="23"/>
      <c r="EO81" s="23"/>
      <c r="EP81" s="23"/>
      <c r="EQ81" s="23"/>
      <c r="ER81" s="23"/>
      <c r="ES81" s="23"/>
      <c r="ET81" s="23"/>
      <c r="EU81" s="23"/>
      <c r="EV81" s="23"/>
      <c r="EW81" s="23"/>
      <c r="EX81" s="23"/>
      <c r="EY81" s="23"/>
      <c r="EZ81" s="23"/>
      <c r="FA81" s="23"/>
      <c r="FB81" s="23"/>
      <c r="FC81" s="23"/>
      <c r="FD81" s="23"/>
      <c r="FE81" s="23"/>
      <c r="FF81" s="23"/>
      <c r="FG81" s="23"/>
      <c r="FH81" s="23"/>
      <c r="FI81" s="23"/>
      <c r="FJ81" s="23"/>
      <c r="FK81" s="23"/>
      <c r="FL81" s="23"/>
      <c r="FM81" s="23"/>
      <c r="FN81" s="23"/>
      <c r="FO81" s="23"/>
      <c r="FP81" s="23"/>
      <c r="FQ81" s="23"/>
      <c r="FR81" s="23"/>
      <c r="FS81" s="23"/>
      <c r="FT81" s="23"/>
      <c r="FU81" s="23"/>
      <c r="FV81" s="23"/>
      <c r="FW81" s="23"/>
      <c r="FX81" s="23"/>
      <c r="FY81" s="23"/>
      <c r="FZ81" s="23"/>
      <c r="GA81" s="23"/>
      <c r="GB81" s="23"/>
      <c r="GC81" s="23"/>
      <c r="GD81" s="23"/>
      <c r="GE81" s="23"/>
      <c r="GF81" s="23"/>
      <c r="GG81" s="23"/>
      <c r="GH81" s="23"/>
      <c r="GI81" s="23"/>
      <c r="GJ81" s="23"/>
      <c r="GK81" s="23"/>
      <c r="GL81" s="23"/>
      <c r="GM81" s="23"/>
      <c r="GN81" s="23"/>
      <c r="GO81" s="23"/>
      <c r="GP81" s="23"/>
      <c r="GQ81" s="23"/>
      <c r="GR81" s="23"/>
      <c r="GS81" s="23"/>
      <c r="GT81" s="23"/>
      <c r="GU81" s="23"/>
      <c r="GV81" s="23"/>
      <c r="GW81" s="23"/>
      <c r="GX81" s="23"/>
      <c r="GY81" s="23"/>
      <c r="GZ81" s="23"/>
      <c r="HA81" s="23"/>
      <c r="HB81" s="23"/>
      <c r="HC81" s="23"/>
      <c r="HD81" s="23"/>
      <c r="HE81" s="23"/>
      <c r="HF81" s="23"/>
      <c r="HG81" s="23"/>
      <c r="HH81" s="23"/>
      <c r="HI81" s="23"/>
      <c r="HJ81" s="23"/>
      <c r="HK81" s="23"/>
      <c r="HL81" s="23"/>
      <c r="HM81" s="23"/>
      <c r="HN81" s="23"/>
      <c r="HO81" s="23"/>
      <c r="HP81" s="23"/>
      <c r="HQ81" s="23"/>
      <c r="HR81" s="23"/>
      <c r="HS81" s="23"/>
      <c r="HT81" s="23"/>
      <c r="HU81" s="23"/>
      <c r="HV81" s="23"/>
      <c r="HW81" s="23"/>
      <c r="HX81" s="23"/>
      <c r="HY81" s="23"/>
      <c r="HZ81" s="23"/>
      <c r="IA81" s="23"/>
      <c r="IB81" s="23"/>
      <c r="IC81" s="23"/>
      <c r="ID81" s="23"/>
      <c r="IE81" s="23"/>
      <c r="IF81" s="23"/>
      <c r="IG81" s="23"/>
      <c r="IH81" s="23"/>
      <c r="II81" s="23"/>
      <c r="IJ81" s="23"/>
      <c r="IK81" s="23"/>
      <c r="IL81" s="23"/>
      <c r="IM81" s="23"/>
      <c r="IN81" s="23"/>
      <c r="IO81" s="23"/>
      <c r="IP81" s="23"/>
      <c r="IQ81" s="23"/>
      <c r="IR81" s="23"/>
      <c r="IS81" s="23"/>
      <c r="IT81" s="23"/>
      <c r="IU81" s="23"/>
      <c r="IV81" s="23"/>
    </row>
    <row r="82" ht="11.25" customHeight="1">
      <c r="A82" s="21">
        <v>79.0</v>
      </c>
      <c r="B82" s="22">
        <v>2.0</v>
      </c>
      <c r="C82" s="22">
        <v>2.0</v>
      </c>
      <c r="D82" s="22">
        <v>2.0</v>
      </c>
      <c r="E82" s="22">
        <v>2.0</v>
      </c>
      <c r="F82" s="22">
        <v>2.0</v>
      </c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  <c r="DT82" s="23"/>
      <c r="DU82" s="23"/>
      <c r="DV82" s="23"/>
      <c r="DW82" s="23"/>
      <c r="DX82" s="23"/>
      <c r="DY82" s="23"/>
      <c r="DZ82" s="23"/>
      <c r="EA82" s="23"/>
      <c r="EB82" s="23"/>
      <c r="EC82" s="23"/>
      <c r="ED82" s="23"/>
      <c r="EE82" s="23"/>
      <c r="EF82" s="23"/>
      <c r="EG82" s="23"/>
      <c r="EH82" s="23"/>
      <c r="EI82" s="23"/>
      <c r="EJ82" s="23"/>
      <c r="EK82" s="23"/>
      <c r="EL82" s="23"/>
      <c r="EM82" s="23"/>
      <c r="EN82" s="23"/>
      <c r="EO82" s="23"/>
      <c r="EP82" s="23"/>
      <c r="EQ82" s="23"/>
      <c r="ER82" s="23"/>
      <c r="ES82" s="23"/>
      <c r="ET82" s="23"/>
      <c r="EU82" s="23"/>
      <c r="EV82" s="23"/>
      <c r="EW82" s="23"/>
      <c r="EX82" s="23"/>
      <c r="EY82" s="23"/>
      <c r="EZ82" s="23"/>
      <c r="FA82" s="23"/>
      <c r="FB82" s="23"/>
      <c r="FC82" s="23"/>
      <c r="FD82" s="23"/>
      <c r="FE82" s="23"/>
      <c r="FF82" s="23"/>
      <c r="FG82" s="23"/>
      <c r="FH82" s="23"/>
      <c r="FI82" s="23"/>
      <c r="FJ82" s="23"/>
      <c r="FK82" s="23"/>
      <c r="FL82" s="23"/>
      <c r="FM82" s="23"/>
      <c r="FN82" s="23"/>
      <c r="FO82" s="23"/>
      <c r="FP82" s="23"/>
      <c r="FQ82" s="23"/>
      <c r="FR82" s="23"/>
      <c r="FS82" s="23"/>
      <c r="FT82" s="23"/>
      <c r="FU82" s="23"/>
      <c r="FV82" s="23"/>
      <c r="FW82" s="23"/>
      <c r="FX82" s="23"/>
      <c r="FY82" s="23"/>
      <c r="FZ82" s="23"/>
      <c r="GA82" s="23"/>
      <c r="GB82" s="23"/>
      <c r="GC82" s="23"/>
      <c r="GD82" s="23"/>
      <c r="GE82" s="23"/>
      <c r="GF82" s="23"/>
      <c r="GG82" s="23"/>
      <c r="GH82" s="23"/>
      <c r="GI82" s="23"/>
      <c r="GJ82" s="23"/>
      <c r="GK82" s="23"/>
      <c r="GL82" s="23"/>
      <c r="GM82" s="23"/>
      <c r="GN82" s="23"/>
      <c r="GO82" s="23"/>
      <c r="GP82" s="23"/>
      <c r="GQ82" s="23"/>
      <c r="GR82" s="23"/>
      <c r="GS82" s="23"/>
      <c r="GT82" s="23"/>
      <c r="GU82" s="23"/>
      <c r="GV82" s="23"/>
      <c r="GW82" s="23"/>
      <c r="GX82" s="23"/>
      <c r="GY82" s="23"/>
      <c r="GZ82" s="23"/>
      <c r="HA82" s="23"/>
      <c r="HB82" s="23"/>
      <c r="HC82" s="23"/>
      <c r="HD82" s="23"/>
      <c r="HE82" s="23"/>
      <c r="HF82" s="23"/>
      <c r="HG82" s="23"/>
      <c r="HH82" s="23"/>
      <c r="HI82" s="23"/>
      <c r="HJ82" s="23"/>
      <c r="HK82" s="23"/>
      <c r="HL82" s="23"/>
      <c r="HM82" s="23"/>
      <c r="HN82" s="23"/>
      <c r="HO82" s="23"/>
      <c r="HP82" s="23"/>
      <c r="HQ82" s="23"/>
      <c r="HR82" s="23"/>
      <c r="HS82" s="23"/>
      <c r="HT82" s="23"/>
      <c r="HU82" s="23"/>
      <c r="HV82" s="23"/>
      <c r="HW82" s="23"/>
      <c r="HX82" s="23"/>
      <c r="HY82" s="23"/>
      <c r="HZ82" s="23"/>
      <c r="IA82" s="23"/>
      <c r="IB82" s="23"/>
      <c r="IC82" s="23"/>
      <c r="ID82" s="23"/>
      <c r="IE82" s="23"/>
      <c r="IF82" s="23"/>
      <c r="IG82" s="23"/>
      <c r="IH82" s="23"/>
      <c r="II82" s="23"/>
      <c r="IJ82" s="23"/>
      <c r="IK82" s="23"/>
      <c r="IL82" s="23"/>
      <c r="IM82" s="23"/>
      <c r="IN82" s="23"/>
      <c r="IO82" s="23"/>
      <c r="IP82" s="23"/>
      <c r="IQ82" s="23"/>
      <c r="IR82" s="23"/>
      <c r="IS82" s="23"/>
      <c r="IT82" s="23"/>
      <c r="IU82" s="23"/>
      <c r="IV82" s="23"/>
    </row>
    <row r="83" ht="11.25" customHeight="1">
      <c r="A83" s="21">
        <v>80.0</v>
      </c>
      <c r="B83" s="22">
        <v>1.0</v>
      </c>
      <c r="C83" s="22">
        <v>1.0</v>
      </c>
      <c r="D83" s="22">
        <v>1.0</v>
      </c>
      <c r="E83" s="22">
        <v>1.0</v>
      </c>
      <c r="F83" s="22">
        <v>1.0</v>
      </c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23"/>
      <c r="DX83" s="23"/>
      <c r="DY83" s="23"/>
      <c r="DZ83" s="23"/>
      <c r="EA83" s="23"/>
      <c r="EB83" s="23"/>
      <c r="EC83" s="23"/>
      <c r="ED83" s="23"/>
      <c r="EE83" s="23"/>
      <c r="EF83" s="23"/>
      <c r="EG83" s="23"/>
      <c r="EH83" s="23"/>
      <c r="EI83" s="23"/>
      <c r="EJ83" s="23"/>
      <c r="EK83" s="23"/>
      <c r="EL83" s="23"/>
      <c r="EM83" s="23"/>
      <c r="EN83" s="23"/>
      <c r="EO83" s="23"/>
      <c r="EP83" s="23"/>
      <c r="EQ83" s="23"/>
      <c r="ER83" s="23"/>
      <c r="ES83" s="23"/>
      <c r="ET83" s="23"/>
      <c r="EU83" s="23"/>
      <c r="EV83" s="23"/>
      <c r="EW83" s="23"/>
      <c r="EX83" s="23"/>
      <c r="EY83" s="23"/>
      <c r="EZ83" s="23"/>
      <c r="FA83" s="23"/>
      <c r="FB83" s="23"/>
      <c r="FC83" s="23"/>
      <c r="FD83" s="23"/>
      <c r="FE83" s="23"/>
      <c r="FF83" s="23"/>
      <c r="FG83" s="23"/>
      <c r="FH83" s="23"/>
      <c r="FI83" s="23"/>
      <c r="FJ83" s="23"/>
      <c r="FK83" s="23"/>
      <c r="FL83" s="23"/>
      <c r="FM83" s="23"/>
      <c r="FN83" s="23"/>
      <c r="FO83" s="23"/>
      <c r="FP83" s="23"/>
      <c r="FQ83" s="23"/>
      <c r="FR83" s="23"/>
      <c r="FS83" s="23"/>
      <c r="FT83" s="23"/>
      <c r="FU83" s="23"/>
      <c r="FV83" s="23"/>
      <c r="FW83" s="23"/>
      <c r="FX83" s="23"/>
      <c r="FY83" s="23"/>
      <c r="FZ83" s="23"/>
      <c r="GA83" s="23"/>
      <c r="GB83" s="23"/>
      <c r="GC83" s="23"/>
      <c r="GD83" s="23"/>
      <c r="GE83" s="23"/>
      <c r="GF83" s="23"/>
      <c r="GG83" s="23"/>
      <c r="GH83" s="23"/>
      <c r="GI83" s="23"/>
      <c r="GJ83" s="23"/>
      <c r="GK83" s="23"/>
      <c r="GL83" s="23"/>
      <c r="GM83" s="23"/>
      <c r="GN83" s="23"/>
      <c r="GO83" s="23"/>
      <c r="GP83" s="23"/>
      <c r="GQ83" s="23"/>
      <c r="GR83" s="23"/>
      <c r="GS83" s="23"/>
      <c r="GT83" s="23"/>
      <c r="GU83" s="23"/>
      <c r="GV83" s="23"/>
      <c r="GW83" s="23"/>
      <c r="GX83" s="23"/>
      <c r="GY83" s="23"/>
      <c r="GZ83" s="23"/>
      <c r="HA83" s="23"/>
      <c r="HB83" s="23"/>
      <c r="HC83" s="23"/>
      <c r="HD83" s="23"/>
      <c r="HE83" s="23"/>
      <c r="HF83" s="23"/>
      <c r="HG83" s="23"/>
      <c r="HH83" s="23"/>
      <c r="HI83" s="23"/>
      <c r="HJ83" s="23"/>
      <c r="HK83" s="23"/>
      <c r="HL83" s="23"/>
      <c r="HM83" s="23"/>
      <c r="HN83" s="23"/>
      <c r="HO83" s="23"/>
      <c r="HP83" s="23"/>
      <c r="HQ83" s="23"/>
      <c r="HR83" s="23"/>
      <c r="HS83" s="23"/>
      <c r="HT83" s="23"/>
      <c r="HU83" s="23"/>
      <c r="HV83" s="23"/>
      <c r="HW83" s="23"/>
      <c r="HX83" s="23"/>
      <c r="HY83" s="23"/>
      <c r="HZ83" s="23"/>
      <c r="IA83" s="23"/>
      <c r="IB83" s="23"/>
      <c r="IC83" s="23"/>
      <c r="ID83" s="23"/>
      <c r="IE83" s="23"/>
      <c r="IF83" s="23"/>
      <c r="IG83" s="23"/>
      <c r="IH83" s="23"/>
      <c r="II83" s="23"/>
      <c r="IJ83" s="23"/>
      <c r="IK83" s="23"/>
      <c r="IL83" s="23"/>
      <c r="IM83" s="23"/>
      <c r="IN83" s="23"/>
      <c r="IO83" s="23"/>
      <c r="IP83" s="23"/>
      <c r="IQ83" s="23"/>
      <c r="IR83" s="23"/>
      <c r="IS83" s="23"/>
      <c r="IT83" s="23"/>
      <c r="IU83" s="23"/>
      <c r="IV83" s="23"/>
    </row>
    <row r="84" ht="11.25" customHeight="1">
      <c r="A84" s="21">
        <v>81.0</v>
      </c>
      <c r="B84" s="22">
        <v>2.0</v>
      </c>
      <c r="C84" s="22">
        <v>2.0</v>
      </c>
      <c r="D84" s="22">
        <v>2.0</v>
      </c>
      <c r="E84" s="22">
        <v>2.0</v>
      </c>
      <c r="F84" s="22">
        <v>2.0</v>
      </c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3"/>
      <c r="DH84" s="23"/>
      <c r="DI84" s="23"/>
      <c r="DJ84" s="23"/>
      <c r="DK84" s="23"/>
      <c r="DL84" s="23"/>
      <c r="DM84" s="23"/>
      <c r="DN84" s="23"/>
      <c r="DO84" s="23"/>
      <c r="DP84" s="23"/>
      <c r="DQ84" s="23"/>
      <c r="DR84" s="23"/>
      <c r="DS84" s="23"/>
      <c r="DT84" s="23"/>
      <c r="DU84" s="23"/>
      <c r="DV84" s="23"/>
      <c r="DW84" s="23"/>
      <c r="DX84" s="23"/>
      <c r="DY84" s="23"/>
      <c r="DZ84" s="23"/>
      <c r="EA84" s="23"/>
      <c r="EB84" s="23"/>
      <c r="EC84" s="23"/>
      <c r="ED84" s="23"/>
      <c r="EE84" s="23"/>
      <c r="EF84" s="23"/>
      <c r="EG84" s="23"/>
      <c r="EH84" s="23"/>
      <c r="EI84" s="23"/>
      <c r="EJ84" s="23"/>
      <c r="EK84" s="23"/>
      <c r="EL84" s="23"/>
      <c r="EM84" s="23"/>
      <c r="EN84" s="23"/>
      <c r="EO84" s="23"/>
      <c r="EP84" s="23"/>
      <c r="EQ84" s="23"/>
      <c r="ER84" s="23"/>
      <c r="ES84" s="23"/>
      <c r="ET84" s="23"/>
      <c r="EU84" s="23"/>
      <c r="EV84" s="23"/>
      <c r="EW84" s="23"/>
      <c r="EX84" s="23"/>
      <c r="EY84" s="23"/>
      <c r="EZ84" s="23"/>
      <c r="FA84" s="23"/>
      <c r="FB84" s="23"/>
      <c r="FC84" s="23"/>
      <c r="FD84" s="23"/>
      <c r="FE84" s="23"/>
      <c r="FF84" s="23"/>
      <c r="FG84" s="23"/>
      <c r="FH84" s="23"/>
      <c r="FI84" s="23"/>
      <c r="FJ84" s="23"/>
      <c r="FK84" s="23"/>
      <c r="FL84" s="23"/>
      <c r="FM84" s="23"/>
      <c r="FN84" s="23"/>
      <c r="FO84" s="23"/>
      <c r="FP84" s="23"/>
      <c r="FQ84" s="23"/>
      <c r="FR84" s="23"/>
      <c r="FS84" s="23"/>
      <c r="FT84" s="23"/>
      <c r="FU84" s="23"/>
      <c r="FV84" s="23"/>
      <c r="FW84" s="23"/>
      <c r="FX84" s="23"/>
      <c r="FY84" s="23"/>
      <c r="FZ84" s="23"/>
      <c r="GA84" s="23"/>
      <c r="GB84" s="23"/>
      <c r="GC84" s="23"/>
      <c r="GD84" s="23"/>
      <c r="GE84" s="23"/>
      <c r="GF84" s="23"/>
      <c r="GG84" s="23"/>
      <c r="GH84" s="23"/>
      <c r="GI84" s="23"/>
      <c r="GJ84" s="23"/>
      <c r="GK84" s="23"/>
      <c r="GL84" s="23"/>
      <c r="GM84" s="23"/>
      <c r="GN84" s="23"/>
      <c r="GO84" s="23"/>
      <c r="GP84" s="23"/>
      <c r="GQ84" s="23"/>
      <c r="GR84" s="23"/>
      <c r="GS84" s="23"/>
      <c r="GT84" s="23"/>
      <c r="GU84" s="23"/>
      <c r="GV84" s="23"/>
      <c r="GW84" s="23"/>
      <c r="GX84" s="23"/>
      <c r="GY84" s="23"/>
      <c r="GZ84" s="23"/>
      <c r="HA84" s="23"/>
      <c r="HB84" s="23"/>
      <c r="HC84" s="23"/>
      <c r="HD84" s="23"/>
      <c r="HE84" s="23"/>
      <c r="HF84" s="23"/>
      <c r="HG84" s="23"/>
      <c r="HH84" s="23"/>
      <c r="HI84" s="23"/>
      <c r="HJ84" s="23"/>
      <c r="HK84" s="23"/>
      <c r="HL84" s="23"/>
      <c r="HM84" s="23"/>
      <c r="HN84" s="23"/>
      <c r="HO84" s="23"/>
      <c r="HP84" s="23"/>
      <c r="HQ84" s="23"/>
      <c r="HR84" s="23"/>
      <c r="HS84" s="23"/>
      <c r="HT84" s="23"/>
      <c r="HU84" s="23"/>
      <c r="HV84" s="23"/>
      <c r="HW84" s="23"/>
      <c r="HX84" s="23"/>
      <c r="HY84" s="23"/>
      <c r="HZ84" s="23"/>
      <c r="IA84" s="23"/>
      <c r="IB84" s="23"/>
      <c r="IC84" s="23"/>
      <c r="ID84" s="23"/>
      <c r="IE84" s="23"/>
      <c r="IF84" s="23"/>
      <c r="IG84" s="23"/>
      <c r="IH84" s="23"/>
      <c r="II84" s="23"/>
      <c r="IJ84" s="23"/>
      <c r="IK84" s="23"/>
      <c r="IL84" s="23"/>
      <c r="IM84" s="23"/>
      <c r="IN84" s="23"/>
      <c r="IO84" s="23"/>
      <c r="IP84" s="23"/>
      <c r="IQ84" s="23"/>
      <c r="IR84" s="23"/>
      <c r="IS84" s="23"/>
      <c r="IT84" s="23"/>
      <c r="IU84" s="23"/>
      <c r="IV84" s="23"/>
    </row>
    <row r="85" ht="11.25" customHeight="1">
      <c r="A85" s="21">
        <v>82.0</v>
      </c>
      <c r="B85" s="22">
        <v>2.0</v>
      </c>
      <c r="C85" s="22">
        <v>2.0</v>
      </c>
      <c r="D85" s="22">
        <v>2.0</v>
      </c>
      <c r="E85" s="22">
        <v>2.0</v>
      </c>
      <c r="F85" s="22">
        <v>2.0</v>
      </c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3"/>
      <c r="DH85" s="23"/>
      <c r="DI85" s="23"/>
      <c r="DJ85" s="23"/>
      <c r="DK85" s="23"/>
      <c r="DL85" s="23"/>
      <c r="DM85" s="23"/>
      <c r="DN85" s="23"/>
      <c r="DO85" s="23"/>
      <c r="DP85" s="23"/>
      <c r="DQ85" s="23"/>
      <c r="DR85" s="23"/>
      <c r="DS85" s="23"/>
      <c r="DT85" s="23"/>
      <c r="DU85" s="23"/>
      <c r="DV85" s="23"/>
      <c r="DW85" s="23"/>
      <c r="DX85" s="23"/>
      <c r="DY85" s="23"/>
      <c r="DZ85" s="23"/>
      <c r="EA85" s="23"/>
      <c r="EB85" s="23"/>
      <c r="EC85" s="23"/>
      <c r="ED85" s="23"/>
      <c r="EE85" s="23"/>
      <c r="EF85" s="23"/>
      <c r="EG85" s="23"/>
      <c r="EH85" s="23"/>
      <c r="EI85" s="23"/>
      <c r="EJ85" s="23"/>
      <c r="EK85" s="23"/>
      <c r="EL85" s="23"/>
      <c r="EM85" s="23"/>
      <c r="EN85" s="23"/>
      <c r="EO85" s="23"/>
      <c r="EP85" s="23"/>
      <c r="EQ85" s="23"/>
      <c r="ER85" s="23"/>
      <c r="ES85" s="23"/>
      <c r="ET85" s="23"/>
      <c r="EU85" s="23"/>
      <c r="EV85" s="23"/>
      <c r="EW85" s="23"/>
      <c r="EX85" s="23"/>
      <c r="EY85" s="23"/>
      <c r="EZ85" s="23"/>
      <c r="FA85" s="23"/>
      <c r="FB85" s="23"/>
      <c r="FC85" s="23"/>
      <c r="FD85" s="23"/>
      <c r="FE85" s="23"/>
      <c r="FF85" s="23"/>
      <c r="FG85" s="23"/>
      <c r="FH85" s="23"/>
      <c r="FI85" s="23"/>
      <c r="FJ85" s="23"/>
      <c r="FK85" s="23"/>
      <c r="FL85" s="23"/>
      <c r="FM85" s="23"/>
      <c r="FN85" s="23"/>
      <c r="FO85" s="23"/>
      <c r="FP85" s="23"/>
      <c r="FQ85" s="23"/>
      <c r="FR85" s="23"/>
      <c r="FS85" s="23"/>
      <c r="FT85" s="23"/>
      <c r="FU85" s="23"/>
      <c r="FV85" s="23"/>
      <c r="FW85" s="23"/>
      <c r="FX85" s="23"/>
      <c r="FY85" s="23"/>
      <c r="FZ85" s="23"/>
      <c r="GA85" s="23"/>
      <c r="GB85" s="23"/>
      <c r="GC85" s="23"/>
      <c r="GD85" s="23"/>
      <c r="GE85" s="23"/>
      <c r="GF85" s="23"/>
      <c r="GG85" s="23"/>
      <c r="GH85" s="23"/>
      <c r="GI85" s="23"/>
      <c r="GJ85" s="23"/>
      <c r="GK85" s="23"/>
      <c r="GL85" s="23"/>
      <c r="GM85" s="23"/>
      <c r="GN85" s="23"/>
      <c r="GO85" s="23"/>
      <c r="GP85" s="23"/>
      <c r="GQ85" s="23"/>
      <c r="GR85" s="23"/>
      <c r="GS85" s="23"/>
      <c r="GT85" s="23"/>
      <c r="GU85" s="23"/>
      <c r="GV85" s="23"/>
      <c r="GW85" s="23"/>
      <c r="GX85" s="23"/>
      <c r="GY85" s="23"/>
      <c r="GZ85" s="23"/>
      <c r="HA85" s="23"/>
      <c r="HB85" s="23"/>
      <c r="HC85" s="23"/>
      <c r="HD85" s="23"/>
      <c r="HE85" s="23"/>
      <c r="HF85" s="23"/>
      <c r="HG85" s="23"/>
      <c r="HH85" s="23"/>
      <c r="HI85" s="23"/>
      <c r="HJ85" s="23"/>
      <c r="HK85" s="23"/>
      <c r="HL85" s="23"/>
      <c r="HM85" s="23"/>
      <c r="HN85" s="23"/>
      <c r="HO85" s="23"/>
      <c r="HP85" s="23"/>
      <c r="HQ85" s="23"/>
      <c r="HR85" s="23"/>
      <c r="HS85" s="23"/>
      <c r="HT85" s="23"/>
      <c r="HU85" s="23"/>
      <c r="HV85" s="23"/>
      <c r="HW85" s="23"/>
      <c r="HX85" s="23"/>
      <c r="HY85" s="23"/>
      <c r="HZ85" s="23"/>
      <c r="IA85" s="23"/>
      <c r="IB85" s="23"/>
      <c r="IC85" s="23"/>
      <c r="ID85" s="23"/>
      <c r="IE85" s="23"/>
      <c r="IF85" s="23"/>
      <c r="IG85" s="23"/>
      <c r="IH85" s="23"/>
      <c r="II85" s="23"/>
      <c r="IJ85" s="23"/>
      <c r="IK85" s="23"/>
      <c r="IL85" s="23"/>
      <c r="IM85" s="23"/>
      <c r="IN85" s="23"/>
      <c r="IO85" s="23"/>
      <c r="IP85" s="23"/>
      <c r="IQ85" s="23"/>
      <c r="IR85" s="23"/>
      <c r="IS85" s="23"/>
      <c r="IT85" s="23"/>
      <c r="IU85" s="23"/>
      <c r="IV85" s="23"/>
    </row>
    <row r="86" ht="11.25" customHeight="1">
      <c r="A86" s="21">
        <v>83.0</v>
      </c>
      <c r="B86" s="22">
        <v>1.0</v>
      </c>
      <c r="C86" s="22">
        <v>1.0</v>
      </c>
      <c r="D86" s="22">
        <v>1.0</v>
      </c>
      <c r="E86" s="22">
        <v>1.0</v>
      </c>
      <c r="F86" s="22">
        <v>1.0</v>
      </c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23"/>
      <c r="DT86" s="23"/>
      <c r="DU86" s="23"/>
      <c r="DV86" s="23"/>
      <c r="DW86" s="23"/>
      <c r="DX86" s="23"/>
      <c r="DY86" s="23"/>
      <c r="DZ86" s="23"/>
      <c r="EA86" s="23"/>
      <c r="EB86" s="23"/>
      <c r="EC86" s="23"/>
      <c r="ED86" s="23"/>
      <c r="EE86" s="23"/>
      <c r="EF86" s="23"/>
      <c r="EG86" s="23"/>
      <c r="EH86" s="23"/>
      <c r="EI86" s="23"/>
      <c r="EJ86" s="23"/>
      <c r="EK86" s="23"/>
      <c r="EL86" s="23"/>
      <c r="EM86" s="23"/>
      <c r="EN86" s="23"/>
      <c r="EO86" s="23"/>
      <c r="EP86" s="23"/>
      <c r="EQ86" s="23"/>
      <c r="ER86" s="23"/>
      <c r="ES86" s="23"/>
      <c r="ET86" s="23"/>
      <c r="EU86" s="23"/>
      <c r="EV86" s="23"/>
      <c r="EW86" s="23"/>
      <c r="EX86" s="23"/>
      <c r="EY86" s="23"/>
      <c r="EZ86" s="23"/>
      <c r="FA86" s="23"/>
      <c r="FB86" s="23"/>
      <c r="FC86" s="23"/>
      <c r="FD86" s="23"/>
      <c r="FE86" s="23"/>
      <c r="FF86" s="23"/>
      <c r="FG86" s="23"/>
      <c r="FH86" s="23"/>
      <c r="FI86" s="23"/>
      <c r="FJ86" s="23"/>
      <c r="FK86" s="23"/>
      <c r="FL86" s="23"/>
      <c r="FM86" s="23"/>
      <c r="FN86" s="23"/>
      <c r="FO86" s="23"/>
      <c r="FP86" s="23"/>
      <c r="FQ86" s="23"/>
      <c r="FR86" s="23"/>
      <c r="FS86" s="23"/>
      <c r="FT86" s="23"/>
      <c r="FU86" s="23"/>
      <c r="FV86" s="23"/>
      <c r="FW86" s="23"/>
      <c r="FX86" s="23"/>
      <c r="FY86" s="23"/>
      <c r="FZ86" s="23"/>
      <c r="GA86" s="23"/>
      <c r="GB86" s="23"/>
      <c r="GC86" s="23"/>
      <c r="GD86" s="23"/>
      <c r="GE86" s="23"/>
      <c r="GF86" s="23"/>
      <c r="GG86" s="23"/>
      <c r="GH86" s="23"/>
      <c r="GI86" s="23"/>
      <c r="GJ86" s="23"/>
      <c r="GK86" s="23"/>
      <c r="GL86" s="23"/>
      <c r="GM86" s="23"/>
      <c r="GN86" s="23"/>
      <c r="GO86" s="23"/>
      <c r="GP86" s="23"/>
      <c r="GQ86" s="23"/>
      <c r="GR86" s="23"/>
      <c r="GS86" s="23"/>
      <c r="GT86" s="23"/>
      <c r="GU86" s="23"/>
      <c r="GV86" s="23"/>
      <c r="GW86" s="23"/>
      <c r="GX86" s="23"/>
      <c r="GY86" s="23"/>
      <c r="GZ86" s="23"/>
      <c r="HA86" s="23"/>
      <c r="HB86" s="23"/>
      <c r="HC86" s="23"/>
      <c r="HD86" s="23"/>
      <c r="HE86" s="23"/>
      <c r="HF86" s="23"/>
      <c r="HG86" s="23"/>
      <c r="HH86" s="23"/>
      <c r="HI86" s="23"/>
      <c r="HJ86" s="23"/>
      <c r="HK86" s="23"/>
      <c r="HL86" s="23"/>
      <c r="HM86" s="23"/>
      <c r="HN86" s="23"/>
      <c r="HO86" s="23"/>
      <c r="HP86" s="23"/>
      <c r="HQ86" s="23"/>
      <c r="HR86" s="23"/>
      <c r="HS86" s="23"/>
      <c r="HT86" s="23"/>
      <c r="HU86" s="23"/>
      <c r="HV86" s="23"/>
      <c r="HW86" s="23"/>
      <c r="HX86" s="23"/>
      <c r="HY86" s="23"/>
      <c r="HZ86" s="23"/>
      <c r="IA86" s="23"/>
      <c r="IB86" s="23"/>
      <c r="IC86" s="23"/>
      <c r="ID86" s="23"/>
      <c r="IE86" s="23"/>
      <c r="IF86" s="23"/>
      <c r="IG86" s="23"/>
      <c r="IH86" s="23"/>
      <c r="II86" s="23"/>
      <c r="IJ86" s="23"/>
      <c r="IK86" s="23"/>
      <c r="IL86" s="23"/>
      <c r="IM86" s="23"/>
      <c r="IN86" s="23"/>
      <c r="IO86" s="23"/>
      <c r="IP86" s="23"/>
      <c r="IQ86" s="23"/>
      <c r="IR86" s="23"/>
      <c r="IS86" s="23"/>
      <c r="IT86" s="23"/>
      <c r="IU86" s="23"/>
      <c r="IV86" s="23"/>
    </row>
    <row r="87" ht="11.25" customHeight="1">
      <c r="A87" s="21">
        <v>84.0</v>
      </c>
      <c r="B87" s="22">
        <v>1.0</v>
      </c>
      <c r="C87" s="22">
        <v>1.0</v>
      </c>
      <c r="D87" s="22">
        <v>1.0</v>
      </c>
      <c r="E87" s="22">
        <v>1.0</v>
      </c>
      <c r="F87" s="22">
        <v>1.0</v>
      </c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  <c r="DH87" s="23"/>
      <c r="DI87" s="23"/>
      <c r="DJ87" s="23"/>
      <c r="DK87" s="23"/>
      <c r="DL87" s="23"/>
      <c r="DM87" s="23"/>
      <c r="DN87" s="23"/>
      <c r="DO87" s="23"/>
      <c r="DP87" s="23"/>
      <c r="DQ87" s="23"/>
      <c r="DR87" s="23"/>
      <c r="DS87" s="23"/>
      <c r="DT87" s="23"/>
      <c r="DU87" s="23"/>
      <c r="DV87" s="23"/>
      <c r="DW87" s="23"/>
      <c r="DX87" s="23"/>
      <c r="DY87" s="23"/>
      <c r="DZ87" s="23"/>
      <c r="EA87" s="23"/>
      <c r="EB87" s="23"/>
      <c r="EC87" s="23"/>
      <c r="ED87" s="23"/>
      <c r="EE87" s="23"/>
      <c r="EF87" s="23"/>
      <c r="EG87" s="23"/>
      <c r="EH87" s="23"/>
      <c r="EI87" s="23"/>
      <c r="EJ87" s="23"/>
      <c r="EK87" s="23"/>
      <c r="EL87" s="23"/>
      <c r="EM87" s="23"/>
      <c r="EN87" s="23"/>
      <c r="EO87" s="23"/>
      <c r="EP87" s="23"/>
      <c r="EQ87" s="23"/>
      <c r="ER87" s="23"/>
      <c r="ES87" s="23"/>
      <c r="ET87" s="23"/>
      <c r="EU87" s="23"/>
      <c r="EV87" s="23"/>
      <c r="EW87" s="23"/>
      <c r="EX87" s="23"/>
      <c r="EY87" s="23"/>
      <c r="EZ87" s="23"/>
      <c r="FA87" s="23"/>
      <c r="FB87" s="23"/>
      <c r="FC87" s="23"/>
      <c r="FD87" s="23"/>
      <c r="FE87" s="23"/>
      <c r="FF87" s="23"/>
      <c r="FG87" s="23"/>
      <c r="FH87" s="23"/>
      <c r="FI87" s="23"/>
      <c r="FJ87" s="23"/>
      <c r="FK87" s="23"/>
      <c r="FL87" s="23"/>
      <c r="FM87" s="23"/>
      <c r="FN87" s="23"/>
      <c r="FO87" s="23"/>
      <c r="FP87" s="23"/>
      <c r="FQ87" s="23"/>
      <c r="FR87" s="23"/>
      <c r="FS87" s="23"/>
      <c r="FT87" s="23"/>
      <c r="FU87" s="23"/>
      <c r="FV87" s="23"/>
      <c r="FW87" s="23"/>
      <c r="FX87" s="23"/>
      <c r="FY87" s="23"/>
      <c r="FZ87" s="23"/>
      <c r="GA87" s="23"/>
      <c r="GB87" s="23"/>
      <c r="GC87" s="23"/>
      <c r="GD87" s="23"/>
      <c r="GE87" s="23"/>
      <c r="GF87" s="23"/>
      <c r="GG87" s="23"/>
      <c r="GH87" s="23"/>
      <c r="GI87" s="23"/>
      <c r="GJ87" s="23"/>
      <c r="GK87" s="23"/>
      <c r="GL87" s="23"/>
      <c r="GM87" s="23"/>
      <c r="GN87" s="23"/>
      <c r="GO87" s="23"/>
      <c r="GP87" s="23"/>
      <c r="GQ87" s="23"/>
      <c r="GR87" s="23"/>
      <c r="GS87" s="23"/>
      <c r="GT87" s="23"/>
      <c r="GU87" s="23"/>
      <c r="GV87" s="23"/>
      <c r="GW87" s="23"/>
      <c r="GX87" s="23"/>
      <c r="GY87" s="23"/>
      <c r="GZ87" s="23"/>
      <c r="HA87" s="23"/>
      <c r="HB87" s="23"/>
      <c r="HC87" s="23"/>
      <c r="HD87" s="23"/>
      <c r="HE87" s="23"/>
      <c r="HF87" s="23"/>
      <c r="HG87" s="23"/>
      <c r="HH87" s="23"/>
      <c r="HI87" s="23"/>
      <c r="HJ87" s="23"/>
      <c r="HK87" s="23"/>
      <c r="HL87" s="23"/>
      <c r="HM87" s="23"/>
      <c r="HN87" s="23"/>
      <c r="HO87" s="23"/>
      <c r="HP87" s="23"/>
      <c r="HQ87" s="23"/>
      <c r="HR87" s="23"/>
      <c r="HS87" s="23"/>
      <c r="HT87" s="23"/>
      <c r="HU87" s="23"/>
      <c r="HV87" s="23"/>
      <c r="HW87" s="23"/>
      <c r="HX87" s="23"/>
      <c r="HY87" s="23"/>
      <c r="HZ87" s="23"/>
      <c r="IA87" s="23"/>
      <c r="IB87" s="23"/>
      <c r="IC87" s="23"/>
      <c r="ID87" s="23"/>
      <c r="IE87" s="23"/>
      <c r="IF87" s="23"/>
      <c r="IG87" s="23"/>
      <c r="IH87" s="23"/>
      <c r="II87" s="23"/>
      <c r="IJ87" s="23"/>
      <c r="IK87" s="23"/>
      <c r="IL87" s="23"/>
      <c r="IM87" s="23"/>
      <c r="IN87" s="23"/>
      <c r="IO87" s="23"/>
      <c r="IP87" s="23"/>
      <c r="IQ87" s="23"/>
      <c r="IR87" s="23"/>
      <c r="IS87" s="23"/>
      <c r="IT87" s="23"/>
      <c r="IU87" s="23"/>
      <c r="IV87" s="23"/>
    </row>
    <row r="88" ht="11.25" customHeight="1">
      <c r="A88" s="21">
        <v>85.0</v>
      </c>
      <c r="B88" s="22">
        <v>1.0</v>
      </c>
      <c r="C88" s="22">
        <v>1.0</v>
      </c>
      <c r="D88" s="22">
        <v>1.0</v>
      </c>
      <c r="E88" s="22">
        <v>1.0</v>
      </c>
      <c r="F88" s="22">
        <v>1.0</v>
      </c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  <c r="DH88" s="23"/>
      <c r="DI88" s="23"/>
      <c r="DJ88" s="23"/>
      <c r="DK88" s="23"/>
      <c r="DL88" s="23"/>
      <c r="DM88" s="23"/>
      <c r="DN88" s="23"/>
      <c r="DO88" s="23"/>
      <c r="DP88" s="23"/>
      <c r="DQ88" s="23"/>
      <c r="DR88" s="23"/>
      <c r="DS88" s="23"/>
      <c r="DT88" s="23"/>
      <c r="DU88" s="23"/>
      <c r="DV88" s="23"/>
      <c r="DW88" s="23"/>
      <c r="DX88" s="23"/>
      <c r="DY88" s="23"/>
      <c r="DZ88" s="23"/>
      <c r="EA88" s="23"/>
      <c r="EB88" s="23"/>
      <c r="EC88" s="23"/>
      <c r="ED88" s="23"/>
      <c r="EE88" s="23"/>
      <c r="EF88" s="23"/>
      <c r="EG88" s="23"/>
      <c r="EH88" s="23"/>
      <c r="EI88" s="23"/>
      <c r="EJ88" s="23"/>
      <c r="EK88" s="23"/>
      <c r="EL88" s="23"/>
      <c r="EM88" s="23"/>
      <c r="EN88" s="23"/>
      <c r="EO88" s="23"/>
      <c r="EP88" s="23"/>
      <c r="EQ88" s="23"/>
      <c r="ER88" s="23"/>
      <c r="ES88" s="23"/>
      <c r="ET88" s="23"/>
      <c r="EU88" s="23"/>
      <c r="EV88" s="23"/>
      <c r="EW88" s="23"/>
      <c r="EX88" s="23"/>
      <c r="EY88" s="23"/>
      <c r="EZ88" s="23"/>
      <c r="FA88" s="23"/>
      <c r="FB88" s="23"/>
      <c r="FC88" s="23"/>
      <c r="FD88" s="23"/>
      <c r="FE88" s="23"/>
      <c r="FF88" s="23"/>
      <c r="FG88" s="23"/>
      <c r="FH88" s="23"/>
      <c r="FI88" s="23"/>
      <c r="FJ88" s="23"/>
      <c r="FK88" s="23"/>
      <c r="FL88" s="23"/>
      <c r="FM88" s="23"/>
      <c r="FN88" s="23"/>
      <c r="FO88" s="23"/>
      <c r="FP88" s="23"/>
      <c r="FQ88" s="23"/>
      <c r="FR88" s="23"/>
      <c r="FS88" s="23"/>
      <c r="FT88" s="23"/>
      <c r="FU88" s="23"/>
      <c r="FV88" s="23"/>
      <c r="FW88" s="23"/>
      <c r="FX88" s="23"/>
      <c r="FY88" s="23"/>
      <c r="FZ88" s="23"/>
      <c r="GA88" s="23"/>
      <c r="GB88" s="23"/>
      <c r="GC88" s="23"/>
      <c r="GD88" s="23"/>
      <c r="GE88" s="23"/>
      <c r="GF88" s="23"/>
      <c r="GG88" s="23"/>
      <c r="GH88" s="23"/>
      <c r="GI88" s="23"/>
      <c r="GJ88" s="23"/>
      <c r="GK88" s="23"/>
      <c r="GL88" s="23"/>
      <c r="GM88" s="23"/>
      <c r="GN88" s="23"/>
      <c r="GO88" s="23"/>
      <c r="GP88" s="23"/>
      <c r="GQ88" s="23"/>
      <c r="GR88" s="23"/>
      <c r="GS88" s="23"/>
      <c r="GT88" s="23"/>
      <c r="GU88" s="23"/>
      <c r="GV88" s="23"/>
      <c r="GW88" s="23"/>
      <c r="GX88" s="23"/>
      <c r="GY88" s="23"/>
      <c r="GZ88" s="23"/>
      <c r="HA88" s="23"/>
      <c r="HB88" s="23"/>
      <c r="HC88" s="23"/>
      <c r="HD88" s="23"/>
      <c r="HE88" s="23"/>
      <c r="HF88" s="23"/>
      <c r="HG88" s="23"/>
      <c r="HH88" s="23"/>
      <c r="HI88" s="23"/>
      <c r="HJ88" s="23"/>
      <c r="HK88" s="23"/>
      <c r="HL88" s="23"/>
      <c r="HM88" s="23"/>
      <c r="HN88" s="23"/>
      <c r="HO88" s="23"/>
      <c r="HP88" s="23"/>
      <c r="HQ88" s="23"/>
      <c r="HR88" s="23"/>
      <c r="HS88" s="23"/>
      <c r="HT88" s="23"/>
      <c r="HU88" s="23"/>
      <c r="HV88" s="23"/>
      <c r="HW88" s="23"/>
      <c r="HX88" s="23"/>
      <c r="HY88" s="23"/>
      <c r="HZ88" s="23"/>
      <c r="IA88" s="23"/>
      <c r="IB88" s="23"/>
      <c r="IC88" s="23"/>
      <c r="ID88" s="23"/>
      <c r="IE88" s="23"/>
      <c r="IF88" s="23"/>
      <c r="IG88" s="23"/>
      <c r="IH88" s="23"/>
      <c r="II88" s="23"/>
      <c r="IJ88" s="23"/>
      <c r="IK88" s="23"/>
      <c r="IL88" s="23"/>
      <c r="IM88" s="23"/>
      <c r="IN88" s="23"/>
      <c r="IO88" s="23"/>
      <c r="IP88" s="23"/>
      <c r="IQ88" s="23"/>
      <c r="IR88" s="23"/>
      <c r="IS88" s="23"/>
      <c r="IT88" s="23"/>
      <c r="IU88" s="23"/>
      <c r="IV88" s="23"/>
    </row>
    <row r="89" ht="11.25" customHeight="1">
      <c r="A89" s="21">
        <v>86.0</v>
      </c>
      <c r="B89" s="22">
        <v>1.0</v>
      </c>
      <c r="C89" s="22">
        <v>1.0</v>
      </c>
      <c r="D89" s="22">
        <v>1.0</v>
      </c>
      <c r="E89" s="22">
        <v>1.0</v>
      </c>
      <c r="F89" s="22">
        <v>1.0</v>
      </c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  <c r="DH89" s="23"/>
      <c r="DI89" s="23"/>
      <c r="DJ89" s="23"/>
      <c r="DK89" s="23"/>
      <c r="DL89" s="23"/>
      <c r="DM89" s="23"/>
      <c r="DN89" s="23"/>
      <c r="DO89" s="23"/>
      <c r="DP89" s="23"/>
      <c r="DQ89" s="23"/>
      <c r="DR89" s="23"/>
      <c r="DS89" s="23"/>
      <c r="DT89" s="23"/>
      <c r="DU89" s="23"/>
      <c r="DV89" s="23"/>
      <c r="DW89" s="23"/>
      <c r="DX89" s="23"/>
      <c r="DY89" s="23"/>
      <c r="DZ89" s="23"/>
      <c r="EA89" s="23"/>
      <c r="EB89" s="23"/>
      <c r="EC89" s="23"/>
      <c r="ED89" s="23"/>
      <c r="EE89" s="23"/>
      <c r="EF89" s="23"/>
      <c r="EG89" s="23"/>
      <c r="EH89" s="23"/>
      <c r="EI89" s="23"/>
      <c r="EJ89" s="23"/>
      <c r="EK89" s="23"/>
      <c r="EL89" s="23"/>
      <c r="EM89" s="23"/>
      <c r="EN89" s="23"/>
      <c r="EO89" s="23"/>
      <c r="EP89" s="23"/>
      <c r="EQ89" s="23"/>
      <c r="ER89" s="23"/>
      <c r="ES89" s="23"/>
      <c r="ET89" s="23"/>
      <c r="EU89" s="23"/>
      <c r="EV89" s="23"/>
      <c r="EW89" s="23"/>
      <c r="EX89" s="23"/>
      <c r="EY89" s="23"/>
      <c r="EZ89" s="23"/>
      <c r="FA89" s="23"/>
      <c r="FB89" s="23"/>
      <c r="FC89" s="23"/>
      <c r="FD89" s="23"/>
      <c r="FE89" s="23"/>
      <c r="FF89" s="23"/>
      <c r="FG89" s="23"/>
      <c r="FH89" s="23"/>
      <c r="FI89" s="23"/>
      <c r="FJ89" s="23"/>
      <c r="FK89" s="23"/>
      <c r="FL89" s="23"/>
      <c r="FM89" s="23"/>
      <c r="FN89" s="23"/>
      <c r="FO89" s="23"/>
      <c r="FP89" s="23"/>
      <c r="FQ89" s="23"/>
      <c r="FR89" s="23"/>
      <c r="FS89" s="23"/>
      <c r="FT89" s="23"/>
      <c r="FU89" s="23"/>
      <c r="FV89" s="23"/>
      <c r="FW89" s="23"/>
      <c r="FX89" s="23"/>
      <c r="FY89" s="23"/>
      <c r="FZ89" s="23"/>
      <c r="GA89" s="23"/>
      <c r="GB89" s="23"/>
      <c r="GC89" s="23"/>
      <c r="GD89" s="23"/>
      <c r="GE89" s="23"/>
      <c r="GF89" s="23"/>
      <c r="GG89" s="23"/>
      <c r="GH89" s="23"/>
      <c r="GI89" s="23"/>
      <c r="GJ89" s="23"/>
      <c r="GK89" s="23"/>
      <c r="GL89" s="23"/>
      <c r="GM89" s="23"/>
      <c r="GN89" s="23"/>
      <c r="GO89" s="23"/>
      <c r="GP89" s="23"/>
      <c r="GQ89" s="23"/>
      <c r="GR89" s="23"/>
      <c r="GS89" s="23"/>
      <c r="GT89" s="23"/>
      <c r="GU89" s="23"/>
      <c r="GV89" s="23"/>
      <c r="GW89" s="23"/>
      <c r="GX89" s="23"/>
      <c r="GY89" s="23"/>
      <c r="GZ89" s="23"/>
      <c r="HA89" s="23"/>
      <c r="HB89" s="23"/>
      <c r="HC89" s="23"/>
      <c r="HD89" s="23"/>
      <c r="HE89" s="23"/>
      <c r="HF89" s="23"/>
      <c r="HG89" s="23"/>
      <c r="HH89" s="23"/>
      <c r="HI89" s="23"/>
      <c r="HJ89" s="23"/>
      <c r="HK89" s="23"/>
      <c r="HL89" s="23"/>
      <c r="HM89" s="23"/>
      <c r="HN89" s="23"/>
      <c r="HO89" s="23"/>
      <c r="HP89" s="23"/>
      <c r="HQ89" s="23"/>
      <c r="HR89" s="23"/>
      <c r="HS89" s="23"/>
      <c r="HT89" s="23"/>
      <c r="HU89" s="23"/>
      <c r="HV89" s="23"/>
      <c r="HW89" s="23"/>
      <c r="HX89" s="23"/>
      <c r="HY89" s="23"/>
      <c r="HZ89" s="23"/>
      <c r="IA89" s="23"/>
      <c r="IB89" s="23"/>
      <c r="IC89" s="23"/>
      <c r="ID89" s="23"/>
      <c r="IE89" s="23"/>
      <c r="IF89" s="23"/>
      <c r="IG89" s="23"/>
      <c r="IH89" s="23"/>
      <c r="II89" s="23"/>
      <c r="IJ89" s="23"/>
      <c r="IK89" s="23"/>
      <c r="IL89" s="23"/>
      <c r="IM89" s="23"/>
      <c r="IN89" s="23"/>
      <c r="IO89" s="23"/>
      <c r="IP89" s="23"/>
      <c r="IQ89" s="23"/>
      <c r="IR89" s="23"/>
      <c r="IS89" s="23"/>
      <c r="IT89" s="23"/>
      <c r="IU89" s="23"/>
      <c r="IV89" s="23"/>
    </row>
    <row r="90" ht="11.25" customHeight="1">
      <c r="A90" s="21">
        <v>87.0</v>
      </c>
      <c r="B90" s="22">
        <v>1.0</v>
      </c>
      <c r="C90" s="22">
        <v>1.0</v>
      </c>
      <c r="D90" s="22">
        <v>1.0</v>
      </c>
      <c r="E90" s="22">
        <v>1.0</v>
      </c>
      <c r="F90" s="22">
        <v>1.0</v>
      </c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/>
      <c r="DO90" s="23"/>
      <c r="DP90" s="23"/>
      <c r="DQ90" s="23"/>
      <c r="DR90" s="23"/>
      <c r="DS90" s="23"/>
      <c r="DT90" s="23"/>
      <c r="DU90" s="23"/>
      <c r="DV90" s="23"/>
      <c r="DW90" s="23"/>
      <c r="DX90" s="23"/>
      <c r="DY90" s="23"/>
      <c r="DZ90" s="23"/>
      <c r="EA90" s="23"/>
      <c r="EB90" s="23"/>
      <c r="EC90" s="23"/>
      <c r="ED90" s="23"/>
      <c r="EE90" s="23"/>
      <c r="EF90" s="23"/>
      <c r="EG90" s="23"/>
      <c r="EH90" s="23"/>
      <c r="EI90" s="23"/>
      <c r="EJ90" s="23"/>
      <c r="EK90" s="23"/>
      <c r="EL90" s="23"/>
      <c r="EM90" s="23"/>
      <c r="EN90" s="23"/>
      <c r="EO90" s="23"/>
      <c r="EP90" s="23"/>
      <c r="EQ90" s="23"/>
      <c r="ER90" s="23"/>
      <c r="ES90" s="23"/>
      <c r="ET90" s="23"/>
      <c r="EU90" s="23"/>
      <c r="EV90" s="23"/>
      <c r="EW90" s="23"/>
      <c r="EX90" s="23"/>
      <c r="EY90" s="23"/>
      <c r="EZ90" s="23"/>
      <c r="FA90" s="23"/>
      <c r="FB90" s="23"/>
      <c r="FC90" s="23"/>
      <c r="FD90" s="23"/>
      <c r="FE90" s="23"/>
      <c r="FF90" s="23"/>
      <c r="FG90" s="23"/>
      <c r="FH90" s="23"/>
      <c r="FI90" s="23"/>
      <c r="FJ90" s="23"/>
      <c r="FK90" s="23"/>
      <c r="FL90" s="23"/>
      <c r="FM90" s="23"/>
      <c r="FN90" s="23"/>
      <c r="FO90" s="23"/>
      <c r="FP90" s="23"/>
      <c r="FQ90" s="23"/>
      <c r="FR90" s="23"/>
      <c r="FS90" s="23"/>
      <c r="FT90" s="23"/>
      <c r="FU90" s="23"/>
      <c r="FV90" s="23"/>
      <c r="FW90" s="23"/>
      <c r="FX90" s="23"/>
      <c r="FY90" s="23"/>
      <c r="FZ90" s="23"/>
      <c r="GA90" s="23"/>
      <c r="GB90" s="23"/>
      <c r="GC90" s="23"/>
      <c r="GD90" s="23"/>
      <c r="GE90" s="23"/>
      <c r="GF90" s="23"/>
      <c r="GG90" s="23"/>
      <c r="GH90" s="23"/>
      <c r="GI90" s="23"/>
      <c r="GJ90" s="23"/>
      <c r="GK90" s="23"/>
      <c r="GL90" s="23"/>
      <c r="GM90" s="23"/>
      <c r="GN90" s="23"/>
      <c r="GO90" s="23"/>
      <c r="GP90" s="23"/>
      <c r="GQ90" s="23"/>
      <c r="GR90" s="23"/>
      <c r="GS90" s="23"/>
      <c r="GT90" s="23"/>
      <c r="GU90" s="23"/>
      <c r="GV90" s="23"/>
      <c r="GW90" s="23"/>
      <c r="GX90" s="23"/>
      <c r="GY90" s="23"/>
      <c r="GZ90" s="23"/>
      <c r="HA90" s="23"/>
      <c r="HB90" s="23"/>
      <c r="HC90" s="23"/>
      <c r="HD90" s="23"/>
      <c r="HE90" s="23"/>
      <c r="HF90" s="23"/>
      <c r="HG90" s="23"/>
      <c r="HH90" s="23"/>
      <c r="HI90" s="23"/>
      <c r="HJ90" s="23"/>
      <c r="HK90" s="23"/>
      <c r="HL90" s="23"/>
      <c r="HM90" s="23"/>
      <c r="HN90" s="23"/>
      <c r="HO90" s="23"/>
      <c r="HP90" s="23"/>
      <c r="HQ90" s="23"/>
      <c r="HR90" s="23"/>
      <c r="HS90" s="23"/>
      <c r="HT90" s="23"/>
      <c r="HU90" s="23"/>
      <c r="HV90" s="23"/>
      <c r="HW90" s="23"/>
      <c r="HX90" s="23"/>
      <c r="HY90" s="23"/>
      <c r="HZ90" s="23"/>
      <c r="IA90" s="23"/>
      <c r="IB90" s="23"/>
      <c r="IC90" s="23"/>
      <c r="ID90" s="23"/>
      <c r="IE90" s="23"/>
      <c r="IF90" s="23"/>
      <c r="IG90" s="23"/>
      <c r="IH90" s="23"/>
      <c r="II90" s="23"/>
      <c r="IJ90" s="23"/>
      <c r="IK90" s="23"/>
      <c r="IL90" s="23"/>
      <c r="IM90" s="23"/>
      <c r="IN90" s="23"/>
      <c r="IO90" s="23"/>
      <c r="IP90" s="23"/>
      <c r="IQ90" s="23"/>
      <c r="IR90" s="23"/>
      <c r="IS90" s="23"/>
      <c r="IT90" s="23"/>
      <c r="IU90" s="23"/>
      <c r="IV90" s="23"/>
    </row>
    <row r="91" ht="11.25" customHeight="1">
      <c r="A91" s="21">
        <v>88.0</v>
      </c>
      <c r="B91" s="22">
        <v>1.0</v>
      </c>
      <c r="C91" s="22">
        <v>1.0</v>
      </c>
      <c r="D91" s="22">
        <v>1.0</v>
      </c>
      <c r="E91" s="22">
        <v>1.0</v>
      </c>
      <c r="F91" s="22">
        <v>1.0</v>
      </c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/>
      <c r="DN91" s="23"/>
      <c r="DO91" s="23"/>
      <c r="DP91" s="23"/>
      <c r="DQ91" s="23"/>
      <c r="DR91" s="23"/>
      <c r="DS91" s="23"/>
      <c r="DT91" s="23"/>
      <c r="DU91" s="23"/>
      <c r="DV91" s="23"/>
      <c r="DW91" s="23"/>
      <c r="DX91" s="23"/>
      <c r="DY91" s="23"/>
      <c r="DZ91" s="23"/>
      <c r="EA91" s="23"/>
      <c r="EB91" s="23"/>
      <c r="EC91" s="23"/>
      <c r="ED91" s="23"/>
      <c r="EE91" s="23"/>
      <c r="EF91" s="23"/>
      <c r="EG91" s="23"/>
      <c r="EH91" s="23"/>
      <c r="EI91" s="23"/>
      <c r="EJ91" s="23"/>
      <c r="EK91" s="23"/>
      <c r="EL91" s="23"/>
      <c r="EM91" s="23"/>
      <c r="EN91" s="23"/>
      <c r="EO91" s="23"/>
      <c r="EP91" s="23"/>
      <c r="EQ91" s="23"/>
      <c r="ER91" s="23"/>
      <c r="ES91" s="23"/>
      <c r="ET91" s="23"/>
      <c r="EU91" s="23"/>
      <c r="EV91" s="23"/>
      <c r="EW91" s="23"/>
      <c r="EX91" s="23"/>
      <c r="EY91" s="23"/>
      <c r="EZ91" s="23"/>
      <c r="FA91" s="23"/>
      <c r="FB91" s="23"/>
      <c r="FC91" s="23"/>
      <c r="FD91" s="23"/>
      <c r="FE91" s="23"/>
      <c r="FF91" s="23"/>
      <c r="FG91" s="23"/>
      <c r="FH91" s="23"/>
      <c r="FI91" s="23"/>
      <c r="FJ91" s="23"/>
      <c r="FK91" s="23"/>
      <c r="FL91" s="23"/>
      <c r="FM91" s="23"/>
      <c r="FN91" s="23"/>
      <c r="FO91" s="23"/>
      <c r="FP91" s="23"/>
      <c r="FQ91" s="23"/>
      <c r="FR91" s="23"/>
      <c r="FS91" s="23"/>
      <c r="FT91" s="23"/>
      <c r="FU91" s="23"/>
      <c r="FV91" s="23"/>
      <c r="FW91" s="23"/>
      <c r="FX91" s="23"/>
      <c r="FY91" s="23"/>
      <c r="FZ91" s="23"/>
      <c r="GA91" s="23"/>
      <c r="GB91" s="23"/>
      <c r="GC91" s="23"/>
      <c r="GD91" s="23"/>
      <c r="GE91" s="23"/>
      <c r="GF91" s="23"/>
      <c r="GG91" s="23"/>
      <c r="GH91" s="23"/>
      <c r="GI91" s="23"/>
      <c r="GJ91" s="23"/>
      <c r="GK91" s="23"/>
      <c r="GL91" s="23"/>
      <c r="GM91" s="23"/>
      <c r="GN91" s="23"/>
      <c r="GO91" s="23"/>
      <c r="GP91" s="23"/>
      <c r="GQ91" s="23"/>
      <c r="GR91" s="23"/>
      <c r="GS91" s="23"/>
      <c r="GT91" s="23"/>
      <c r="GU91" s="23"/>
      <c r="GV91" s="23"/>
      <c r="GW91" s="23"/>
      <c r="GX91" s="23"/>
      <c r="GY91" s="23"/>
      <c r="GZ91" s="23"/>
      <c r="HA91" s="23"/>
      <c r="HB91" s="23"/>
      <c r="HC91" s="23"/>
      <c r="HD91" s="23"/>
      <c r="HE91" s="23"/>
      <c r="HF91" s="23"/>
      <c r="HG91" s="23"/>
      <c r="HH91" s="23"/>
      <c r="HI91" s="23"/>
      <c r="HJ91" s="23"/>
      <c r="HK91" s="23"/>
      <c r="HL91" s="23"/>
      <c r="HM91" s="23"/>
      <c r="HN91" s="23"/>
      <c r="HO91" s="23"/>
      <c r="HP91" s="23"/>
      <c r="HQ91" s="23"/>
      <c r="HR91" s="23"/>
      <c r="HS91" s="23"/>
      <c r="HT91" s="23"/>
      <c r="HU91" s="23"/>
      <c r="HV91" s="23"/>
      <c r="HW91" s="23"/>
      <c r="HX91" s="23"/>
      <c r="HY91" s="23"/>
      <c r="HZ91" s="23"/>
      <c r="IA91" s="23"/>
      <c r="IB91" s="23"/>
      <c r="IC91" s="23"/>
      <c r="ID91" s="23"/>
      <c r="IE91" s="23"/>
      <c r="IF91" s="23"/>
      <c r="IG91" s="23"/>
      <c r="IH91" s="23"/>
      <c r="II91" s="23"/>
      <c r="IJ91" s="23"/>
      <c r="IK91" s="23"/>
      <c r="IL91" s="23"/>
      <c r="IM91" s="23"/>
      <c r="IN91" s="23"/>
      <c r="IO91" s="23"/>
      <c r="IP91" s="23"/>
      <c r="IQ91" s="23"/>
      <c r="IR91" s="23"/>
      <c r="IS91" s="23"/>
      <c r="IT91" s="23"/>
      <c r="IU91" s="23"/>
      <c r="IV91" s="23"/>
    </row>
    <row r="92" ht="11.25" customHeight="1">
      <c r="A92" s="21">
        <v>89.0</v>
      </c>
      <c r="B92" s="22">
        <v>1.0</v>
      </c>
      <c r="C92" s="22">
        <v>1.0</v>
      </c>
      <c r="D92" s="22">
        <v>1.0</v>
      </c>
      <c r="E92" s="22">
        <v>1.0</v>
      </c>
      <c r="F92" s="22">
        <v>1.0</v>
      </c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3"/>
      <c r="DH92" s="23"/>
      <c r="DI92" s="23"/>
      <c r="DJ92" s="23"/>
      <c r="DK92" s="23"/>
      <c r="DL92" s="23"/>
      <c r="DM92" s="23"/>
      <c r="DN92" s="23"/>
      <c r="DO92" s="23"/>
      <c r="DP92" s="23"/>
      <c r="DQ92" s="23"/>
      <c r="DR92" s="23"/>
      <c r="DS92" s="23"/>
      <c r="DT92" s="23"/>
      <c r="DU92" s="23"/>
      <c r="DV92" s="23"/>
      <c r="DW92" s="23"/>
      <c r="DX92" s="23"/>
      <c r="DY92" s="23"/>
      <c r="DZ92" s="23"/>
      <c r="EA92" s="23"/>
      <c r="EB92" s="23"/>
      <c r="EC92" s="23"/>
      <c r="ED92" s="23"/>
      <c r="EE92" s="23"/>
      <c r="EF92" s="23"/>
      <c r="EG92" s="23"/>
      <c r="EH92" s="23"/>
      <c r="EI92" s="23"/>
      <c r="EJ92" s="23"/>
      <c r="EK92" s="23"/>
      <c r="EL92" s="23"/>
      <c r="EM92" s="23"/>
      <c r="EN92" s="23"/>
      <c r="EO92" s="23"/>
      <c r="EP92" s="23"/>
      <c r="EQ92" s="23"/>
      <c r="ER92" s="23"/>
      <c r="ES92" s="23"/>
      <c r="ET92" s="23"/>
      <c r="EU92" s="23"/>
      <c r="EV92" s="23"/>
      <c r="EW92" s="23"/>
      <c r="EX92" s="23"/>
      <c r="EY92" s="23"/>
      <c r="EZ92" s="23"/>
      <c r="FA92" s="23"/>
      <c r="FB92" s="23"/>
      <c r="FC92" s="23"/>
      <c r="FD92" s="23"/>
      <c r="FE92" s="23"/>
      <c r="FF92" s="23"/>
      <c r="FG92" s="23"/>
      <c r="FH92" s="23"/>
      <c r="FI92" s="23"/>
      <c r="FJ92" s="23"/>
      <c r="FK92" s="23"/>
      <c r="FL92" s="23"/>
      <c r="FM92" s="23"/>
      <c r="FN92" s="23"/>
      <c r="FO92" s="23"/>
      <c r="FP92" s="23"/>
      <c r="FQ92" s="23"/>
      <c r="FR92" s="23"/>
      <c r="FS92" s="23"/>
      <c r="FT92" s="23"/>
      <c r="FU92" s="23"/>
      <c r="FV92" s="23"/>
      <c r="FW92" s="23"/>
      <c r="FX92" s="23"/>
      <c r="FY92" s="23"/>
      <c r="FZ92" s="23"/>
      <c r="GA92" s="23"/>
      <c r="GB92" s="23"/>
      <c r="GC92" s="23"/>
      <c r="GD92" s="23"/>
      <c r="GE92" s="23"/>
      <c r="GF92" s="23"/>
      <c r="GG92" s="23"/>
      <c r="GH92" s="23"/>
      <c r="GI92" s="23"/>
      <c r="GJ92" s="23"/>
      <c r="GK92" s="23"/>
      <c r="GL92" s="23"/>
      <c r="GM92" s="23"/>
      <c r="GN92" s="23"/>
      <c r="GO92" s="23"/>
      <c r="GP92" s="23"/>
      <c r="GQ92" s="23"/>
      <c r="GR92" s="23"/>
      <c r="GS92" s="23"/>
      <c r="GT92" s="23"/>
      <c r="GU92" s="23"/>
      <c r="GV92" s="23"/>
      <c r="GW92" s="23"/>
      <c r="GX92" s="23"/>
      <c r="GY92" s="23"/>
      <c r="GZ92" s="23"/>
      <c r="HA92" s="23"/>
      <c r="HB92" s="23"/>
      <c r="HC92" s="23"/>
      <c r="HD92" s="23"/>
      <c r="HE92" s="23"/>
      <c r="HF92" s="23"/>
      <c r="HG92" s="23"/>
      <c r="HH92" s="23"/>
      <c r="HI92" s="23"/>
      <c r="HJ92" s="23"/>
      <c r="HK92" s="23"/>
      <c r="HL92" s="23"/>
      <c r="HM92" s="23"/>
      <c r="HN92" s="23"/>
      <c r="HO92" s="23"/>
      <c r="HP92" s="23"/>
      <c r="HQ92" s="23"/>
      <c r="HR92" s="23"/>
      <c r="HS92" s="23"/>
      <c r="HT92" s="23"/>
      <c r="HU92" s="23"/>
      <c r="HV92" s="23"/>
      <c r="HW92" s="23"/>
      <c r="HX92" s="23"/>
      <c r="HY92" s="23"/>
      <c r="HZ92" s="23"/>
      <c r="IA92" s="23"/>
      <c r="IB92" s="23"/>
      <c r="IC92" s="23"/>
      <c r="ID92" s="23"/>
      <c r="IE92" s="23"/>
      <c r="IF92" s="23"/>
      <c r="IG92" s="23"/>
      <c r="IH92" s="23"/>
      <c r="II92" s="23"/>
      <c r="IJ92" s="23"/>
      <c r="IK92" s="23"/>
      <c r="IL92" s="23"/>
      <c r="IM92" s="23"/>
      <c r="IN92" s="23"/>
      <c r="IO92" s="23"/>
      <c r="IP92" s="23"/>
      <c r="IQ92" s="23"/>
      <c r="IR92" s="23"/>
      <c r="IS92" s="23"/>
      <c r="IT92" s="23"/>
      <c r="IU92" s="23"/>
      <c r="IV92" s="23"/>
    </row>
    <row r="93" ht="11.25" customHeight="1">
      <c r="A93" s="21">
        <v>90.0</v>
      </c>
      <c r="B93" s="22">
        <v>2.0</v>
      </c>
      <c r="C93" s="22">
        <v>2.0</v>
      </c>
      <c r="D93" s="22">
        <v>2.0</v>
      </c>
      <c r="E93" s="22">
        <v>2.0</v>
      </c>
      <c r="F93" s="22">
        <v>2.0</v>
      </c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4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3"/>
      <c r="DH93" s="23"/>
      <c r="DI93" s="23"/>
      <c r="DJ93" s="23"/>
      <c r="DK93" s="23"/>
      <c r="DL93" s="23"/>
      <c r="DM93" s="23"/>
      <c r="DN93" s="23"/>
      <c r="DO93" s="23"/>
      <c r="DP93" s="23"/>
      <c r="DQ93" s="23"/>
      <c r="DR93" s="23"/>
      <c r="DS93" s="23"/>
      <c r="DT93" s="23"/>
      <c r="DU93" s="23"/>
      <c r="DV93" s="23"/>
      <c r="DW93" s="23"/>
      <c r="DX93" s="23"/>
      <c r="DY93" s="23"/>
      <c r="DZ93" s="23"/>
      <c r="EA93" s="23"/>
      <c r="EB93" s="23"/>
      <c r="EC93" s="23"/>
      <c r="ED93" s="23"/>
      <c r="EE93" s="23"/>
      <c r="EF93" s="23"/>
      <c r="EG93" s="23"/>
      <c r="EH93" s="23"/>
      <c r="EI93" s="23"/>
      <c r="EJ93" s="23"/>
      <c r="EK93" s="23"/>
      <c r="EL93" s="23"/>
      <c r="EM93" s="23"/>
      <c r="EN93" s="23"/>
      <c r="EO93" s="23"/>
      <c r="EP93" s="23"/>
      <c r="EQ93" s="23"/>
      <c r="ER93" s="23"/>
      <c r="ES93" s="23"/>
      <c r="ET93" s="23"/>
      <c r="EU93" s="23"/>
      <c r="EV93" s="23"/>
      <c r="EW93" s="23"/>
      <c r="EX93" s="23"/>
      <c r="EY93" s="23"/>
      <c r="EZ93" s="23"/>
      <c r="FA93" s="23"/>
      <c r="FB93" s="23"/>
      <c r="FC93" s="23"/>
      <c r="FD93" s="23"/>
      <c r="FE93" s="23"/>
      <c r="FF93" s="23"/>
      <c r="FG93" s="23"/>
      <c r="FH93" s="23"/>
      <c r="FI93" s="23"/>
      <c r="FJ93" s="23"/>
      <c r="FK93" s="23"/>
      <c r="FL93" s="23"/>
      <c r="FM93" s="23"/>
      <c r="FN93" s="23"/>
      <c r="FO93" s="23"/>
      <c r="FP93" s="23"/>
      <c r="FQ93" s="23"/>
      <c r="FR93" s="23"/>
      <c r="FS93" s="23"/>
      <c r="FT93" s="23"/>
      <c r="FU93" s="23"/>
      <c r="FV93" s="23"/>
      <c r="FW93" s="23"/>
      <c r="FX93" s="23"/>
      <c r="FY93" s="23"/>
      <c r="FZ93" s="23"/>
      <c r="GA93" s="23"/>
      <c r="GB93" s="23"/>
      <c r="GC93" s="23"/>
      <c r="GD93" s="23"/>
      <c r="GE93" s="23"/>
      <c r="GF93" s="23"/>
      <c r="GG93" s="23"/>
      <c r="GH93" s="23"/>
      <c r="GI93" s="23"/>
      <c r="GJ93" s="23"/>
      <c r="GK93" s="23"/>
      <c r="GL93" s="23"/>
      <c r="GM93" s="23"/>
      <c r="GN93" s="23"/>
      <c r="GO93" s="23"/>
      <c r="GP93" s="23"/>
      <c r="GQ93" s="23"/>
      <c r="GR93" s="23"/>
      <c r="GS93" s="23"/>
      <c r="GT93" s="23"/>
      <c r="GU93" s="23"/>
      <c r="GV93" s="23"/>
      <c r="GW93" s="23"/>
      <c r="GX93" s="23"/>
      <c r="GY93" s="23"/>
      <c r="GZ93" s="23"/>
      <c r="HA93" s="23"/>
      <c r="HB93" s="23"/>
      <c r="HC93" s="23"/>
      <c r="HD93" s="23"/>
      <c r="HE93" s="23"/>
      <c r="HF93" s="23"/>
      <c r="HG93" s="23"/>
      <c r="HH93" s="23"/>
      <c r="HI93" s="23"/>
      <c r="HJ93" s="23"/>
      <c r="HK93" s="23"/>
      <c r="HL93" s="23"/>
      <c r="HM93" s="23"/>
      <c r="HN93" s="23"/>
      <c r="HO93" s="23"/>
      <c r="HP93" s="23"/>
      <c r="HQ93" s="23"/>
      <c r="HR93" s="23"/>
      <c r="HS93" s="23"/>
      <c r="HT93" s="23"/>
      <c r="HU93" s="23"/>
      <c r="HV93" s="23"/>
      <c r="HW93" s="23"/>
      <c r="HX93" s="23"/>
      <c r="HY93" s="23"/>
      <c r="HZ93" s="23"/>
      <c r="IA93" s="23"/>
      <c r="IB93" s="23"/>
      <c r="IC93" s="23"/>
      <c r="ID93" s="23"/>
      <c r="IE93" s="23"/>
      <c r="IF93" s="23"/>
      <c r="IG93" s="23"/>
      <c r="IH93" s="23"/>
      <c r="II93" s="23"/>
      <c r="IJ93" s="23"/>
      <c r="IK93" s="23"/>
      <c r="IL93" s="23"/>
      <c r="IM93" s="23"/>
      <c r="IN93" s="23"/>
      <c r="IO93" s="23"/>
      <c r="IP93" s="23"/>
      <c r="IQ93" s="23"/>
      <c r="IR93" s="24"/>
      <c r="IS93" s="24"/>
      <c r="IT93" s="24"/>
      <c r="IU93" s="24"/>
      <c r="IV93" s="24"/>
    </row>
    <row r="94" ht="43.5" customHeight="1">
      <c r="A94" s="25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ht="11.25" customHeight="1">
      <c r="A95" s="27" t="s">
        <v>118</v>
      </c>
      <c r="B95" s="28">
        <f t="shared" ref="B95:D95" si="1">COUNTIF(B92,"=2")+COUNTIF(B81,"=2")+COUNTIF(B70,"=2")+COUNTIF(B59,"=2")+COUNTIF(B48,"=2")+COUNTIF(B37,"=2")+COUNTIF(B26,"=2")+COUNTIF(B15,"=2")+COUNTIF(B4,"=2")</f>
        <v>0</v>
      </c>
      <c r="C95" s="28">
        <f t="shared" si="1"/>
        <v>0</v>
      </c>
      <c r="D95" s="28">
        <f t="shared" si="1"/>
        <v>0</v>
      </c>
      <c r="E95" s="28" t="str">
        <f>COUNTIF(#REF!,"=2")+COUNTIF(#REF!,"=2")+COUNTIF(#REF!,"=2")+COUNTIF(#REF!,"=2")+COUNTIF(#REF!,"=2")+COUNTIF(#REF!,"=2")+COUNTIF(#REF!,"=2")+COUNTIF(#REF!,"=2")+COUNTIF(#REF!,"=2")</f>
        <v>#REF!</v>
      </c>
      <c r="F95" s="28">
        <f t="shared" ref="F95:AW95" si="2">COUNTIF(F92,"=2")+COUNTIF(F81,"=2")+COUNTIF(F70,"=2")+COUNTIF(F59,"=2")+COUNTIF(F48,"=2")+COUNTIF(F37,"=2")+COUNTIF(F26,"=2")+COUNTIF(F15,"=2")+COUNTIF(F4,"=2")</f>
        <v>0</v>
      </c>
      <c r="G95" s="28">
        <f t="shared" si="2"/>
        <v>0</v>
      </c>
      <c r="H95" s="28">
        <f t="shared" si="2"/>
        <v>0</v>
      </c>
      <c r="I95" s="28">
        <f t="shared" si="2"/>
        <v>0</v>
      </c>
      <c r="J95" s="28">
        <f t="shared" si="2"/>
        <v>0</v>
      </c>
      <c r="K95" s="28">
        <f t="shared" si="2"/>
        <v>0</v>
      </c>
      <c r="L95" s="28">
        <f t="shared" si="2"/>
        <v>0</v>
      </c>
      <c r="M95" s="28">
        <f t="shared" si="2"/>
        <v>0</v>
      </c>
      <c r="N95" s="28">
        <f t="shared" si="2"/>
        <v>0</v>
      </c>
      <c r="O95" s="28">
        <f t="shared" si="2"/>
        <v>0</v>
      </c>
      <c r="P95" s="28">
        <f t="shared" si="2"/>
        <v>0</v>
      </c>
      <c r="Q95" s="28">
        <f t="shared" si="2"/>
        <v>0</v>
      </c>
      <c r="R95" s="28">
        <f t="shared" si="2"/>
        <v>0</v>
      </c>
      <c r="S95" s="28">
        <f t="shared" si="2"/>
        <v>0</v>
      </c>
      <c r="T95" s="28">
        <f t="shared" si="2"/>
        <v>0</v>
      </c>
      <c r="U95" s="28">
        <f t="shared" si="2"/>
        <v>0</v>
      </c>
      <c r="V95" s="28">
        <f t="shared" si="2"/>
        <v>0</v>
      </c>
      <c r="W95" s="28">
        <f t="shared" si="2"/>
        <v>0</v>
      </c>
      <c r="X95" s="28">
        <f t="shared" si="2"/>
        <v>0</v>
      </c>
      <c r="Y95" s="28">
        <f t="shared" si="2"/>
        <v>0</v>
      </c>
      <c r="Z95" s="28">
        <f t="shared" si="2"/>
        <v>0</v>
      </c>
      <c r="AA95" s="28">
        <f t="shared" si="2"/>
        <v>0</v>
      </c>
      <c r="AB95" s="28">
        <f t="shared" si="2"/>
        <v>0</v>
      </c>
      <c r="AC95" s="28">
        <f t="shared" si="2"/>
        <v>0</v>
      </c>
      <c r="AD95" s="28">
        <f t="shared" si="2"/>
        <v>0</v>
      </c>
      <c r="AE95" s="28">
        <f t="shared" si="2"/>
        <v>0</v>
      </c>
      <c r="AF95" s="28">
        <f t="shared" si="2"/>
        <v>0</v>
      </c>
      <c r="AG95" s="28">
        <f t="shared" si="2"/>
        <v>0</v>
      </c>
      <c r="AH95" s="28">
        <f t="shared" si="2"/>
        <v>0</v>
      </c>
      <c r="AI95" s="28">
        <f t="shared" si="2"/>
        <v>0</v>
      </c>
      <c r="AJ95" s="28">
        <f t="shared" si="2"/>
        <v>0</v>
      </c>
      <c r="AK95" s="28">
        <f t="shared" si="2"/>
        <v>0</v>
      </c>
      <c r="AL95" s="28">
        <f t="shared" si="2"/>
        <v>0</v>
      </c>
      <c r="AM95" s="28">
        <f t="shared" si="2"/>
        <v>0</v>
      </c>
      <c r="AN95" s="28">
        <f t="shared" si="2"/>
        <v>0</v>
      </c>
      <c r="AO95" s="28">
        <f t="shared" si="2"/>
        <v>0</v>
      </c>
      <c r="AP95" s="28">
        <f t="shared" si="2"/>
        <v>0</v>
      </c>
      <c r="AQ95" s="28">
        <f t="shared" si="2"/>
        <v>0</v>
      </c>
      <c r="AR95" s="28">
        <f t="shared" si="2"/>
        <v>0</v>
      </c>
      <c r="AS95" s="28">
        <f t="shared" si="2"/>
        <v>0</v>
      </c>
      <c r="AT95" s="28">
        <f t="shared" si="2"/>
        <v>0</v>
      </c>
      <c r="AU95" s="28">
        <f t="shared" si="2"/>
        <v>0</v>
      </c>
      <c r="AV95" s="28">
        <f t="shared" si="2"/>
        <v>0</v>
      </c>
      <c r="AW95" s="28">
        <f t="shared" si="2"/>
        <v>0</v>
      </c>
      <c r="AX95" s="28">
        <f t="shared" ref="AX95:AY95" si="3">COUNTIF(AZ92,"=2")+COUNTIF(AZ81,"=2")+COUNTIF(AZ70,"=2")+COUNTIF(AZ59,"=2")+COUNTIF(AZ48,"=2")+COUNTIF(AZ37,"=2")+COUNTIF(AZ26,"=2")+COUNTIF(AZ15,"=2")+COUNTIF(AZ4,"=2")</f>
        <v>0</v>
      </c>
      <c r="AY95" s="28">
        <f t="shared" si="3"/>
        <v>0</v>
      </c>
      <c r="AZ95" s="28" t="str">
        <f>COUNTIF(#REF!,"=2")+COUNTIF(#REF!,"=2")+COUNTIF(#REF!,"=2")+COUNTIF(#REF!,"=2")+COUNTIF(#REF!,"=2")+COUNTIF(#REF!,"=2")+COUNTIF(#REF!,"=2")+COUNTIF(#REF!,"=2")+COUNTIF(#REF!,"=2")</f>
        <v>#REF!</v>
      </c>
      <c r="BA95" s="28">
        <f t="shared" ref="BA95:BT95" si="4">COUNTIF(BC92,"=2")+COUNTIF(BC81,"=2")+COUNTIF(BC70,"=2")+COUNTIF(BC59,"=2")+COUNTIF(BC48,"=2")+COUNTIF(BC37,"=2")+COUNTIF(BC26,"=2")+COUNTIF(BC15,"=2")+COUNTIF(BC4,"=2")</f>
        <v>0</v>
      </c>
      <c r="BB95" s="28">
        <f t="shared" si="4"/>
        <v>0</v>
      </c>
      <c r="BC95" s="28">
        <f t="shared" si="4"/>
        <v>0</v>
      </c>
      <c r="BD95" s="28">
        <f t="shared" si="4"/>
        <v>0</v>
      </c>
      <c r="BE95" s="28">
        <f t="shared" si="4"/>
        <v>0</v>
      </c>
      <c r="BF95" s="28">
        <f t="shared" si="4"/>
        <v>0</v>
      </c>
      <c r="BG95" s="28">
        <f t="shared" si="4"/>
        <v>0</v>
      </c>
      <c r="BH95" s="28">
        <f t="shared" si="4"/>
        <v>0</v>
      </c>
      <c r="BI95" s="28">
        <f t="shared" si="4"/>
        <v>0</v>
      </c>
      <c r="BJ95" s="28">
        <f t="shared" si="4"/>
        <v>0</v>
      </c>
      <c r="BK95" s="28">
        <f t="shared" si="4"/>
        <v>0</v>
      </c>
      <c r="BL95" s="28">
        <f t="shared" si="4"/>
        <v>0</v>
      </c>
      <c r="BM95" s="28">
        <f t="shared" si="4"/>
        <v>0</v>
      </c>
      <c r="BN95" s="28">
        <f t="shared" si="4"/>
        <v>0</v>
      </c>
      <c r="BO95" s="28">
        <f t="shared" si="4"/>
        <v>0</v>
      </c>
      <c r="BP95" s="28">
        <f t="shared" si="4"/>
        <v>0</v>
      </c>
      <c r="BQ95" s="28">
        <f t="shared" si="4"/>
        <v>0</v>
      </c>
      <c r="BR95" s="28">
        <f t="shared" si="4"/>
        <v>0</v>
      </c>
      <c r="BS95" s="28">
        <f t="shared" si="4"/>
        <v>0</v>
      </c>
      <c r="BT95" s="28">
        <f t="shared" si="4"/>
        <v>0</v>
      </c>
      <c r="BU95" s="28">
        <f>COUNTIF(BB92,"=2")+COUNTIF(BB81,"=2")+COUNTIF(BB70,"=2")+COUNTIF(BB59,"=2")+COUNTIF(BB48,"=2")+COUNTIF(BB37,"=2")+COUNTIF(BB26,"=2")+COUNTIF(BB15,"=2")+COUNTIF(BB4,"=2")</f>
        <v>0</v>
      </c>
      <c r="BV95" s="28">
        <f t="shared" ref="BV95:CP95" si="5">COUNTIF(BX92,"=2")+COUNTIF(BX81,"=2")+COUNTIF(BX70,"=2")+COUNTIF(BX59,"=2")+COUNTIF(BX48,"=2")+COUNTIF(BX37,"=2")+COUNTIF(BX26,"=2")+COUNTIF(BX15,"=2")+COUNTIF(BX4,"=2")</f>
        <v>0</v>
      </c>
      <c r="BW95" s="28">
        <f t="shared" si="5"/>
        <v>0</v>
      </c>
      <c r="BX95" s="28">
        <f t="shared" si="5"/>
        <v>0</v>
      </c>
      <c r="BY95" s="28">
        <f t="shared" si="5"/>
        <v>0</v>
      </c>
      <c r="BZ95" s="28">
        <f t="shared" si="5"/>
        <v>0</v>
      </c>
      <c r="CA95" s="28">
        <f t="shared" si="5"/>
        <v>0</v>
      </c>
      <c r="CB95" s="28">
        <f t="shared" si="5"/>
        <v>0</v>
      </c>
      <c r="CC95" s="28">
        <f t="shared" si="5"/>
        <v>0</v>
      </c>
      <c r="CD95" s="28">
        <f t="shared" si="5"/>
        <v>0</v>
      </c>
      <c r="CE95" s="28">
        <f t="shared" si="5"/>
        <v>0</v>
      </c>
      <c r="CF95" s="28">
        <f t="shared" si="5"/>
        <v>0</v>
      </c>
      <c r="CG95" s="28">
        <f t="shared" si="5"/>
        <v>0</v>
      </c>
      <c r="CH95" s="28">
        <f t="shared" si="5"/>
        <v>0</v>
      </c>
      <c r="CI95" s="28">
        <f t="shared" si="5"/>
        <v>0</v>
      </c>
      <c r="CJ95" s="28">
        <f t="shared" si="5"/>
        <v>0</v>
      </c>
      <c r="CK95" s="28">
        <f t="shared" si="5"/>
        <v>0</v>
      </c>
      <c r="CL95" s="28">
        <f t="shared" si="5"/>
        <v>0</v>
      </c>
      <c r="CM95" s="28">
        <f t="shared" si="5"/>
        <v>0</v>
      </c>
      <c r="CN95" s="28">
        <f t="shared" si="5"/>
        <v>0</v>
      </c>
      <c r="CO95" s="28">
        <f t="shared" si="5"/>
        <v>0</v>
      </c>
      <c r="CP95" s="28">
        <f t="shared" si="5"/>
        <v>0</v>
      </c>
      <c r="CQ95" s="28" t="str">
        <f t="shared" ref="CQ95:CR95" si="6">COUNTIF(#REF!,"=2")+COUNTIF(#REF!,"=2")+COUNTIF(#REF!,"=2")+COUNTIF(#REF!,"=2")+COUNTIF(#REF!,"=2")+COUNTIF(#REF!,"=2")+COUNTIF(#REF!,"=2")+COUNTIF(#REF!,"=2")+COUNTIF(#REF!,"=2")</f>
        <v>#REF!</v>
      </c>
      <c r="CR95" s="28" t="str">
        <f t="shared" si="6"/>
        <v>#REF!</v>
      </c>
      <c r="CS95" s="28">
        <f t="shared" ref="CS95:IQ95" si="7">COUNTIF(CS92,"=2")+COUNTIF(CS81,"=2")+COUNTIF(CS70,"=2")+COUNTIF(CS59,"=2")+COUNTIF(CS48,"=2")+COUNTIF(CS37,"=2")+COUNTIF(CS26,"=2")+COUNTIF(CS15,"=2")+COUNTIF(CS4,"=2")</f>
        <v>0</v>
      </c>
      <c r="CT95" s="28">
        <f t="shared" si="7"/>
        <v>0</v>
      </c>
      <c r="CU95" s="28">
        <f t="shared" si="7"/>
        <v>0</v>
      </c>
      <c r="CV95" s="28">
        <f t="shared" si="7"/>
        <v>0</v>
      </c>
      <c r="CW95" s="28">
        <f t="shared" si="7"/>
        <v>0</v>
      </c>
      <c r="CX95" s="28">
        <f t="shared" si="7"/>
        <v>0</v>
      </c>
      <c r="CY95" s="28">
        <f t="shared" si="7"/>
        <v>0</v>
      </c>
      <c r="CZ95" s="28">
        <f t="shared" si="7"/>
        <v>0</v>
      </c>
      <c r="DA95" s="28">
        <f t="shared" si="7"/>
        <v>0</v>
      </c>
      <c r="DB95" s="28">
        <f t="shared" si="7"/>
        <v>0</v>
      </c>
      <c r="DC95" s="28">
        <f t="shared" si="7"/>
        <v>0</v>
      </c>
      <c r="DD95" s="28">
        <f t="shared" si="7"/>
        <v>0</v>
      </c>
      <c r="DE95" s="28">
        <f t="shared" si="7"/>
        <v>0</v>
      </c>
      <c r="DF95" s="28">
        <f t="shared" si="7"/>
        <v>0</v>
      </c>
      <c r="DG95" s="28">
        <f t="shared" si="7"/>
        <v>0</v>
      </c>
      <c r="DH95" s="28">
        <f t="shared" si="7"/>
        <v>0</v>
      </c>
      <c r="DI95" s="28">
        <f t="shared" si="7"/>
        <v>0</v>
      </c>
      <c r="DJ95" s="28">
        <f t="shared" si="7"/>
        <v>0</v>
      </c>
      <c r="DK95" s="28">
        <f t="shared" si="7"/>
        <v>0</v>
      </c>
      <c r="DL95" s="28">
        <f t="shared" si="7"/>
        <v>0</v>
      </c>
      <c r="DM95" s="28">
        <f t="shared" si="7"/>
        <v>0</v>
      </c>
      <c r="DN95" s="28">
        <f t="shared" si="7"/>
        <v>0</v>
      </c>
      <c r="DO95" s="28">
        <f t="shared" si="7"/>
        <v>0</v>
      </c>
      <c r="DP95" s="28">
        <f t="shared" si="7"/>
        <v>0</v>
      </c>
      <c r="DQ95" s="28">
        <f t="shared" si="7"/>
        <v>0</v>
      </c>
      <c r="DR95" s="28">
        <f t="shared" si="7"/>
        <v>0</v>
      </c>
      <c r="DS95" s="28">
        <f t="shared" si="7"/>
        <v>0</v>
      </c>
      <c r="DT95" s="28">
        <f t="shared" si="7"/>
        <v>0</v>
      </c>
      <c r="DU95" s="28">
        <f t="shared" si="7"/>
        <v>0</v>
      </c>
      <c r="DV95" s="28">
        <f t="shared" si="7"/>
        <v>0</v>
      </c>
      <c r="DW95" s="28">
        <f t="shared" si="7"/>
        <v>0</v>
      </c>
      <c r="DX95" s="28">
        <f t="shared" si="7"/>
        <v>0</v>
      </c>
      <c r="DY95" s="28">
        <f t="shared" si="7"/>
        <v>0</v>
      </c>
      <c r="DZ95" s="28">
        <f t="shared" si="7"/>
        <v>0</v>
      </c>
      <c r="EA95" s="28">
        <f t="shared" si="7"/>
        <v>0</v>
      </c>
      <c r="EB95" s="28">
        <f t="shared" si="7"/>
        <v>0</v>
      </c>
      <c r="EC95" s="28">
        <f t="shared" si="7"/>
        <v>0</v>
      </c>
      <c r="ED95" s="28">
        <f t="shared" si="7"/>
        <v>0</v>
      </c>
      <c r="EE95" s="28">
        <f t="shared" si="7"/>
        <v>0</v>
      </c>
      <c r="EF95" s="28">
        <f t="shared" si="7"/>
        <v>0</v>
      </c>
      <c r="EG95" s="28">
        <f t="shared" si="7"/>
        <v>0</v>
      </c>
      <c r="EH95" s="28">
        <f t="shared" si="7"/>
        <v>0</v>
      </c>
      <c r="EI95" s="28">
        <f t="shared" si="7"/>
        <v>0</v>
      </c>
      <c r="EJ95" s="28">
        <f t="shared" si="7"/>
        <v>0</v>
      </c>
      <c r="EK95" s="28">
        <f t="shared" si="7"/>
        <v>0</v>
      </c>
      <c r="EL95" s="28">
        <f t="shared" si="7"/>
        <v>0</v>
      </c>
      <c r="EM95" s="28">
        <f t="shared" si="7"/>
        <v>0</v>
      </c>
      <c r="EN95" s="28">
        <f t="shared" si="7"/>
        <v>0</v>
      </c>
      <c r="EO95" s="28">
        <f t="shared" si="7"/>
        <v>0</v>
      </c>
      <c r="EP95" s="28">
        <f t="shared" si="7"/>
        <v>0</v>
      </c>
      <c r="EQ95" s="28">
        <f t="shared" si="7"/>
        <v>0</v>
      </c>
      <c r="ER95" s="28">
        <f t="shared" si="7"/>
        <v>0</v>
      </c>
      <c r="ES95" s="28">
        <f t="shared" si="7"/>
        <v>0</v>
      </c>
      <c r="ET95" s="28">
        <f t="shared" si="7"/>
        <v>0</v>
      </c>
      <c r="EU95" s="28">
        <f t="shared" si="7"/>
        <v>0</v>
      </c>
      <c r="EV95" s="28">
        <f t="shared" si="7"/>
        <v>0</v>
      </c>
      <c r="EW95" s="28">
        <f t="shared" si="7"/>
        <v>0</v>
      </c>
      <c r="EX95" s="28">
        <f t="shared" si="7"/>
        <v>0</v>
      </c>
      <c r="EY95" s="28">
        <f t="shared" si="7"/>
        <v>0</v>
      </c>
      <c r="EZ95" s="28">
        <f t="shared" si="7"/>
        <v>0</v>
      </c>
      <c r="FA95" s="28">
        <f t="shared" si="7"/>
        <v>0</v>
      </c>
      <c r="FB95" s="28">
        <f t="shared" si="7"/>
        <v>0</v>
      </c>
      <c r="FC95" s="28">
        <f t="shared" si="7"/>
        <v>0</v>
      </c>
      <c r="FD95" s="28">
        <f t="shared" si="7"/>
        <v>0</v>
      </c>
      <c r="FE95" s="28">
        <f t="shared" si="7"/>
        <v>0</v>
      </c>
      <c r="FF95" s="28">
        <f t="shared" si="7"/>
        <v>0</v>
      </c>
      <c r="FG95" s="28">
        <f t="shared" si="7"/>
        <v>0</v>
      </c>
      <c r="FH95" s="28">
        <f t="shared" si="7"/>
        <v>0</v>
      </c>
      <c r="FI95" s="28">
        <f t="shared" si="7"/>
        <v>0</v>
      </c>
      <c r="FJ95" s="28">
        <f t="shared" si="7"/>
        <v>0</v>
      </c>
      <c r="FK95" s="28">
        <f t="shared" si="7"/>
        <v>0</v>
      </c>
      <c r="FL95" s="28">
        <f t="shared" si="7"/>
        <v>0</v>
      </c>
      <c r="FM95" s="28">
        <f t="shared" si="7"/>
        <v>0</v>
      </c>
      <c r="FN95" s="28">
        <f t="shared" si="7"/>
        <v>0</v>
      </c>
      <c r="FO95" s="28">
        <f t="shared" si="7"/>
        <v>0</v>
      </c>
      <c r="FP95" s="28">
        <f t="shared" si="7"/>
        <v>0</v>
      </c>
      <c r="FQ95" s="28">
        <f t="shared" si="7"/>
        <v>0</v>
      </c>
      <c r="FR95" s="28">
        <f t="shared" si="7"/>
        <v>0</v>
      </c>
      <c r="FS95" s="28">
        <f t="shared" si="7"/>
        <v>0</v>
      </c>
      <c r="FT95" s="28">
        <f t="shared" si="7"/>
        <v>0</v>
      </c>
      <c r="FU95" s="28">
        <f t="shared" si="7"/>
        <v>0</v>
      </c>
      <c r="FV95" s="28">
        <f t="shared" si="7"/>
        <v>0</v>
      </c>
      <c r="FW95" s="28">
        <f t="shared" si="7"/>
        <v>0</v>
      </c>
      <c r="FX95" s="28">
        <f t="shared" si="7"/>
        <v>0</v>
      </c>
      <c r="FY95" s="28">
        <f t="shared" si="7"/>
        <v>0</v>
      </c>
      <c r="FZ95" s="28">
        <f t="shared" si="7"/>
        <v>0</v>
      </c>
      <c r="GA95" s="28">
        <f t="shared" si="7"/>
        <v>0</v>
      </c>
      <c r="GB95" s="28">
        <f t="shared" si="7"/>
        <v>0</v>
      </c>
      <c r="GC95" s="28">
        <f t="shared" si="7"/>
        <v>0</v>
      </c>
      <c r="GD95" s="28">
        <f t="shared" si="7"/>
        <v>0</v>
      </c>
      <c r="GE95" s="28">
        <f t="shared" si="7"/>
        <v>0</v>
      </c>
      <c r="GF95" s="28">
        <f t="shared" si="7"/>
        <v>0</v>
      </c>
      <c r="GG95" s="28">
        <f t="shared" si="7"/>
        <v>0</v>
      </c>
      <c r="GH95" s="28">
        <f t="shared" si="7"/>
        <v>0</v>
      </c>
      <c r="GI95" s="28">
        <f t="shared" si="7"/>
        <v>0</v>
      </c>
      <c r="GJ95" s="28">
        <f t="shared" si="7"/>
        <v>0</v>
      </c>
      <c r="GK95" s="28">
        <f t="shared" si="7"/>
        <v>0</v>
      </c>
      <c r="GL95" s="28">
        <f t="shared" si="7"/>
        <v>0</v>
      </c>
      <c r="GM95" s="28">
        <f t="shared" si="7"/>
        <v>0</v>
      </c>
      <c r="GN95" s="28">
        <f t="shared" si="7"/>
        <v>0</v>
      </c>
      <c r="GO95" s="28">
        <f t="shared" si="7"/>
        <v>0</v>
      </c>
      <c r="GP95" s="28">
        <f t="shared" si="7"/>
        <v>0</v>
      </c>
      <c r="GQ95" s="28">
        <f t="shared" si="7"/>
        <v>0</v>
      </c>
      <c r="GR95" s="28">
        <f t="shared" si="7"/>
        <v>0</v>
      </c>
      <c r="GS95" s="28">
        <f t="shared" si="7"/>
        <v>0</v>
      </c>
      <c r="GT95" s="28">
        <f t="shared" si="7"/>
        <v>0</v>
      </c>
      <c r="GU95" s="28">
        <f t="shared" si="7"/>
        <v>0</v>
      </c>
      <c r="GV95" s="28">
        <f t="shared" si="7"/>
        <v>0</v>
      </c>
      <c r="GW95" s="28">
        <f t="shared" si="7"/>
        <v>0</v>
      </c>
      <c r="GX95" s="28">
        <f t="shared" si="7"/>
        <v>0</v>
      </c>
      <c r="GY95" s="28">
        <f t="shared" si="7"/>
        <v>0</v>
      </c>
      <c r="GZ95" s="28">
        <f t="shared" si="7"/>
        <v>0</v>
      </c>
      <c r="HA95" s="28">
        <f t="shared" si="7"/>
        <v>0</v>
      </c>
      <c r="HB95" s="28">
        <f t="shared" si="7"/>
        <v>0</v>
      </c>
      <c r="HC95" s="28">
        <f t="shared" si="7"/>
        <v>0</v>
      </c>
      <c r="HD95" s="28">
        <f t="shared" si="7"/>
        <v>0</v>
      </c>
      <c r="HE95" s="28">
        <f t="shared" si="7"/>
        <v>0</v>
      </c>
      <c r="HF95" s="28">
        <f t="shared" si="7"/>
        <v>0</v>
      </c>
      <c r="HG95" s="28">
        <f t="shared" si="7"/>
        <v>0</v>
      </c>
      <c r="HH95" s="28">
        <f t="shared" si="7"/>
        <v>0</v>
      </c>
      <c r="HI95" s="28">
        <f t="shared" si="7"/>
        <v>0</v>
      </c>
      <c r="HJ95" s="28">
        <f t="shared" si="7"/>
        <v>0</v>
      </c>
      <c r="HK95" s="28">
        <f t="shared" si="7"/>
        <v>0</v>
      </c>
      <c r="HL95" s="28">
        <f t="shared" si="7"/>
        <v>0</v>
      </c>
      <c r="HM95" s="28">
        <f t="shared" si="7"/>
        <v>0</v>
      </c>
      <c r="HN95" s="28">
        <f t="shared" si="7"/>
        <v>0</v>
      </c>
      <c r="HO95" s="28">
        <f t="shared" si="7"/>
        <v>0</v>
      </c>
      <c r="HP95" s="28">
        <f t="shared" si="7"/>
        <v>0</v>
      </c>
      <c r="HQ95" s="28">
        <f t="shared" si="7"/>
        <v>0</v>
      </c>
      <c r="HR95" s="28">
        <f t="shared" si="7"/>
        <v>0</v>
      </c>
      <c r="HS95" s="28">
        <f t="shared" si="7"/>
        <v>0</v>
      </c>
      <c r="HT95" s="28">
        <f t="shared" si="7"/>
        <v>0</v>
      </c>
      <c r="HU95" s="28">
        <f t="shared" si="7"/>
        <v>0</v>
      </c>
      <c r="HV95" s="28">
        <f t="shared" si="7"/>
        <v>0</v>
      </c>
      <c r="HW95" s="28">
        <f t="shared" si="7"/>
        <v>0</v>
      </c>
      <c r="HX95" s="28">
        <f t="shared" si="7"/>
        <v>0</v>
      </c>
      <c r="HY95" s="28">
        <f t="shared" si="7"/>
        <v>0</v>
      </c>
      <c r="HZ95" s="28">
        <f t="shared" si="7"/>
        <v>0</v>
      </c>
      <c r="IA95" s="28">
        <f t="shared" si="7"/>
        <v>0</v>
      </c>
      <c r="IB95" s="28">
        <f t="shared" si="7"/>
        <v>0</v>
      </c>
      <c r="IC95" s="28">
        <f t="shared" si="7"/>
        <v>0</v>
      </c>
      <c r="ID95" s="28">
        <f t="shared" si="7"/>
        <v>0</v>
      </c>
      <c r="IE95" s="28">
        <f t="shared" si="7"/>
        <v>0</v>
      </c>
      <c r="IF95" s="28">
        <f t="shared" si="7"/>
        <v>0</v>
      </c>
      <c r="IG95" s="28">
        <f t="shared" si="7"/>
        <v>0</v>
      </c>
      <c r="IH95" s="28">
        <f t="shared" si="7"/>
        <v>0</v>
      </c>
      <c r="II95" s="28">
        <f t="shared" si="7"/>
        <v>0</v>
      </c>
      <c r="IJ95" s="28">
        <f t="shared" si="7"/>
        <v>0</v>
      </c>
      <c r="IK95" s="28">
        <f t="shared" si="7"/>
        <v>0</v>
      </c>
      <c r="IL95" s="28">
        <f t="shared" si="7"/>
        <v>0</v>
      </c>
      <c r="IM95" s="28">
        <f t="shared" si="7"/>
        <v>0</v>
      </c>
      <c r="IN95" s="28">
        <f t="shared" si="7"/>
        <v>0</v>
      </c>
      <c r="IO95" s="28">
        <f t="shared" si="7"/>
        <v>0</v>
      </c>
      <c r="IP95" s="28">
        <f t="shared" si="7"/>
        <v>0</v>
      </c>
      <c r="IQ95" s="28">
        <f t="shared" si="7"/>
        <v>0</v>
      </c>
      <c r="IR95" s="28"/>
      <c r="IS95" s="28"/>
      <c r="IT95" s="28"/>
      <c r="IU95" s="28"/>
      <c r="IV95" s="28"/>
    </row>
    <row r="96" ht="11.25" customHeight="1">
      <c r="A96" s="27" t="s">
        <v>119</v>
      </c>
      <c r="B96" s="28">
        <f t="shared" ref="B96:D96" si="8">COUNTIF(B92,"=1")+COUNTIF(B91,"=2")+COUNTIF(B80,"=2")+COUNTIF(B69,"=2")+COUNTIF(B58,"=2")+COUNTIF(B47,"=2")+COUNTIF(B36,"=2")+COUNTIF(B25,"=2")+COUNTIF(B14,"=2")</f>
        <v>1</v>
      </c>
      <c r="C96" s="28">
        <f t="shared" si="8"/>
        <v>1</v>
      </c>
      <c r="D96" s="28">
        <f t="shared" si="8"/>
        <v>1</v>
      </c>
      <c r="E96" s="28" t="str">
        <f>COUNTIF(#REF!,"=1")+COUNTIF(#REF!,"=2")+COUNTIF(#REF!,"=2")+COUNTIF(#REF!,"=2")+COUNTIF(#REF!,"=2")+COUNTIF(#REF!,"=2")+COUNTIF(#REF!,"=2")+COUNTIF(#REF!,"=2")+COUNTIF(#REF!,"=2")</f>
        <v>#REF!</v>
      </c>
      <c r="F96" s="28">
        <f t="shared" ref="F96:AW96" si="9">COUNTIF(F92,"=1")+COUNTIF(F91,"=2")+COUNTIF(F80,"=2")+COUNTIF(F69,"=2")+COUNTIF(F58,"=2")+COUNTIF(F47,"=2")+COUNTIF(F36,"=2")+COUNTIF(F25,"=2")+COUNTIF(F14,"=2")</f>
        <v>1</v>
      </c>
      <c r="G96" s="28">
        <f t="shared" si="9"/>
        <v>0</v>
      </c>
      <c r="H96" s="28">
        <f t="shared" si="9"/>
        <v>0</v>
      </c>
      <c r="I96" s="28">
        <f t="shared" si="9"/>
        <v>0</v>
      </c>
      <c r="J96" s="28">
        <f t="shared" si="9"/>
        <v>0</v>
      </c>
      <c r="K96" s="28">
        <f t="shared" si="9"/>
        <v>0</v>
      </c>
      <c r="L96" s="28">
        <f t="shared" si="9"/>
        <v>0</v>
      </c>
      <c r="M96" s="28">
        <f t="shared" si="9"/>
        <v>0</v>
      </c>
      <c r="N96" s="28">
        <f t="shared" si="9"/>
        <v>0</v>
      </c>
      <c r="O96" s="28">
        <f t="shared" si="9"/>
        <v>0</v>
      </c>
      <c r="P96" s="28">
        <f t="shared" si="9"/>
        <v>0</v>
      </c>
      <c r="Q96" s="28">
        <f t="shared" si="9"/>
        <v>0</v>
      </c>
      <c r="R96" s="28">
        <f t="shared" si="9"/>
        <v>0</v>
      </c>
      <c r="S96" s="28">
        <f t="shared" si="9"/>
        <v>0</v>
      </c>
      <c r="T96" s="28">
        <f t="shared" si="9"/>
        <v>0</v>
      </c>
      <c r="U96" s="28">
        <f t="shared" si="9"/>
        <v>0</v>
      </c>
      <c r="V96" s="28">
        <f t="shared" si="9"/>
        <v>0</v>
      </c>
      <c r="W96" s="28">
        <f t="shared" si="9"/>
        <v>0</v>
      </c>
      <c r="X96" s="28">
        <f t="shared" si="9"/>
        <v>0</v>
      </c>
      <c r="Y96" s="28">
        <f t="shared" si="9"/>
        <v>0</v>
      </c>
      <c r="Z96" s="28">
        <f t="shared" si="9"/>
        <v>0</v>
      </c>
      <c r="AA96" s="28">
        <f t="shared" si="9"/>
        <v>0</v>
      </c>
      <c r="AB96" s="28">
        <f t="shared" si="9"/>
        <v>0</v>
      </c>
      <c r="AC96" s="28">
        <f t="shared" si="9"/>
        <v>0</v>
      </c>
      <c r="AD96" s="28">
        <f t="shared" si="9"/>
        <v>0</v>
      </c>
      <c r="AE96" s="28">
        <f t="shared" si="9"/>
        <v>0</v>
      </c>
      <c r="AF96" s="28">
        <f t="shared" si="9"/>
        <v>0</v>
      </c>
      <c r="AG96" s="28">
        <f t="shared" si="9"/>
        <v>0</v>
      </c>
      <c r="AH96" s="28">
        <f t="shared" si="9"/>
        <v>0</v>
      </c>
      <c r="AI96" s="28">
        <f t="shared" si="9"/>
        <v>0</v>
      </c>
      <c r="AJ96" s="28">
        <f t="shared" si="9"/>
        <v>0</v>
      </c>
      <c r="AK96" s="28">
        <f t="shared" si="9"/>
        <v>0</v>
      </c>
      <c r="AL96" s="28">
        <f t="shared" si="9"/>
        <v>0</v>
      </c>
      <c r="AM96" s="28">
        <f t="shared" si="9"/>
        <v>0</v>
      </c>
      <c r="AN96" s="28">
        <f t="shared" si="9"/>
        <v>0</v>
      </c>
      <c r="AO96" s="28">
        <f t="shared" si="9"/>
        <v>0</v>
      </c>
      <c r="AP96" s="28">
        <f t="shared" si="9"/>
        <v>0</v>
      </c>
      <c r="AQ96" s="28">
        <f t="shared" si="9"/>
        <v>0</v>
      </c>
      <c r="AR96" s="28">
        <f t="shared" si="9"/>
        <v>0</v>
      </c>
      <c r="AS96" s="28">
        <f t="shared" si="9"/>
        <v>0</v>
      </c>
      <c r="AT96" s="28">
        <f t="shared" si="9"/>
        <v>0</v>
      </c>
      <c r="AU96" s="28">
        <f t="shared" si="9"/>
        <v>0</v>
      </c>
      <c r="AV96" s="28">
        <f t="shared" si="9"/>
        <v>0</v>
      </c>
      <c r="AW96" s="28">
        <f t="shared" si="9"/>
        <v>0</v>
      </c>
      <c r="AX96" s="28">
        <f t="shared" ref="AX96:AY96" si="10">COUNTIF(AZ92,"=1")+COUNTIF(AZ91,"=2")+COUNTIF(AZ80,"=2")+COUNTIF(AZ69,"=2")+COUNTIF(AZ58,"=2")+COUNTIF(AZ47,"=2")+COUNTIF(AZ36,"=2")+COUNTIF(AZ25,"=2")+COUNTIF(AZ14,"=2")</f>
        <v>0</v>
      </c>
      <c r="AY96" s="28">
        <f t="shared" si="10"/>
        <v>0</v>
      </c>
      <c r="AZ96" s="28" t="str">
        <f>COUNTIF(#REF!,"=1")+COUNTIF(#REF!,"=2")+COUNTIF(#REF!,"=2")+COUNTIF(#REF!,"=2")+COUNTIF(#REF!,"=2")+COUNTIF(#REF!,"=2")+COUNTIF(#REF!,"=2")+COUNTIF(#REF!,"=2")+COUNTIF(#REF!,"=2")</f>
        <v>#REF!</v>
      </c>
      <c r="BA96" s="28">
        <f t="shared" ref="BA96:BT96" si="11">COUNTIF(BC92,"=1")+COUNTIF(BC91,"=2")+COUNTIF(BC80,"=2")+COUNTIF(BC69,"=2")+COUNTIF(BC58,"=2")+COUNTIF(BC47,"=2")+COUNTIF(BC36,"=2")+COUNTIF(BC25,"=2")+COUNTIF(BC14,"=2")</f>
        <v>0</v>
      </c>
      <c r="BB96" s="28">
        <f t="shared" si="11"/>
        <v>0</v>
      </c>
      <c r="BC96" s="28">
        <f t="shared" si="11"/>
        <v>0</v>
      </c>
      <c r="BD96" s="28">
        <f t="shared" si="11"/>
        <v>0</v>
      </c>
      <c r="BE96" s="28">
        <f t="shared" si="11"/>
        <v>0</v>
      </c>
      <c r="BF96" s="28">
        <f t="shared" si="11"/>
        <v>0</v>
      </c>
      <c r="BG96" s="28">
        <f t="shared" si="11"/>
        <v>0</v>
      </c>
      <c r="BH96" s="28">
        <f t="shared" si="11"/>
        <v>0</v>
      </c>
      <c r="BI96" s="28">
        <f t="shared" si="11"/>
        <v>0</v>
      </c>
      <c r="BJ96" s="28">
        <f t="shared" si="11"/>
        <v>0</v>
      </c>
      <c r="BK96" s="28">
        <f t="shared" si="11"/>
        <v>0</v>
      </c>
      <c r="BL96" s="28">
        <f t="shared" si="11"/>
        <v>0</v>
      </c>
      <c r="BM96" s="28">
        <f t="shared" si="11"/>
        <v>0</v>
      </c>
      <c r="BN96" s="28">
        <f t="shared" si="11"/>
        <v>0</v>
      </c>
      <c r="BO96" s="28">
        <f t="shared" si="11"/>
        <v>0</v>
      </c>
      <c r="BP96" s="28">
        <f t="shared" si="11"/>
        <v>0</v>
      </c>
      <c r="BQ96" s="28">
        <f t="shared" si="11"/>
        <v>0</v>
      </c>
      <c r="BR96" s="28">
        <f t="shared" si="11"/>
        <v>0</v>
      </c>
      <c r="BS96" s="28">
        <f t="shared" si="11"/>
        <v>0</v>
      </c>
      <c r="BT96" s="28">
        <f t="shared" si="11"/>
        <v>0</v>
      </c>
      <c r="BU96" s="28">
        <f>COUNTIF(BB92,"=1")+COUNTIF(BB91,"=2")+COUNTIF(BB80,"=2")+COUNTIF(BB69,"=2")+COUNTIF(BB58,"=2")+COUNTIF(BB47,"=2")+COUNTIF(BB36,"=2")+COUNTIF(BB25,"=2")+COUNTIF(BB14,"=2")</f>
        <v>0</v>
      </c>
      <c r="BV96" s="28">
        <f t="shared" ref="BV96:CP96" si="12">COUNTIF(BX92,"=1")+COUNTIF(BX91,"=2")+COUNTIF(BX80,"=2")+COUNTIF(BX69,"=2")+COUNTIF(BX58,"=2")+COUNTIF(BX47,"=2")+COUNTIF(BX36,"=2")+COUNTIF(BX25,"=2")+COUNTIF(BX14,"=2")</f>
        <v>0</v>
      </c>
      <c r="BW96" s="28">
        <f t="shared" si="12"/>
        <v>0</v>
      </c>
      <c r="BX96" s="28">
        <f t="shared" si="12"/>
        <v>0</v>
      </c>
      <c r="BY96" s="28">
        <f t="shared" si="12"/>
        <v>0</v>
      </c>
      <c r="BZ96" s="28">
        <f t="shared" si="12"/>
        <v>0</v>
      </c>
      <c r="CA96" s="28">
        <f t="shared" si="12"/>
        <v>0</v>
      </c>
      <c r="CB96" s="28">
        <f t="shared" si="12"/>
        <v>0</v>
      </c>
      <c r="CC96" s="28">
        <f t="shared" si="12"/>
        <v>0</v>
      </c>
      <c r="CD96" s="28">
        <f t="shared" si="12"/>
        <v>0</v>
      </c>
      <c r="CE96" s="28">
        <f t="shared" si="12"/>
        <v>0</v>
      </c>
      <c r="CF96" s="28">
        <f t="shared" si="12"/>
        <v>0</v>
      </c>
      <c r="CG96" s="28">
        <f t="shared" si="12"/>
        <v>0</v>
      </c>
      <c r="CH96" s="28">
        <f t="shared" si="12"/>
        <v>0</v>
      </c>
      <c r="CI96" s="28">
        <f t="shared" si="12"/>
        <v>0</v>
      </c>
      <c r="CJ96" s="28">
        <f t="shared" si="12"/>
        <v>0</v>
      </c>
      <c r="CK96" s="28">
        <f t="shared" si="12"/>
        <v>0</v>
      </c>
      <c r="CL96" s="28">
        <f t="shared" si="12"/>
        <v>0</v>
      </c>
      <c r="CM96" s="28">
        <f t="shared" si="12"/>
        <v>0</v>
      </c>
      <c r="CN96" s="28">
        <f t="shared" si="12"/>
        <v>0</v>
      </c>
      <c r="CO96" s="28">
        <f t="shared" si="12"/>
        <v>0</v>
      </c>
      <c r="CP96" s="28">
        <f t="shared" si="12"/>
        <v>0</v>
      </c>
      <c r="CQ96" s="28" t="str">
        <f t="shared" ref="CQ96:CR96" si="13">COUNTIF(#REF!,"=1")+COUNTIF(#REF!,"=2")+COUNTIF(#REF!,"=2")+COUNTIF(#REF!,"=2")+COUNTIF(#REF!,"=2")+COUNTIF(#REF!,"=2")+COUNTIF(#REF!,"=2")+COUNTIF(#REF!,"=2")+COUNTIF(#REF!,"=2")</f>
        <v>#REF!</v>
      </c>
      <c r="CR96" s="28" t="str">
        <f t="shared" si="13"/>
        <v>#REF!</v>
      </c>
      <c r="CS96" s="28">
        <f t="shared" ref="CS96:IQ96" si="14">COUNTIF(CS92,"=1")+COUNTIF(CS91,"=2")+COUNTIF(CS80,"=2")+COUNTIF(CS69,"=2")+COUNTIF(CS58,"=2")+COUNTIF(CS47,"=2")+COUNTIF(CS36,"=2")+COUNTIF(CS25,"=2")+COUNTIF(CS14,"=2")</f>
        <v>0</v>
      </c>
      <c r="CT96" s="28">
        <f t="shared" si="14"/>
        <v>0</v>
      </c>
      <c r="CU96" s="28">
        <f t="shared" si="14"/>
        <v>0</v>
      </c>
      <c r="CV96" s="28">
        <f t="shared" si="14"/>
        <v>0</v>
      </c>
      <c r="CW96" s="28">
        <f t="shared" si="14"/>
        <v>0</v>
      </c>
      <c r="CX96" s="28">
        <f t="shared" si="14"/>
        <v>0</v>
      </c>
      <c r="CY96" s="28">
        <f t="shared" si="14"/>
        <v>0</v>
      </c>
      <c r="CZ96" s="28">
        <f t="shared" si="14"/>
        <v>0</v>
      </c>
      <c r="DA96" s="28">
        <f t="shared" si="14"/>
        <v>0</v>
      </c>
      <c r="DB96" s="28">
        <f t="shared" si="14"/>
        <v>0</v>
      </c>
      <c r="DC96" s="28">
        <f t="shared" si="14"/>
        <v>0</v>
      </c>
      <c r="DD96" s="28">
        <f t="shared" si="14"/>
        <v>0</v>
      </c>
      <c r="DE96" s="28">
        <f t="shared" si="14"/>
        <v>0</v>
      </c>
      <c r="DF96" s="28">
        <f t="shared" si="14"/>
        <v>0</v>
      </c>
      <c r="DG96" s="28">
        <f t="shared" si="14"/>
        <v>0</v>
      </c>
      <c r="DH96" s="28">
        <f t="shared" si="14"/>
        <v>0</v>
      </c>
      <c r="DI96" s="28">
        <f t="shared" si="14"/>
        <v>0</v>
      </c>
      <c r="DJ96" s="28">
        <f t="shared" si="14"/>
        <v>0</v>
      </c>
      <c r="DK96" s="28">
        <f t="shared" si="14"/>
        <v>0</v>
      </c>
      <c r="DL96" s="28">
        <f t="shared" si="14"/>
        <v>0</v>
      </c>
      <c r="DM96" s="28">
        <f t="shared" si="14"/>
        <v>0</v>
      </c>
      <c r="DN96" s="28">
        <f t="shared" si="14"/>
        <v>0</v>
      </c>
      <c r="DO96" s="28">
        <f t="shared" si="14"/>
        <v>0</v>
      </c>
      <c r="DP96" s="28">
        <f t="shared" si="14"/>
        <v>0</v>
      </c>
      <c r="DQ96" s="28">
        <f t="shared" si="14"/>
        <v>0</v>
      </c>
      <c r="DR96" s="28">
        <f t="shared" si="14"/>
        <v>0</v>
      </c>
      <c r="DS96" s="28">
        <f t="shared" si="14"/>
        <v>0</v>
      </c>
      <c r="DT96" s="28">
        <f t="shared" si="14"/>
        <v>0</v>
      </c>
      <c r="DU96" s="28">
        <f t="shared" si="14"/>
        <v>0</v>
      </c>
      <c r="DV96" s="28">
        <f t="shared" si="14"/>
        <v>0</v>
      </c>
      <c r="DW96" s="28">
        <f t="shared" si="14"/>
        <v>0</v>
      </c>
      <c r="DX96" s="28">
        <f t="shared" si="14"/>
        <v>0</v>
      </c>
      <c r="DY96" s="28">
        <f t="shared" si="14"/>
        <v>0</v>
      </c>
      <c r="DZ96" s="28">
        <f t="shared" si="14"/>
        <v>0</v>
      </c>
      <c r="EA96" s="28">
        <f t="shared" si="14"/>
        <v>0</v>
      </c>
      <c r="EB96" s="28">
        <f t="shared" si="14"/>
        <v>0</v>
      </c>
      <c r="EC96" s="28">
        <f t="shared" si="14"/>
        <v>0</v>
      </c>
      <c r="ED96" s="28">
        <f t="shared" si="14"/>
        <v>0</v>
      </c>
      <c r="EE96" s="28">
        <f t="shared" si="14"/>
        <v>0</v>
      </c>
      <c r="EF96" s="28">
        <f t="shared" si="14"/>
        <v>0</v>
      </c>
      <c r="EG96" s="28">
        <f t="shared" si="14"/>
        <v>0</v>
      </c>
      <c r="EH96" s="28">
        <f t="shared" si="14"/>
        <v>0</v>
      </c>
      <c r="EI96" s="28">
        <f t="shared" si="14"/>
        <v>0</v>
      </c>
      <c r="EJ96" s="28">
        <f t="shared" si="14"/>
        <v>0</v>
      </c>
      <c r="EK96" s="28">
        <f t="shared" si="14"/>
        <v>0</v>
      </c>
      <c r="EL96" s="28">
        <f t="shared" si="14"/>
        <v>0</v>
      </c>
      <c r="EM96" s="28">
        <f t="shared" si="14"/>
        <v>0</v>
      </c>
      <c r="EN96" s="28">
        <f t="shared" si="14"/>
        <v>0</v>
      </c>
      <c r="EO96" s="28">
        <f t="shared" si="14"/>
        <v>0</v>
      </c>
      <c r="EP96" s="28">
        <f t="shared" si="14"/>
        <v>0</v>
      </c>
      <c r="EQ96" s="28">
        <f t="shared" si="14"/>
        <v>0</v>
      </c>
      <c r="ER96" s="28">
        <f t="shared" si="14"/>
        <v>0</v>
      </c>
      <c r="ES96" s="28">
        <f t="shared" si="14"/>
        <v>0</v>
      </c>
      <c r="ET96" s="28">
        <f t="shared" si="14"/>
        <v>0</v>
      </c>
      <c r="EU96" s="28">
        <f t="shared" si="14"/>
        <v>0</v>
      </c>
      <c r="EV96" s="28">
        <f t="shared" si="14"/>
        <v>0</v>
      </c>
      <c r="EW96" s="28">
        <f t="shared" si="14"/>
        <v>0</v>
      </c>
      <c r="EX96" s="28">
        <f t="shared" si="14"/>
        <v>0</v>
      </c>
      <c r="EY96" s="28">
        <f t="shared" si="14"/>
        <v>0</v>
      </c>
      <c r="EZ96" s="28">
        <f t="shared" si="14"/>
        <v>0</v>
      </c>
      <c r="FA96" s="28">
        <f t="shared" si="14"/>
        <v>0</v>
      </c>
      <c r="FB96" s="28">
        <f t="shared" si="14"/>
        <v>0</v>
      </c>
      <c r="FC96" s="28">
        <f t="shared" si="14"/>
        <v>0</v>
      </c>
      <c r="FD96" s="28">
        <f t="shared" si="14"/>
        <v>0</v>
      </c>
      <c r="FE96" s="28">
        <f t="shared" si="14"/>
        <v>0</v>
      </c>
      <c r="FF96" s="28">
        <f t="shared" si="14"/>
        <v>0</v>
      </c>
      <c r="FG96" s="28">
        <f t="shared" si="14"/>
        <v>0</v>
      </c>
      <c r="FH96" s="28">
        <f t="shared" si="14"/>
        <v>0</v>
      </c>
      <c r="FI96" s="28">
        <f t="shared" si="14"/>
        <v>0</v>
      </c>
      <c r="FJ96" s="28">
        <f t="shared" si="14"/>
        <v>0</v>
      </c>
      <c r="FK96" s="28">
        <f t="shared" si="14"/>
        <v>0</v>
      </c>
      <c r="FL96" s="28">
        <f t="shared" si="14"/>
        <v>0</v>
      </c>
      <c r="FM96" s="28">
        <f t="shared" si="14"/>
        <v>0</v>
      </c>
      <c r="FN96" s="28">
        <f t="shared" si="14"/>
        <v>0</v>
      </c>
      <c r="FO96" s="28">
        <f t="shared" si="14"/>
        <v>0</v>
      </c>
      <c r="FP96" s="28">
        <f t="shared" si="14"/>
        <v>0</v>
      </c>
      <c r="FQ96" s="28">
        <f t="shared" si="14"/>
        <v>0</v>
      </c>
      <c r="FR96" s="28">
        <f t="shared" si="14"/>
        <v>0</v>
      </c>
      <c r="FS96" s="28">
        <f t="shared" si="14"/>
        <v>0</v>
      </c>
      <c r="FT96" s="28">
        <f t="shared" si="14"/>
        <v>0</v>
      </c>
      <c r="FU96" s="28">
        <f t="shared" si="14"/>
        <v>0</v>
      </c>
      <c r="FV96" s="28">
        <f t="shared" si="14"/>
        <v>0</v>
      </c>
      <c r="FW96" s="28">
        <f t="shared" si="14"/>
        <v>0</v>
      </c>
      <c r="FX96" s="28">
        <f t="shared" si="14"/>
        <v>0</v>
      </c>
      <c r="FY96" s="28">
        <f t="shared" si="14"/>
        <v>0</v>
      </c>
      <c r="FZ96" s="28">
        <f t="shared" si="14"/>
        <v>0</v>
      </c>
      <c r="GA96" s="28">
        <f t="shared" si="14"/>
        <v>0</v>
      </c>
      <c r="GB96" s="28">
        <f t="shared" si="14"/>
        <v>0</v>
      </c>
      <c r="GC96" s="28">
        <f t="shared" si="14"/>
        <v>0</v>
      </c>
      <c r="GD96" s="28">
        <f t="shared" si="14"/>
        <v>0</v>
      </c>
      <c r="GE96" s="28">
        <f t="shared" si="14"/>
        <v>0</v>
      </c>
      <c r="GF96" s="28">
        <f t="shared" si="14"/>
        <v>0</v>
      </c>
      <c r="GG96" s="28">
        <f t="shared" si="14"/>
        <v>0</v>
      </c>
      <c r="GH96" s="28">
        <f t="shared" si="14"/>
        <v>0</v>
      </c>
      <c r="GI96" s="28">
        <f t="shared" si="14"/>
        <v>0</v>
      </c>
      <c r="GJ96" s="28">
        <f t="shared" si="14"/>
        <v>0</v>
      </c>
      <c r="GK96" s="28">
        <f t="shared" si="14"/>
        <v>0</v>
      </c>
      <c r="GL96" s="28">
        <f t="shared" si="14"/>
        <v>0</v>
      </c>
      <c r="GM96" s="28">
        <f t="shared" si="14"/>
        <v>0</v>
      </c>
      <c r="GN96" s="28">
        <f t="shared" si="14"/>
        <v>0</v>
      </c>
      <c r="GO96" s="28">
        <f t="shared" si="14"/>
        <v>0</v>
      </c>
      <c r="GP96" s="28">
        <f t="shared" si="14"/>
        <v>0</v>
      </c>
      <c r="GQ96" s="28">
        <f t="shared" si="14"/>
        <v>0</v>
      </c>
      <c r="GR96" s="28">
        <f t="shared" si="14"/>
        <v>0</v>
      </c>
      <c r="GS96" s="28">
        <f t="shared" si="14"/>
        <v>0</v>
      </c>
      <c r="GT96" s="28">
        <f t="shared" si="14"/>
        <v>0</v>
      </c>
      <c r="GU96" s="28">
        <f t="shared" si="14"/>
        <v>0</v>
      </c>
      <c r="GV96" s="28">
        <f t="shared" si="14"/>
        <v>0</v>
      </c>
      <c r="GW96" s="28">
        <f t="shared" si="14"/>
        <v>0</v>
      </c>
      <c r="GX96" s="28">
        <f t="shared" si="14"/>
        <v>0</v>
      </c>
      <c r="GY96" s="28">
        <f t="shared" si="14"/>
        <v>0</v>
      </c>
      <c r="GZ96" s="28">
        <f t="shared" si="14"/>
        <v>0</v>
      </c>
      <c r="HA96" s="28">
        <f t="shared" si="14"/>
        <v>0</v>
      </c>
      <c r="HB96" s="28">
        <f t="shared" si="14"/>
        <v>0</v>
      </c>
      <c r="HC96" s="28">
        <f t="shared" si="14"/>
        <v>0</v>
      </c>
      <c r="HD96" s="28">
        <f t="shared" si="14"/>
        <v>0</v>
      </c>
      <c r="HE96" s="28">
        <f t="shared" si="14"/>
        <v>0</v>
      </c>
      <c r="HF96" s="28">
        <f t="shared" si="14"/>
        <v>0</v>
      </c>
      <c r="HG96" s="28">
        <f t="shared" si="14"/>
        <v>0</v>
      </c>
      <c r="HH96" s="28">
        <f t="shared" si="14"/>
        <v>0</v>
      </c>
      <c r="HI96" s="28">
        <f t="shared" si="14"/>
        <v>0</v>
      </c>
      <c r="HJ96" s="28">
        <f t="shared" si="14"/>
        <v>0</v>
      </c>
      <c r="HK96" s="28">
        <f t="shared" si="14"/>
        <v>0</v>
      </c>
      <c r="HL96" s="28">
        <f t="shared" si="14"/>
        <v>0</v>
      </c>
      <c r="HM96" s="28">
        <f t="shared" si="14"/>
        <v>0</v>
      </c>
      <c r="HN96" s="28">
        <f t="shared" si="14"/>
        <v>0</v>
      </c>
      <c r="HO96" s="28">
        <f t="shared" si="14"/>
        <v>0</v>
      </c>
      <c r="HP96" s="28">
        <f t="shared" si="14"/>
        <v>0</v>
      </c>
      <c r="HQ96" s="28">
        <f t="shared" si="14"/>
        <v>0</v>
      </c>
      <c r="HR96" s="28">
        <f t="shared" si="14"/>
        <v>0</v>
      </c>
      <c r="HS96" s="28">
        <f t="shared" si="14"/>
        <v>0</v>
      </c>
      <c r="HT96" s="28">
        <f t="shared" si="14"/>
        <v>0</v>
      </c>
      <c r="HU96" s="28">
        <f t="shared" si="14"/>
        <v>0</v>
      </c>
      <c r="HV96" s="28">
        <f t="shared" si="14"/>
        <v>0</v>
      </c>
      <c r="HW96" s="28">
        <f t="shared" si="14"/>
        <v>0</v>
      </c>
      <c r="HX96" s="28">
        <f t="shared" si="14"/>
        <v>0</v>
      </c>
      <c r="HY96" s="28">
        <f t="shared" si="14"/>
        <v>0</v>
      </c>
      <c r="HZ96" s="28">
        <f t="shared" si="14"/>
        <v>0</v>
      </c>
      <c r="IA96" s="28">
        <f t="shared" si="14"/>
        <v>0</v>
      </c>
      <c r="IB96" s="28">
        <f t="shared" si="14"/>
        <v>0</v>
      </c>
      <c r="IC96" s="28">
        <f t="shared" si="14"/>
        <v>0</v>
      </c>
      <c r="ID96" s="28">
        <f t="shared" si="14"/>
        <v>0</v>
      </c>
      <c r="IE96" s="28">
        <f t="shared" si="14"/>
        <v>0</v>
      </c>
      <c r="IF96" s="28">
        <f t="shared" si="14"/>
        <v>0</v>
      </c>
      <c r="IG96" s="28">
        <f t="shared" si="14"/>
        <v>0</v>
      </c>
      <c r="IH96" s="28">
        <f t="shared" si="14"/>
        <v>0</v>
      </c>
      <c r="II96" s="28">
        <f t="shared" si="14"/>
        <v>0</v>
      </c>
      <c r="IJ96" s="28">
        <f t="shared" si="14"/>
        <v>0</v>
      </c>
      <c r="IK96" s="28">
        <f t="shared" si="14"/>
        <v>0</v>
      </c>
      <c r="IL96" s="28">
        <f t="shared" si="14"/>
        <v>0</v>
      </c>
      <c r="IM96" s="28">
        <f t="shared" si="14"/>
        <v>0</v>
      </c>
      <c r="IN96" s="28">
        <f t="shared" si="14"/>
        <v>0</v>
      </c>
      <c r="IO96" s="28">
        <f t="shared" si="14"/>
        <v>0</v>
      </c>
      <c r="IP96" s="28">
        <f t="shared" si="14"/>
        <v>0</v>
      </c>
      <c r="IQ96" s="28">
        <f t="shared" si="14"/>
        <v>0</v>
      </c>
      <c r="IR96" s="28"/>
      <c r="IS96" s="28"/>
      <c r="IT96" s="28"/>
      <c r="IU96" s="28"/>
      <c r="IV96" s="28"/>
    </row>
    <row r="97" ht="11.25" customHeight="1">
      <c r="A97" s="27" t="s">
        <v>120</v>
      </c>
      <c r="B97" s="28">
        <f t="shared" ref="B97:D97" si="15">COUNTIF(B81,"=1")+COUNTIF(B91,"=1")+COUNTIF(B90,"=2")+COUNTIF(B79,"=2")+COUNTIF(B68,"=2")+COUNTIF(B57,"=2")+COUNTIF(B46,"=2")+COUNTIF(B35,"=2")+COUNTIF(B24,"=2")</f>
        <v>2</v>
      </c>
      <c r="C97" s="28">
        <f t="shared" si="15"/>
        <v>2</v>
      </c>
      <c r="D97" s="28">
        <f t="shared" si="15"/>
        <v>2</v>
      </c>
      <c r="E97" s="28" t="str">
        <f>COUNTIF(#REF!,"=1")+COUNTIF(#REF!,"=1")+COUNTIF(#REF!,"=2")+COUNTIF(#REF!,"=2")+COUNTIF(#REF!,"=2")+COUNTIF(#REF!,"=2")+COUNTIF(#REF!,"=2")+COUNTIF(#REF!,"=2")+COUNTIF(#REF!,"=2")</f>
        <v>#REF!</v>
      </c>
      <c r="F97" s="28">
        <f t="shared" ref="F97:AW97" si="16">COUNTIF(F81,"=1")+COUNTIF(F91,"=1")+COUNTIF(F90,"=2")+COUNTIF(F79,"=2")+COUNTIF(F68,"=2")+COUNTIF(F57,"=2")+COUNTIF(F46,"=2")+COUNTIF(F35,"=2")+COUNTIF(F24,"=2")</f>
        <v>2</v>
      </c>
      <c r="G97" s="28">
        <f t="shared" si="16"/>
        <v>0</v>
      </c>
      <c r="H97" s="28">
        <f t="shared" si="16"/>
        <v>0</v>
      </c>
      <c r="I97" s="28">
        <f t="shared" si="16"/>
        <v>0</v>
      </c>
      <c r="J97" s="28">
        <f t="shared" si="16"/>
        <v>0</v>
      </c>
      <c r="K97" s="28">
        <f t="shared" si="16"/>
        <v>0</v>
      </c>
      <c r="L97" s="28">
        <f t="shared" si="16"/>
        <v>0</v>
      </c>
      <c r="M97" s="28">
        <f t="shared" si="16"/>
        <v>0</v>
      </c>
      <c r="N97" s="28">
        <f t="shared" si="16"/>
        <v>0</v>
      </c>
      <c r="O97" s="28">
        <f t="shared" si="16"/>
        <v>0</v>
      </c>
      <c r="P97" s="28">
        <f t="shared" si="16"/>
        <v>0</v>
      </c>
      <c r="Q97" s="28">
        <f t="shared" si="16"/>
        <v>0</v>
      </c>
      <c r="R97" s="28">
        <f t="shared" si="16"/>
        <v>0</v>
      </c>
      <c r="S97" s="28">
        <f t="shared" si="16"/>
        <v>0</v>
      </c>
      <c r="T97" s="28">
        <f t="shared" si="16"/>
        <v>0</v>
      </c>
      <c r="U97" s="28">
        <f t="shared" si="16"/>
        <v>0</v>
      </c>
      <c r="V97" s="28">
        <f t="shared" si="16"/>
        <v>0</v>
      </c>
      <c r="W97" s="28">
        <f t="shared" si="16"/>
        <v>0</v>
      </c>
      <c r="X97" s="28">
        <f t="shared" si="16"/>
        <v>0</v>
      </c>
      <c r="Y97" s="28">
        <f t="shared" si="16"/>
        <v>0</v>
      </c>
      <c r="Z97" s="28">
        <f t="shared" si="16"/>
        <v>0</v>
      </c>
      <c r="AA97" s="28">
        <f t="shared" si="16"/>
        <v>0</v>
      </c>
      <c r="AB97" s="28">
        <f t="shared" si="16"/>
        <v>0</v>
      </c>
      <c r="AC97" s="28">
        <f t="shared" si="16"/>
        <v>0</v>
      </c>
      <c r="AD97" s="28">
        <f t="shared" si="16"/>
        <v>0</v>
      </c>
      <c r="AE97" s="28">
        <f t="shared" si="16"/>
        <v>0</v>
      </c>
      <c r="AF97" s="28">
        <f t="shared" si="16"/>
        <v>0</v>
      </c>
      <c r="AG97" s="28">
        <f t="shared" si="16"/>
        <v>0</v>
      </c>
      <c r="AH97" s="28">
        <f t="shared" si="16"/>
        <v>0</v>
      </c>
      <c r="AI97" s="28">
        <f t="shared" si="16"/>
        <v>0</v>
      </c>
      <c r="AJ97" s="28">
        <f t="shared" si="16"/>
        <v>0</v>
      </c>
      <c r="AK97" s="28">
        <f t="shared" si="16"/>
        <v>0</v>
      </c>
      <c r="AL97" s="28">
        <f t="shared" si="16"/>
        <v>0</v>
      </c>
      <c r="AM97" s="28">
        <f t="shared" si="16"/>
        <v>0</v>
      </c>
      <c r="AN97" s="28">
        <f t="shared" si="16"/>
        <v>0</v>
      </c>
      <c r="AO97" s="28">
        <f t="shared" si="16"/>
        <v>0</v>
      </c>
      <c r="AP97" s="28">
        <f t="shared" si="16"/>
        <v>0</v>
      </c>
      <c r="AQ97" s="28">
        <f t="shared" si="16"/>
        <v>0</v>
      </c>
      <c r="AR97" s="28">
        <f t="shared" si="16"/>
        <v>0</v>
      </c>
      <c r="AS97" s="28">
        <f t="shared" si="16"/>
        <v>0</v>
      </c>
      <c r="AT97" s="28">
        <f t="shared" si="16"/>
        <v>0</v>
      </c>
      <c r="AU97" s="28">
        <f t="shared" si="16"/>
        <v>0</v>
      </c>
      <c r="AV97" s="28">
        <f t="shared" si="16"/>
        <v>0</v>
      </c>
      <c r="AW97" s="28">
        <f t="shared" si="16"/>
        <v>0</v>
      </c>
      <c r="AX97" s="28">
        <f t="shared" ref="AX97:AY97" si="17">COUNTIF(AZ81,"=1")+COUNTIF(AZ91,"=1")+COUNTIF(AZ90,"=2")+COUNTIF(AZ79,"=2")+COUNTIF(AZ68,"=2")+COUNTIF(AZ57,"=2")+COUNTIF(AZ46,"=2")+COUNTIF(AZ35,"=2")+COUNTIF(AZ24,"=2")</f>
        <v>0</v>
      </c>
      <c r="AY97" s="28">
        <f t="shared" si="17"/>
        <v>0</v>
      </c>
      <c r="AZ97" s="28" t="str">
        <f>COUNTIF(#REF!,"=1")+COUNTIF(#REF!,"=1")+COUNTIF(#REF!,"=2")+COUNTIF(#REF!,"=2")+COUNTIF(#REF!,"=2")+COUNTIF(#REF!,"=2")+COUNTIF(#REF!,"=2")+COUNTIF(#REF!,"=2")+COUNTIF(#REF!,"=2")</f>
        <v>#REF!</v>
      </c>
      <c r="BA97" s="28">
        <f t="shared" ref="BA97:BT97" si="18">COUNTIF(BC81,"=1")+COUNTIF(BC91,"=1")+COUNTIF(BC90,"=2")+COUNTIF(BC79,"=2")+COUNTIF(BC68,"=2")+COUNTIF(BC57,"=2")+COUNTIF(BC46,"=2")+COUNTIF(BC35,"=2")+COUNTIF(BC24,"=2")</f>
        <v>0</v>
      </c>
      <c r="BB97" s="28">
        <f t="shared" si="18"/>
        <v>0</v>
      </c>
      <c r="BC97" s="28">
        <f t="shared" si="18"/>
        <v>0</v>
      </c>
      <c r="BD97" s="28">
        <f t="shared" si="18"/>
        <v>0</v>
      </c>
      <c r="BE97" s="28">
        <f t="shared" si="18"/>
        <v>0</v>
      </c>
      <c r="BF97" s="28">
        <f t="shared" si="18"/>
        <v>0</v>
      </c>
      <c r="BG97" s="28">
        <f t="shared" si="18"/>
        <v>0</v>
      </c>
      <c r="BH97" s="28">
        <f t="shared" si="18"/>
        <v>0</v>
      </c>
      <c r="BI97" s="28">
        <f t="shared" si="18"/>
        <v>0</v>
      </c>
      <c r="BJ97" s="28">
        <f t="shared" si="18"/>
        <v>0</v>
      </c>
      <c r="BK97" s="28">
        <f t="shared" si="18"/>
        <v>0</v>
      </c>
      <c r="BL97" s="28">
        <f t="shared" si="18"/>
        <v>0</v>
      </c>
      <c r="BM97" s="28">
        <f t="shared" si="18"/>
        <v>0</v>
      </c>
      <c r="BN97" s="28">
        <f t="shared" si="18"/>
        <v>0</v>
      </c>
      <c r="BO97" s="28">
        <f t="shared" si="18"/>
        <v>0</v>
      </c>
      <c r="BP97" s="28">
        <f t="shared" si="18"/>
        <v>0</v>
      </c>
      <c r="BQ97" s="28">
        <f t="shared" si="18"/>
        <v>0</v>
      </c>
      <c r="BR97" s="28">
        <f t="shared" si="18"/>
        <v>0</v>
      </c>
      <c r="BS97" s="28">
        <f t="shared" si="18"/>
        <v>0</v>
      </c>
      <c r="BT97" s="28">
        <f t="shared" si="18"/>
        <v>0</v>
      </c>
      <c r="BU97" s="28">
        <f>COUNTIF(BB81,"=1")+COUNTIF(BB91,"=1")+COUNTIF(BB90,"=2")+COUNTIF(BB79,"=2")+COUNTIF(BB68,"=2")+COUNTIF(BB57,"=2")+COUNTIF(BB46,"=2")+COUNTIF(BB35,"=2")+COUNTIF(BB24,"=2")</f>
        <v>0</v>
      </c>
      <c r="BV97" s="28">
        <f t="shared" ref="BV97:CP97" si="19">COUNTIF(BX81,"=1")+COUNTIF(BX91,"=1")+COUNTIF(BX90,"=2")+COUNTIF(BX79,"=2")+COUNTIF(BX68,"=2")+COUNTIF(BX57,"=2")+COUNTIF(BX46,"=2")+COUNTIF(BX35,"=2")+COUNTIF(BX24,"=2")</f>
        <v>0</v>
      </c>
      <c r="BW97" s="28">
        <f t="shared" si="19"/>
        <v>0</v>
      </c>
      <c r="BX97" s="28">
        <f t="shared" si="19"/>
        <v>0</v>
      </c>
      <c r="BY97" s="28">
        <f t="shared" si="19"/>
        <v>0</v>
      </c>
      <c r="BZ97" s="28">
        <f t="shared" si="19"/>
        <v>0</v>
      </c>
      <c r="CA97" s="28">
        <f t="shared" si="19"/>
        <v>0</v>
      </c>
      <c r="CB97" s="28">
        <f t="shared" si="19"/>
        <v>0</v>
      </c>
      <c r="CC97" s="28">
        <f t="shared" si="19"/>
        <v>0</v>
      </c>
      <c r="CD97" s="28">
        <f t="shared" si="19"/>
        <v>0</v>
      </c>
      <c r="CE97" s="28">
        <f t="shared" si="19"/>
        <v>0</v>
      </c>
      <c r="CF97" s="28">
        <f t="shared" si="19"/>
        <v>0</v>
      </c>
      <c r="CG97" s="28">
        <f t="shared" si="19"/>
        <v>0</v>
      </c>
      <c r="CH97" s="28">
        <f t="shared" si="19"/>
        <v>0</v>
      </c>
      <c r="CI97" s="28">
        <f t="shared" si="19"/>
        <v>0</v>
      </c>
      <c r="CJ97" s="28">
        <f t="shared" si="19"/>
        <v>0</v>
      </c>
      <c r="CK97" s="28">
        <f t="shared" si="19"/>
        <v>0</v>
      </c>
      <c r="CL97" s="28">
        <f t="shared" si="19"/>
        <v>0</v>
      </c>
      <c r="CM97" s="28">
        <f t="shared" si="19"/>
        <v>0</v>
      </c>
      <c r="CN97" s="28">
        <f t="shared" si="19"/>
        <v>0</v>
      </c>
      <c r="CO97" s="28">
        <f t="shared" si="19"/>
        <v>0</v>
      </c>
      <c r="CP97" s="28">
        <f t="shared" si="19"/>
        <v>0</v>
      </c>
      <c r="CQ97" s="28" t="str">
        <f t="shared" ref="CQ97:CR97" si="20">COUNTIF(#REF!,"=1")+COUNTIF(#REF!,"=1")+COUNTIF(#REF!,"=2")+COUNTIF(#REF!,"=2")+COUNTIF(#REF!,"=2")+COUNTIF(#REF!,"=2")+COUNTIF(#REF!,"=2")+COUNTIF(#REF!,"=2")+COUNTIF(#REF!,"=2")</f>
        <v>#REF!</v>
      </c>
      <c r="CR97" s="28" t="str">
        <f t="shared" si="20"/>
        <v>#REF!</v>
      </c>
      <c r="CS97" s="28">
        <f t="shared" ref="CS97:IQ97" si="21">COUNTIF(CS81,"=1")+COUNTIF(CS91,"=1")+COUNTIF(CS90,"=2")+COUNTIF(CS79,"=2")+COUNTIF(CS68,"=2")+COUNTIF(CS57,"=2")+COUNTIF(CS46,"=2")+COUNTIF(CS35,"=2")+COUNTIF(CS24,"=2")</f>
        <v>0</v>
      </c>
      <c r="CT97" s="28">
        <f t="shared" si="21"/>
        <v>0</v>
      </c>
      <c r="CU97" s="28">
        <f t="shared" si="21"/>
        <v>0</v>
      </c>
      <c r="CV97" s="28">
        <f t="shared" si="21"/>
        <v>0</v>
      </c>
      <c r="CW97" s="28">
        <f t="shared" si="21"/>
        <v>0</v>
      </c>
      <c r="CX97" s="28">
        <f t="shared" si="21"/>
        <v>0</v>
      </c>
      <c r="CY97" s="28">
        <f t="shared" si="21"/>
        <v>0</v>
      </c>
      <c r="CZ97" s="28">
        <f t="shared" si="21"/>
        <v>0</v>
      </c>
      <c r="DA97" s="28">
        <f t="shared" si="21"/>
        <v>0</v>
      </c>
      <c r="DB97" s="28">
        <f t="shared" si="21"/>
        <v>0</v>
      </c>
      <c r="DC97" s="28">
        <f t="shared" si="21"/>
        <v>0</v>
      </c>
      <c r="DD97" s="28">
        <f t="shared" si="21"/>
        <v>0</v>
      </c>
      <c r="DE97" s="28">
        <f t="shared" si="21"/>
        <v>0</v>
      </c>
      <c r="DF97" s="28">
        <f t="shared" si="21"/>
        <v>0</v>
      </c>
      <c r="DG97" s="28">
        <f t="shared" si="21"/>
        <v>0</v>
      </c>
      <c r="DH97" s="28">
        <f t="shared" si="21"/>
        <v>0</v>
      </c>
      <c r="DI97" s="28">
        <f t="shared" si="21"/>
        <v>0</v>
      </c>
      <c r="DJ97" s="28">
        <f t="shared" si="21"/>
        <v>0</v>
      </c>
      <c r="DK97" s="28">
        <f t="shared" si="21"/>
        <v>0</v>
      </c>
      <c r="DL97" s="28">
        <f t="shared" si="21"/>
        <v>0</v>
      </c>
      <c r="DM97" s="28">
        <f t="shared" si="21"/>
        <v>0</v>
      </c>
      <c r="DN97" s="28">
        <f t="shared" si="21"/>
        <v>0</v>
      </c>
      <c r="DO97" s="28">
        <f t="shared" si="21"/>
        <v>0</v>
      </c>
      <c r="DP97" s="28">
        <f t="shared" si="21"/>
        <v>0</v>
      </c>
      <c r="DQ97" s="28">
        <f t="shared" si="21"/>
        <v>0</v>
      </c>
      <c r="DR97" s="28">
        <f t="shared" si="21"/>
        <v>0</v>
      </c>
      <c r="DS97" s="28">
        <f t="shared" si="21"/>
        <v>0</v>
      </c>
      <c r="DT97" s="28">
        <f t="shared" si="21"/>
        <v>0</v>
      </c>
      <c r="DU97" s="28">
        <f t="shared" si="21"/>
        <v>0</v>
      </c>
      <c r="DV97" s="28">
        <f t="shared" si="21"/>
        <v>0</v>
      </c>
      <c r="DW97" s="28">
        <f t="shared" si="21"/>
        <v>0</v>
      </c>
      <c r="DX97" s="28">
        <f t="shared" si="21"/>
        <v>0</v>
      </c>
      <c r="DY97" s="28">
        <f t="shared" si="21"/>
        <v>0</v>
      </c>
      <c r="DZ97" s="28">
        <f t="shared" si="21"/>
        <v>0</v>
      </c>
      <c r="EA97" s="28">
        <f t="shared" si="21"/>
        <v>0</v>
      </c>
      <c r="EB97" s="28">
        <f t="shared" si="21"/>
        <v>0</v>
      </c>
      <c r="EC97" s="28">
        <f t="shared" si="21"/>
        <v>0</v>
      </c>
      <c r="ED97" s="28">
        <f t="shared" si="21"/>
        <v>0</v>
      </c>
      <c r="EE97" s="28">
        <f t="shared" si="21"/>
        <v>0</v>
      </c>
      <c r="EF97" s="28">
        <f t="shared" si="21"/>
        <v>0</v>
      </c>
      <c r="EG97" s="28">
        <f t="shared" si="21"/>
        <v>0</v>
      </c>
      <c r="EH97" s="28">
        <f t="shared" si="21"/>
        <v>0</v>
      </c>
      <c r="EI97" s="28">
        <f t="shared" si="21"/>
        <v>0</v>
      </c>
      <c r="EJ97" s="28">
        <f t="shared" si="21"/>
        <v>0</v>
      </c>
      <c r="EK97" s="28">
        <f t="shared" si="21"/>
        <v>0</v>
      </c>
      <c r="EL97" s="28">
        <f t="shared" si="21"/>
        <v>0</v>
      </c>
      <c r="EM97" s="28">
        <f t="shared" si="21"/>
        <v>0</v>
      </c>
      <c r="EN97" s="28">
        <f t="shared" si="21"/>
        <v>0</v>
      </c>
      <c r="EO97" s="28">
        <f t="shared" si="21"/>
        <v>0</v>
      </c>
      <c r="EP97" s="28">
        <f t="shared" si="21"/>
        <v>0</v>
      </c>
      <c r="EQ97" s="28">
        <f t="shared" si="21"/>
        <v>0</v>
      </c>
      <c r="ER97" s="28">
        <f t="shared" si="21"/>
        <v>0</v>
      </c>
      <c r="ES97" s="28">
        <f t="shared" si="21"/>
        <v>0</v>
      </c>
      <c r="ET97" s="28">
        <f t="shared" si="21"/>
        <v>0</v>
      </c>
      <c r="EU97" s="28">
        <f t="shared" si="21"/>
        <v>0</v>
      </c>
      <c r="EV97" s="28">
        <f t="shared" si="21"/>
        <v>0</v>
      </c>
      <c r="EW97" s="28">
        <f t="shared" si="21"/>
        <v>0</v>
      </c>
      <c r="EX97" s="28">
        <f t="shared" si="21"/>
        <v>0</v>
      </c>
      <c r="EY97" s="28">
        <f t="shared" si="21"/>
        <v>0</v>
      </c>
      <c r="EZ97" s="28">
        <f t="shared" si="21"/>
        <v>0</v>
      </c>
      <c r="FA97" s="28">
        <f t="shared" si="21"/>
        <v>0</v>
      </c>
      <c r="FB97" s="28">
        <f t="shared" si="21"/>
        <v>0</v>
      </c>
      <c r="FC97" s="28">
        <f t="shared" si="21"/>
        <v>0</v>
      </c>
      <c r="FD97" s="28">
        <f t="shared" si="21"/>
        <v>0</v>
      </c>
      <c r="FE97" s="28">
        <f t="shared" si="21"/>
        <v>0</v>
      </c>
      <c r="FF97" s="28">
        <f t="shared" si="21"/>
        <v>0</v>
      </c>
      <c r="FG97" s="28">
        <f t="shared" si="21"/>
        <v>0</v>
      </c>
      <c r="FH97" s="28">
        <f t="shared" si="21"/>
        <v>0</v>
      </c>
      <c r="FI97" s="28">
        <f t="shared" si="21"/>
        <v>0</v>
      </c>
      <c r="FJ97" s="28">
        <f t="shared" si="21"/>
        <v>0</v>
      </c>
      <c r="FK97" s="28">
        <f t="shared" si="21"/>
        <v>0</v>
      </c>
      <c r="FL97" s="28">
        <f t="shared" si="21"/>
        <v>0</v>
      </c>
      <c r="FM97" s="28">
        <f t="shared" si="21"/>
        <v>0</v>
      </c>
      <c r="FN97" s="28">
        <f t="shared" si="21"/>
        <v>0</v>
      </c>
      <c r="FO97" s="28">
        <f t="shared" si="21"/>
        <v>0</v>
      </c>
      <c r="FP97" s="28">
        <f t="shared" si="21"/>
        <v>0</v>
      </c>
      <c r="FQ97" s="28">
        <f t="shared" si="21"/>
        <v>0</v>
      </c>
      <c r="FR97" s="28">
        <f t="shared" si="21"/>
        <v>0</v>
      </c>
      <c r="FS97" s="28">
        <f t="shared" si="21"/>
        <v>0</v>
      </c>
      <c r="FT97" s="28">
        <f t="shared" si="21"/>
        <v>0</v>
      </c>
      <c r="FU97" s="28">
        <f t="shared" si="21"/>
        <v>0</v>
      </c>
      <c r="FV97" s="28">
        <f t="shared" si="21"/>
        <v>0</v>
      </c>
      <c r="FW97" s="28">
        <f t="shared" si="21"/>
        <v>0</v>
      </c>
      <c r="FX97" s="28">
        <f t="shared" si="21"/>
        <v>0</v>
      </c>
      <c r="FY97" s="28">
        <f t="shared" si="21"/>
        <v>0</v>
      </c>
      <c r="FZ97" s="28">
        <f t="shared" si="21"/>
        <v>0</v>
      </c>
      <c r="GA97" s="28">
        <f t="shared" si="21"/>
        <v>0</v>
      </c>
      <c r="GB97" s="28">
        <f t="shared" si="21"/>
        <v>0</v>
      </c>
      <c r="GC97" s="28">
        <f t="shared" si="21"/>
        <v>0</v>
      </c>
      <c r="GD97" s="28">
        <f t="shared" si="21"/>
        <v>0</v>
      </c>
      <c r="GE97" s="28">
        <f t="shared" si="21"/>
        <v>0</v>
      </c>
      <c r="GF97" s="28">
        <f t="shared" si="21"/>
        <v>0</v>
      </c>
      <c r="GG97" s="28">
        <f t="shared" si="21"/>
        <v>0</v>
      </c>
      <c r="GH97" s="28">
        <f t="shared" si="21"/>
        <v>0</v>
      </c>
      <c r="GI97" s="28">
        <f t="shared" si="21"/>
        <v>0</v>
      </c>
      <c r="GJ97" s="28">
        <f t="shared" si="21"/>
        <v>0</v>
      </c>
      <c r="GK97" s="28">
        <f t="shared" si="21"/>
        <v>0</v>
      </c>
      <c r="GL97" s="28">
        <f t="shared" si="21"/>
        <v>0</v>
      </c>
      <c r="GM97" s="28">
        <f t="shared" si="21"/>
        <v>0</v>
      </c>
      <c r="GN97" s="28">
        <f t="shared" si="21"/>
        <v>0</v>
      </c>
      <c r="GO97" s="28">
        <f t="shared" si="21"/>
        <v>0</v>
      </c>
      <c r="GP97" s="28">
        <f t="shared" si="21"/>
        <v>0</v>
      </c>
      <c r="GQ97" s="28">
        <f t="shared" si="21"/>
        <v>0</v>
      </c>
      <c r="GR97" s="28">
        <f t="shared" si="21"/>
        <v>0</v>
      </c>
      <c r="GS97" s="28">
        <f t="shared" si="21"/>
        <v>0</v>
      </c>
      <c r="GT97" s="28">
        <f t="shared" si="21"/>
        <v>0</v>
      </c>
      <c r="GU97" s="28">
        <f t="shared" si="21"/>
        <v>0</v>
      </c>
      <c r="GV97" s="28">
        <f t="shared" si="21"/>
        <v>0</v>
      </c>
      <c r="GW97" s="28">
        <f t="shared" si="21"/>
        <v>0</v>
      </c>
      <c r="GX97" s="28">
        <f t="shared" si="21"/>
        <v>0</v>
      </c>
      <c r="GY97" s="28">
        <f t="shared" si="21"/>
        <v>0</v>
      </c>
      <c r="GZ97" s="28">
        <f t="shared" si="21"/>
        <v>0</v>
      </c>
      <c r="HA97" s="28">
        <f t="shared" si="21"/>
        <v>0</v>
      </c>
      <c r="HB97" s="28">
        <f t="shared" si="21"/>
        <v>0</v>
      </c>
      <c r="HC97" s="28">
        <f t="shared" si="21"/>
        <v>0</v>
      </c>
      <c r="HD97" s="28">
        <f t="shared" si="21"/>
        <v>0</v>
      </c>
      <c r="HE97" s="28">
        <f t="shared" si="21"/>
        <v>0</v>
      </c>
      <c r="HF97" s="28">
        <f t="shared" si="21"/>
        <v>0</v>
      </c>
      <c r="HG97" s="28">
        <f t="shared" si="21"/>
        <v>0</v>
      </c>
      <c r="HH97" s="28">
        <f t="shared" si="21"/>
        <v>0</v>
      </c>
      <c r="HI97" s="28">
        <f t="shared" si="21"/>
        <v>0</v>
      </c>
      <c r="HJ97" s="28">
        <f t="shared" si="21"/>
        <v>0</v>
      </c>
      <c r="HK97" s="28">
        <f t="shared" si="21"/>
        <v>0</v>
      </c>
      <c r="HL97" s="28">
        <f t="shared" si="21"/>
        <v>0</v>
      </c>
      <c r="HM97" s="28">
        <f t="shared" si="21"/>
        <v>0</v>
      </c>
      <c r="HN97" s="28">
        <f t="shared" si="21"/>
        <v>0</v>
      </c>
      <c r="HO97" s="28">
        <f t="shared" si="21"/>
        <v>0</v>
      </c>
      <c r="HP97" s="28">
        <f t="shared" si="21"/>
        <v>0</v>
      </c>
      <c r="HQ97" s="28">
        <f t="shared" si="21"/>
        <v>0</v>
      </c>
      <c r="HR97" s="28">
        <f t="shared" si="21"/>
        <v>0</v>
      </c>
      <c r="HS97" s="28">
        <f t="shared" si="21"/>
        <v>0</v>
      </c>
      <c r="HT97" s="28">
        <f t="shared" si="21"/>
        <v>0</v>
      </c>
      <c r="HU97" s="28">
        <f t="shared" si="21"/>
        <v>0</v>
      </c>
      <c r="HV97" s="28">
        <f t="shared" si="21"/>
        <v>0</v>
      </c>
      <c r="HW97" s="28">
        <f t="shared" si="21"/>
        <v>0</v>
      </c>
      <c r="HX97" s="28">
        <f t="shared" si="21"/>
        <v>0</v>
      </c>
      <c r="HY97" s="28">
        <f t="shared" si="21"/>
        <v>0</v>
      </c>
      <c r="HZ97" s="28">
        <f t="shared" si="21"/>
        <v>0</v>
      </c>
      <c r="IA97" s="28">
        <f t="shared" si="21"/>
        <v>0</v>
      </c>
      <c r="IB97" s="28">
        <f t="shared" si="21"/>
        <v>0</v>
      </c>
      <c r="IC97" s="28">
        <f t="shared" si="21"/>
        <v>0</v>
      </c>
      <c r="ID97" s="28">
        <f t="shared" si="21"/>
        <v>0</v>
      </c>
      <c r="IE97" s="28">
        <f t="shared" si="21"/>
        <v>0</v>
      </c>
      <c r="IF97" s="28">
        <f t="shared" si="21"/>
        <v>0</v>
      </c>
      <c r="IG97" s="28">
        <f t="shared" si="21"/>
        <v>0</v>
      </c>
      <c r="IH97" s="28">
        <f t="shared" si="21"/>
        <v>0</v>
      </c>
      <c r="II97" s="28">
        <f t="shared" si="21"/>
        <v>0</v>
      </c>
      <c r="IJ97" s="28">
        <f t="shared" si="21"/>
        <v>0</v>
      </c>
      <c r="IK97" s="28">
        <f t="shared" si="21"/>
        <v>0</v>
      </c>
      <c r="IL97" s="28">
        <f t="shared" si="21"/>
        <v>0</v>
      </c>
      <c r="IM97" s="28">
        <f t="shared" si="21"/>
        <v>0</v>
      </c>
      <c r="IN97" s="28">
        <f t="shared" si="21"/>
        <v>0</v>
      </c>
      <c r="IO97" s="28">
        <f t="shared" si="21"/>
        <v>0</v>
      </c>
      <c r="IP97" s="28">
        <f t="shared" si="21"/>
        <v>0</v>
      </c>
      <c r="IQ97" s="28">
        <f t="shared" si="21"/>
        <v>0</v>
      </c>
      <c r="IR97" s="28"/>
      <c r="IS97" s="28"/>
      <c r="IT97" s="28"/>
      <c r="IU97" s="28"/>
      <c r="IV97" s="28"/>
    </row>
    <row r="98" ht="11.25" customHeight="1">
      <c r="A98" s="27" t="s">
        <v>121</v>
      </c>
      <c r="B98" s="28">
        <f t="shared" ref="B98:D98" si="22">COUNTIF(B70,"=1")+COUNTIF(B80,"=1")+COUNTIF(B90,"=1")+COUNTIF(B89,"=2")+COUNTIF(B78,"=2")+COUNTIF(B67,"=2")+COUNTIF(B56,"=2")+COUNTIF(B45,"=2")+COUNTIF(B34,"=2")</f>
        <v>3</v>
      </c>
      <c r="C98" s="28">
        <f t="shared" si="22"/>
        <v>3</v>
      </c>
      <c r="D98" s="28">
        <f t="shared" si="22"/>
        <v>3</v>
      </c>
      <c r="E98" s="28" t="str">
        <f>COUNTIF(#REF!,"=1")+COUNTIF(#REF!,"=1")+COUNTIF(#REF!,"=1")+COUNTIF(#REF!,"=2")+COUNTIF(#REF!,"=2")+COUNTIF(#REF!,"=2")+COUNTIF(#REF!,"=2")+COUNTIF(#REF!,"=2")+COUNTIF(#REF!,"=2")</f>
        <v>#REF!</v>
      </c>
      <c r="F98" s="28">
        <f t="shared" ref="F98:AW98" si="23">COUNTIF(F70,"=1")+COUNTIF(F80,"=1")+COUNTIF(F90,"=1")+COUNTIF(F89,"=2")+COUNTIF(F78,"=2")+COUNTIF(F67,"=2")+COUNTIF(F56,"=2")+COUNTIF(F45,"=2")+COUNTIF(F34,"=2")</f>
        <v>3</v>
      </c>
      <c r="G98" s="28">
        <f t="shared" si="23"/>
        <v>0</v>
      </c>
      <c r="H98" s="28">
        <f t="shared" si="23"/>
        <v>0</v>
      </c>
      <c r="I98" s="28">
        <f t="shared" si="23"/>
        <v>0</v>
      </c>
      <c r="J98" s="28">
        <f t="shared" si="23"/>
        <v>0</v>
      </c>
      <c r="K98" s="28">
        <f t="shared" si="23"/>
        <v>0</v>
      </c>
      <c r="L98" s="28">
        <f t="shared" si="23"/>
        <v>0</v>
      </c>
      <c r="M98" s="28">
        <f t="shared" si="23"/>
        <v>0</v>
      </c>
      <c r="N98" s="28">
        <f t="shared" si="23"/>
        <v>0</v>
      </c>
      <c r="O98" s="28">
        <f t="shared" si="23"/>
        <v>0</v>
      </c>
      <c r="P98" s="28">
        <f t="shared" si="23"/>
        <v>0</v>
      </c>
      <c r="Q98" s="28">
        <f t="shared" si="23"/>
        <v>0</v>
      </c>
      <c r="R98" s="28">
        <f t="shared" si="23"/>
        <v>0</v>
      </c>
      <c r="S98" s="28">
        <f t="shared" si="23"/>
        <v>0</v>
      </c>
      <c r="T98" s="28">
        <f t="shared" si="23"/>
        <v>0</v>
      </c>
      <c r="U98" s="28">
        <f t="shared" si="23"/>
        <v>0</v>
      </c>
      <c r="V98" s="28">
        <f t="shared" si="23"/>
        <v>0</v>
      </c>
      <c r="W98" s="28">
        <f t="shared" si="23"/>
        <v>0</v>
      </c>
      <c r="X98" s="28">
        <f t="shared" si="23"/>
        <v>0</v>
      </c>
      <c r="Y98" s="28">
        <f t="shared" si="23"/>
        <v>0</v>
      </c>
      <c r="Z98" s="28">
        <f t="shared" si="23"/>
        <v>0</v>
      </c>
      <c r="AA98" s="28">
        <f t="shared" si="23"/>
        <v>0</v>
      </c>
      <c r="AB98" s="28">
        <f t="shared" si="23"/>
        <v>0</v>
      </c>
      <c r="AC98" s="28">
        <f t="shared" si="23"/>
        <v>0</v>
      </c>
      <c r="AD98" s="28">
        <f t="shared" si="23"/>
        <v>0</v>
      </c>
      <c r="AE98" s="28">
        <f t="shared" si="23"/>
        <v>0</v>
      </c>
      <c r="AF98" s="28">
        <f t="shared" si="23"/>
        <v>0</v>
      </c>
      <c r="AG98" s="28">
        <f t="shared" si="23"/>
        <v>0</v>
      </c>
      <c r="AH98" s="28">
        <f t="shared" si="23"/>
        <v>0</v>
      </c>
      <c r="AI98" s="28">
        <f t="shared" si="23"/>
        <v>0</v>
      </c>
      <c r="AJ98" s="28">
        <f t="shared" si="23"/>
        <v>0</v>
      </c>
      <c r="AK98" s="28">
        <f t="shared" si="23"/>
        <v>0</v>
      </c>
      <c r="AL98" s="28">
        <f t="shared" si="23"/>
        <v>0</v>
      </c>
      <c r="AM98" s="28">
        <f t="shared" si="23"/>
        <v>0</v>
      </c>
      <c r="AN98" s="28">
        <f t="shared" si="23"/>
        <v>0</v>
      </c>
      <c r="AO98" s="28">
        <f t="shared" si="23"/>
        <v>0</v>
      </c>
      <c r="AP98" s="28">
        <f t="shared" si="23"/>
        <v>0</v>
      </c>
      <c r="AQ98" s="28">
        <f t="shared" si="23"/>
        <v>0</v>
      </c>
      <c r="AR98" s="28">
        <f t="shared" si="23"/>
        <v>0</v>
      </c>
      <c r="AS98" s="28">
        <f t="shared" si="23"/>
        <v>0</v>
      </c>
      <c r="AT98" s="28">
        <f t="shared" si="23"/>
        <v>0</v>
      </c>
      <c r="AU98" s="28">
        <f t="shared" si="23"/>
        <v>0</v>
      </c>
      <c r="AV98" s="28">
        <f t="shared" si="23"/>
        <v>0</v>
      </c>
      <c r="AW98" s="28">
        <f t="shared" si="23"/>
        <v>0</v>
      </c>
      <c r="AX98" s="28">
        <f t="shared" ref="AX98:AY98" si="24">COUNTIF(AZ70,"=1")+COUNTIF(AZ80,"=1")+COUNTIF(AZ90,"=1")+COUNTIF(AZ89,"=2")+COUNTIF(AZ78,"=2")+COUNTIF(AZ67,"=2")+COUNTIF(AZ56,"=2")+COUNTIF(AZ45,"=2")+COUNTIF(AZ34,"=2")</f>
        <v>0</v>
      </c>
      <c r="AY98" s="28">
        <f t="shared" si="24"/>
        <v>0</v>
      </c>
      <c r="AZ98" s="28" t="str">
        <f>COUNTIF(#REF!,"=1")+COUNTIF(#REF!,"=1")+COUNTIF(#REF!,"=1")+COUNTIF(#REF!,"=2")+COUNTIF(#REF!,"=2")+COUNTIF(#REF!,"=2")+COUNTIF(#REF!,"=2")+COUNTIF(#REF!,"=2")+COUNTIF(#REF!,"=2")</f>
        <v>#REF!</v>
      </c>
      <c r="BA98" s="28">
        <f t="shared" ref="BA98:BT98" si="25">COUNTIF(BC70,"=1")+COUNTIF(BC80,"=1")+COUNTIF(BC90,"=1")+COUNTIF(BC89,"=2")+COUNTIF(BC78,"=2")+COUNTIF(BC67,"=2")+COUNTIF(BC56,"=2")+COUNTIF(BC45,"=2")+COUNTIF(BC34,"=2")</f>
        <v>0</v>
      </c>
      <c r="BB98" s="28">
        <f t="shared" si="25"/>
        <v>0</v>
      </c>
      <c r="BC98" s="28">
        <f t="shared" si="25"/>
        <v>0</v>
      </c>
      <c r="BD98" s="28">
        <f t="shared" si="25"/>
        <v>0</v>
      </c>
      <c r="BE98" s="28">
        <f t="shared" si="25"/>
        <v>0</v>
      </c>
      <c r="BF98" s="28">
        <f t="shared" si="25"/>
        <v>0</v>
      </c>
      <c r="BG98" s="28">
        <f t="shared" si="25"/>
        <v>0</v>
      </c>
      <c r="BH98" s="28">
        <f t="shared" si="25"/>
        <v>0</v>
      </c>
      <c r="BI98" s="28">
        <f t="shared" si="25"/>
        <v>0</v>
      </c>
      <c r="BJ98" s="28">
        <f t="shared" si="25"/>
        <v>0</v>
      </c>
      <c r="BK98" s="28">
        <f t="shared" si="25"/>
        <v>0</v>
      </c>
      <c r="BL98" s="28">
        <f t="shared" si="25"/>
        <v>0</v>
      </c>
      <c r="BM98" s="28">
        <f t="shared" si="25"/>
        <v>0</v>
      </c>
      <c r="BN98" s="28">
        <f t="shared" si="25"/>
        <v>0</v>
      </c>
      <c r="BO98" s="28">
        <f t="shared" si="25"/>
        <v>0</v>
      </c>
      <c r="BP98" s="28">
        <f t="shared" si="25"/>
        <v>0</v>
      </c>
      <c r="BQ98" s="28">
        <f t="shared" si="25"/>
        <v>0</v>
      </c>
      <c r="BR98" s="28">
        <f t="shared" si="25"/>
        <v>0</v>
      </c>
      <c r="BS98" s="28">
        <f t="shared" si="25"/>
        <v>0</v>
      </c>
      <c r="BT98" s="28">
        <f t="shared" si="25"/>
        <v>0</v>
      </c>
      <c r="BU98" s="28">
        <f>COUNTIF(BB70,"=1")+COUNTIF(BB80,"=1")+COUNTIF(BB90,"=1")+COUNTIF(BB89,"=2")+COUNTIF(BB78,"=2")+COUNTIF(BB67,"=2")+COUNTIF(BB56,"=2")+COUNTIF(BB45,"=2")+COUNTIF(BB34,"=2")</f>
        <v>0</v>
      </c>
      <c r="BV98" s="28">
        <f t="shared" ref="BV98:CP98" si="26">COUNTIF(BX70,"=1")+COUNTIF(BX80,"=1")+COUNTIF(BX90,"=1")+COUNTIF(BX89,"=2")+COUNTIF(BX78,"=2")+COUNTIF(BX67,"=2")+COUNTIF(BX56,"=2")+COUNTIF(BX45,"=2")+COUNTIF(BX34,"=2")</f>
        <v>0</v>
      </c>
      <c r="BW98" s="28">
        <f t="shared" si="26"/>
        <v>0</v>
      </c>
      <c r="BX98" s="28">
        <f t="shared" si="26"/>
        <v>0</v>
      </c>
      <c r="BY98" s="28">
        <f t="shared" si="26"/>
        <v>0</v>
      </c>
      <c r="BZ98" s="28">
        <f t="shared" si="26"/>
        <v>0</v>
      </c>
      <c r="CA98" s="28">
        <f t="shared" si="26"/>
        <v>0</v>
      </c>
      <c r="CB98" s="28">
        <f t="shared" si="26"/>
        <v>0</v>
      </c>
      <c r="CC98" s="28">
        <f t="shared" si="26"/>
        <v>0</v>
      </c>
      <c r="CD98" s="28">
        <f t="shared" si="26"/>
        <v>0</v>
      </c>
      <c r="CE98" s="28">
        <f t="shared" si="26"/>
        <v>0</v>
      </c>
      <c r="CF98" s="28">
        <f t="shared" si="26"/>
        <v>0</v>
      </c>
      <c r="CG98" s="28">
        <f t="shared" si="26"/>
        <v>0</v>
      </c>
      <c r="CH98" s="28">
        <f t="shared" si="26"/>
        <v>0</v>
      </c>
      <c r="CI98" s="28">
        <f t="shared" si="26"/>
        <v>0</v>
      </c>
      <c r="CJ98" s="28">
        <f t="shared" si="26"/>
        <v>0</v>
      </c>
      <c r="CK98" s="28">
        <f t="shared" si="26"/>
        <v>0</v>
      </c>
      <c r="CL98" s="28">
        <f t="shared" si="26"/>
        <v>0</v>
      </c>
      <c r="CM98" s="28">
        <f t="shared" si="26"/>
        <v>0</v>
      </c>
      <c r="CN98" s="28">
        <f t="shared" si="26"/>
        <v>0</v>
      </c>
      <c r="CO98" s="28">
        <f t="shared" si="26"/>
        <v>0</v>
      </c>
      <c r="CP98" s="28">
        <f t="shared" si="26"/>
        <v>0</v>
      </c>
      <c r="CQ98" s="28" t="str">
        <f t="shared" ref="CQ98:CR98" si="27">COUNTIF(#REF!,"=1")+COUNTIF(#REF!,"=1")+COUNTIF(#REF!,"=1")+COUNTIF(#REF!,"=2")+COUNTIF(#REF!,"=2")+COUNTIF(#REF!,"=2")+COUNTIF(#REF!,"=2")+COUNTIF(#REF!,"=2")+COUNTIF(#REF!,"=2")</f>
        <v>#REF!</v>
      </c>
      <c r="CR98" s="28" t="str">
        <f t="shared" si="27"/>
        <v>#REF!</v>
      </c>
      <c r="CS98" s="28">
        <f t="shared" ref="CS98:IQ98" si="28">COUNTIF(CS70,"=1")+COUNTIF(CS80,"=1")+COUNTIF(CS90,"=1")+COUNTIF(CS89,"=2")+COUNTIF(CS78,"=2")+COUNTIF(CS67,"=2")+COUNTIF(CS56,"=2")+COUNTIF(CS45,"=2")+COUNTIF(CS34,"=2")</f>
        <v>0</v>
      </c>
      <c r="CT98" s="28">
        <f t="shared" si="28"/>
        <v>0</v>
      </c>
      <c r="CU98" s="28">
        <f t="shared" si="28"/>
        <v>0</v>
      </c>
      <c r="CV98" s="28">
        <f t="shared" si="28"/>
        <v>0</v>
      </c>
      <c r="CW98" s="28">
        <f t="shared" si="28"/>
        <v>0</v>
      </c>
      <c r="CX98" s="28">
        <f t="shared" si="28"/>
        <v>0</v>
      </c>
      <c r="CY98" s="28">
        <f t="shared" si="28"/>
        <v>0</v>
      </c>
      <c r="CZ98" s="28">
        <f t="shared" si="28"/>
        <v>0</v>
      </c>
      <c r="DA98" s="28">
        <f t="shared" si="28"/>
        <v>0</v>
      </c>
      <c r="DB98" s="28">
        <f t="shared" si="28"/>
        <v>0</v>
      </c>
      <c r="DC98" s="28">
        <f t="shared" si="28"/>
        <v>0</v>
      </c>
      <c r="DD98" s="28">
        <f t="shared" si="28"/>
        <v>0</v>
      </c>
      <c r="DE98" s="28">
        <f t="shared" si="28"/>
        <v>0</v>
      </c>
      <c r="DF98" s="28">
        <f t="shared" si="28"/>
        <v>0</v>
      </c>
      <c r="DG98" s="28">
        <f t="shared" si="28"/>
        <v>0</v>
      </c>
      <c r="DH98" s="28">
        <f t="shared" si="28"/>
        <v>0</v>
      </c>
      <c r="DI98" s="28">
        <f t="shared" si="28"/>
        <v>0</v>
      </c>
      <c r="DJ98" s="28">
        <f t="shared" si="28"/>
        <v>0</v>
      </c>
      <c r="DK98" s="28">
        <f t="shared" si="28"/>
        <v>0</v>
      </c>
      <c r="DL98" s="28">
        <f t="shared" si="28"/>
        <v>0</v>
      </c>
      <c r="DM98" s="28">
        <f t="shared" si="28"/>
        <v>0</v>
      </c>
      <c r="DN98" s="28">
        <f t="shared" si="28"/>
        <v>0</v>
      </c>
      <c r="DO98" s="28">
        <f t="shared" si="28"/>
        <v>0</v>
      </c>
      <c r="DP98" s="28">
        <f t="shared" si="28"/>
        <v>0</v>
      </c>
      <c r="DQ98" s="28">
        <f t="shared" si="28"/>
        <v>0</v>
      </c>
      <c r="DR98" s="28">
        <f t="shared" si="28"/>
        <v>0</v>
      </c>
      <c r="DS98" s="28">
        <f t="shared" si="28"/>
        <v>0</v>
      </c>
      <c r="DT98" s="28">
        <f t="shared" si="28"/>
        <v>0</v>
      </c>
      <c r="DU98" s="28">
        <f t="shared" si="28"/>
        <v>0</v>
      </c>
      <c r="DV98" s="28">
        <f t="shared" si="28"/>
        <v>0</v>
      </c>
      <c r="DW98" s="28">
        <f t="shared" si="28"/>
        <v>0</v>
      </c>
      <c r="DX98" s="28">
        <f t="shared" si="28"/>
        <v>0</v>
      </c>
      <c r="DY98" s="28">
        <f t="shared" si="28"/>
        <v>0</v>
      </c>
      <c r="DZ98" s="28">
        <f t="shared" si="28"/>
        <v>0</v>
      </c>
      <c r="EA98" s="28">
        <f t="shared" si="28"/>
        <v>0</v>
      </c>
      <c r="EB98" s="28">
        <f t="shared" si="28"/>
        <v>0</v>
      </c>
      <c r="EC98" s="28">
        <f t="shared" si="28"/>
        <v>0</v>
      </c>
      <c r="ED98" s="28">
        <f t="shared" si="28"/>
        <v>0</v>
      </c>
      <c r="EE98" s="28">
        <f t="shared" si="28"/>
        <v>0</v>
      </c>
      <c r="EF98" s="28">
        <f t="shared" si="28"/>
        <v>0</v>
      </c>
      <c r="EG98" s="28">
        <f t="shared" si="28"/>
        <v>0</v>
      </c>
      <c r="EH98" s="28">
        <f t="shared" si="28"/>
        <v>0</v>
      </c>
      <c r="EI98" s="28">
        <f t="shared" si="28"/>
        <v>0</v>
      </c>
      <c r="EJ98" s="28">
        <f t="shared" si="28"/>
        <v>0</v>
      </c>
      <c r="EK98" s="28">
        <f t="shared" si="28"/>
        <v>0</v>
      </c>
      <c r="EL98" s="28">
        <f t="shared" si="28"/>
        <v>0</v>
      </c>
      <c r="EM98" s="28">
        <f t="shared" si="28"/>
        <v>0</v>
      </c>
      <c r="EN98" s="28">
        <f t="shared" si="28"/>
        <v>0</v>
      </c>
      <c r="EO98" s="28">
        <f t="shared" si="28"/>
        <v>0</v>
      </c>
      <c r="EP98" s="28">
        <f t="shared" si="28"/>
        <v>0</v>
      </c>
      <c r="EQ98" s="28">
        <f t="shared" si="28"/>
        <v>0</v>
      </c>
      <c r="ER98" s="28">
        <f t="shared" si="28"/>
        <v>0</v>
      </c>
      <c r="ES98" s="28">
        <f t="shared" si="28"/>
        <v>0</v>
      </c>
      <c r="ET98" s="28">
        <f t="shared" si="28"/>
        <v>0</v>
      </c>
      <c r="EU98" s="28">
        <f t="shared" si="28"/>
        <v>0</v>
      </c>
      <c r="EV98" s="28">
        <f t="shared" si="28"/>
        <v>0</v>
      </c>
      <c r="EW98" s="28">
        <f t="shared" si="28"/>
        <v>0</v>
      </c>
      <c r="EX98" s="28">
        <f t="shared" si="28"/>
        <v>0</v>
      </c>
      <c r="EY98" s="28">
        <f t="shared" si="28"/>
        <v>0</v>
      </c>
      <c r="EZ98" s="28">
        <f t="shared" si="28"/>
        <v>0</v>
      </c>
      <c r="FA98" s="28">
        <f t="shared" si="28"/>
        <v>0</v>
      </c>
      <c r="FB98" s="28">
        <f t="shared" si="28"/>
        <v>0</v>
      </c>
      <c r="FC98" s="28">
        <f t="shared" si="28"/>
        <v>0</v>
      </c>
      <c r="FD98" s="28">
        <f t="shared" si="28"/>
        <v>0</v>
      </c>
      <c r="FE98" s="28">
        <f t="shared" si="28"/>
        <v>0</v>
      </c>
      <c r="FF98" s="28">
        <f t="shared" si="28"/>
        <v>0</v>
      </c>
      <c r="FG98" s="28">
        <f t="shared" si="28"/>
        <v>0</v>
      </c>
      <c r="FH98" s="28">
        <f t="shared" si="28"/>
        <v>0</v>
      </c>
      <c r="FI98" s="28">
        <f t="shared" si="28"/>
        <v>0</v>
      </c>
      <c r="FJ98" s="28">
        <f t="shared" si="28"/>
        <v>0</v>
      </c>
      <c r="FK98" s="28">
        <f t="shared" si="28"/>
        <v>0</v>
      </c>
      <c r="FL98" s="28">
        <f t="shared" si="28"/>
        <v>0</v>
      </c>
      <c r="FM98" s="28">
        <f t="shared" si="28"/>
        <v>0</v>
      </c>
      <c r="FN98" s="28">
        <f t="shared" si="28"/>
        <v>0</v>
      </c>
      <c r="FO98" s="28">
        <f t="shared" si="28"/>
        <v>0</v>
      </c>
      <c r="FP98" s="28">
        <f t="shared" si="28"/>
        <v>0</v>
      </c>
      <c r="FQ98" s="28">
        <f t="shared" si="28"/>
        <v>0</v>
      </c>
      <c r="FR98" s="28">
        <f t="shared" si="28"/>
        <v>0</v>
      </c>
      <c r="FS98" s="28">
        <f t="shared" si="28"/>
        <v>0</v>
      </c>
      <c r="FT98" s="28">
        <f t="shared" si="28"/>
        <v>0</v>
      </c>
      <c r="FU98" s="28">
        <f t="shared" si="28"/>
        <v>0</v>
      </c>
      <c r="FV98" s="28">
        <f t="shared" si="28"/>
        <v>0</v>
      </c>
      <c r="FW98" s="28">
        <f t="shared" si="28"/>
        <v>0</v>
      </c>
      <c r="FX98" s="28">
        <f t="shared" si="28"/>
        <v>0</v>
      </c>
      <c r="FY98" s="28">
        <f t="shared" si="28"/>
        <v>0</v>
      </c>
      <c r="FZ98" s="28">
        <f t="shared" si="28"/>
        <v>0</v>
      </c>
      <c r="GA98" s="28">
        <f t="shared" si="28"/>
        <v>0</v>
      </c>
      <c r="GB98" s="28">
        <f t="shared" si="28"/>
        <v>0</v>
      </c>
      <c r="GC98" s="28">
        <f t="shared" si="28"/>
        <v>0</v>
      </c>
      <c r="GD98" s="28">
        <f t="shared" si="28"/>
        <v>0</v>
      </c>
      <c r="GE98" s="28">
        <f t="shared" si="28"/>
        <v>0</v>
      </c>
      <c r="GF98" s="28">
        <f t="shared" si="28"/>
        <v>0</v>
      </c>
      <c r="GG98" s="28">
        <f t="shared" si="28"/>
        <v>0</v>
      </c>
      <c r="GH98" s="28">
        <f t="shared" si="28"/>
        <v>0</v>
      </c>
      <c r="GI98" s="28">
        <f t="shared" si="28"/>
        <v>0</v>
      </c>
      <c r="GJ98" s="28">
        <f t="shared" si="28"/>
        <v>0</v>
      </c>
      <c r="GK98" s="28">
        <f t="shared" si="28"/>
        <v>0</v>
      </c>
      <c r="GL98" s="28">
        <f t="shared" si="28"/>
        <v>0</v>
      </c>
      <c r="GM98" s="28">
        <f t="shared" si="28"/>
        <v>0</v>
      </c>
      <c r="GN98" s="28">
        <f t="shared" si="28"/>
        <v>0</v>
      </c>
      <c r="GO98" s="28">
        <f t="shared" si="28"/>
        <v>0</v>
      </c>
      <c r="GP98" s="28">
        <f t="shared" si="28"/>
        <v>0</v>
      </c>
      <c r="GQ98" s="28">
        <f t="shared" si="28"/>
        <v>0</v>
      </c>
      <c r="GR98" s="28">
        <f t="shared" si="28"/>
        <v>0</v>
      </c>
      <c r="GS98" s="28">
        <f t="shared" si="28"/>
        <v>0</v>
      </c>
      <c r="GT98" s="28">
        <f t="shared" si="28"/>
        <v>0</v>
      </c>
      <c r="GU98" s="28">
        <f t="shared" si="28"/>
        <v>0</v>
      </c>
      <c r="GV98" s="28">
        <f t="shared" si="28"/>
        <v>0</v>
      </c>
      <c r="GW98" s="28">
        <f t="shared" si="28"/>
        <v>0</v>
      </c>
      <c r="GX98" s="28">
        <f t="shared" si="28"/>
        <v>0</v>
      </c>
      <c r="GY98" s="28">
        <f t="shared" si="28"/>
        <v>0</v>
      </c>
      <c r="GZ98" s="28">
        <f t="shared" si="28"/>
        <v>0</v>
      </c>
      <c r="HA98" s="28">
        <f t="shared" si="28"/>
        <v>0</v>
      </c>
      <c r="HB98" s="28">
        <f t="shared" si="28"/>
        <v>0</v>
      </c>
      <c r="HC98" s="28">
        <f t="shared" si="28"/>
        <v>0</v>
      </c>
      <c r="HD98" s="28">
        <f t="shared" si="28"/>
        <v>0</v>
      </c>
      <c r="HE98" s="28">
        <f t="shared" si="28"/>
        <v>0</v>
      </c>
      <c r="HF98" s="28">
        <f t="shared" si="28"/>
        <v>0</v>
      </c>
      <c r="HG98" s="28">
        <f t="shared" si="28"/>
        <v>0</v>
      </c>
      <c r="HH98" s="28">
        <f t="shared" si="28"/>
        <v>0</v>
      </c>
      <c r="HI98" s="28">
        <f t="shared" si="28"/>
        <v>0</v>
      </c>
      <c r="HJ98" s="28">
        <f t="shared" si="28"/>
        <v>0</v>
      </c>
      <c r="HK98" s="28">
        <f t="shared" si="28"/>
        <v>0</v>
      </c>
      <c r="HL98" s="28">
        <f t="shared" si="28"/>
        <v>0</v>
      </c>
      <c r="HM98" s="28">
        <f t="shared" si="28"/>
        <v>0</v>
      </c>
      <c r="HN98" s="28">
        <f t="shared" si="28"/>
        <v>0</v>
      </c>
      <c r="HO98" s="28">
        <f t="shared" si="28"/>
        <v>0</v>
      </c>
      <c r="HP98" s="28">
        <f t="shared" si="28"/>
        <v>0</v>
      </c>
      <c r="HQ98" s="28">
        <f t="shared" si="28"/>
        <v>0</v>
      </c>
      <c r="HR98" s="28">
        <f t="shared" si="28"/>
        <v>0</v>
      </c>
      <c r="HS98" s="28">
        <f t="shared" si="28"/>
        <v>0</v>
      </c>
      <c r="HT98" s="28">
        <f t="shared" si="28"/>
        <v>0</v>
      </c>
      <c r="HU98" s="28">
        <f t="shared" si="28"/>
        <v>0</v>
      </c>
      <c r="HV98" s="28">
        <f t="shared" si="28"/>
        <v>0</v>
      </c>
      <c r="HW98" s="28">
        <f t="shared" si="28"/>
        <v>0</v>
      </c>
      <c r="HX98" s="28">
        <f t="shared" si="28"/>
        <v>0</v>
      </c>
      <c r="HY98" s="28">
        <f t="shared" si="28"/>
        <v>0</v>
      </c>
      <c r="HZ98" s="28">
        <f t="shared" si="28"/>
        <v>0</v>
      </c>
      <c r="IA98" s="28">
        <f t="shared" si="28"/>
        <v>0</v>
      </c>
      <c r="IB98" s="28">
        <f t="shared" si="28"/>
        <v>0</v>
      </c>
      <c r="IC98" s="28">
        <f t="shared" si="28"/>
        <v>0</v>
      </c>
      <c r="ID98" s="28">
        <f t="shared" si="28"/>
        <v>0</v>
      </c>
      <c r="IE98" s="28">
        <f t="shared" si="28"/>
        <v>0</v>
      </c>
      <c r="IF98" s="28">
        <f t="shared" si="28"/>
        <v>0</v>
      </c>
      <c r="IG98" s="28">
        <f t="shared" si="28"/>
        <v>0</v>
      </c>
      <c r="IH98" s="28">
        <f t="shared" si="28"/>
        <v>0</v>
      </c>
      <c r="II98" s="28">
        <f t="shared" si="28"/>
        <v>0</v>
      </c>
      <c r="IJ98" s="28">
        <f t="shared" si="28"/>
        <v>0</v>
      </c>
      <c r="IK98" s="28">
        <f t="shared" si="28"/>
        <v>0</v>
      </c>
      <c r="IL98" s="28">
        <f t="shared" si="28"/>
        <v>0</v>
      </c>
      <c r="IM98" s="28">
        <f t="shared" si="28"/>
        <v>0</v>
      </c>
      <c r="IN98" s="28">
        <f t="shared" si="28"/>
        <v>0</v>
      </c>
      <c r="IO98" s="28">
        <f t="shared" si="28"/>
        <v>0</v>
      </c>
      <c r="IP98" s="28">
        <f t="shared" si="28"/>
        <v>0</v>
      </c>
      <c r="IQ98" s="28">
        <f t="shared" si="28"/>
        <v>0</v>
      </c>
      <c r="IR98" s="28"/>
      <c r="IS98" s="28"/>
      <c r="IT98" s="28"/>
      <c r="IU98" s="28"/>
      <c r="IV98" s="28"/>
    </row>
    <row r="99" ht="11.25" customHeight="1">
      <c r="A99" s="27" t="s">
        <v>122</v>
      </c>
      <c r="B99" s="28">
        <f t="shared" ref="B99:D99" si="29">COUNTIF(B59,"=1")+COUNTIF(B69,"=1")+COUNTIF(B79,"=1")+COUNTIF(B89,"=1")+COUNTIF(B88,"=2")+COUNTIF(B77,"=2")+COUNTIF(B66,"=2")++COUNTIF(B55,"=2")+COUNTIF(B44,"=2")</f>
        <v>4</v>
      </c>
      <c r="C99" s="28">
        <f t="shared" si="29"/>
        <v>4</v>
      </c>
      <c r="D99" s="28">
        <f t="shared" si="29"/>
        <v>4</v>
      </c>
      <c r="E99" s="28" t="str">
        <f>COUNTIF(#REF!,"=1")+COUNTIF(#REF!,"=1")+COUNTIF(#REF!,"=1")+COUNTIF(#REF!,"=1")+COUNTIF(#REF!,"=2")+COUNTIF(#REF!,"=2")+COUNTIF(#REF!,"=2")++COUNTIF(#REF!,"=2")+COUNTIF(#REF!,"=2")</f>
        <v>#REF!</v>
      </c>
      <c r="F99" s="28">
        <f t="shared" ref="F99:AW99" si="30">COUNTIF(F59,"=1")+COUNTIF(F69,"=1")+COUNTIF(F79,"=1")+COUNTIF(F89,"=1")+COUNTIF(F88,"=2")+COUNTIF(F77,"=2")+COUNTIF(F66,"=2")++COUNTIF(F55,"=2")+COUNTIF(F44,"=2")</f>
        <v>4</v>
      </c>
      <c r="G99" s="28">
        <f t="shared" si="30"/>
        <v>0</v>
      </c>
      <c r="H99" s="28">
        <f t="shared" si="30"/>
        <v>0</v>
      </c>
      <c r="I99" s="28">
        <f t="shared" si="30"/>
        <v>0</v>
      </c>
      <c r="J99" s="28">
        <f t="shared" si="30"/>
        <v>0</v>
      </c>
      <c r="K99" s="28">
        <f t="shared" si="30"/>
        <v>0</v>
      </c>
      <c r="L99" s="28">
        <f t="shared" si="30"/>
        <v>0</v>
      </c>
      <c r="M99" s="28">
        <f t="shared" si="30"/>
        <v>0</v>
      </c>
      <c r="N99" s="28">
        <f t="shared" si="30"/>
        <v>0</v>
      </c>
      <c r="O99" s="28">
        <f t="shared" si="30"/>
        <v>0</v>
      </c>
      <c r="P99" s="28">
        <f t="shared" si="30"/>
        <v>0</v>
      </c>
      <c r="Q99" s="28">
        <f t="shared" si="30"/>
        <v>0</v>
      </c>
      <c r="R99" s="28">
        <f t="shared" si="30"/>
        <v>0</v>
      </c>
      <c r="S99" s="28">
        <f t="shared" si="30"/>
        <v>0</v>
      </c>
      <c r="T99" s="28">
        <f t="shared" si="30"/>
        <v>0</v>
      </c>
      <c r="U99" s="28">
        <f t="shared" si="30"/>
        <v>0</v>
      </c>
      <c r="V99" s="28">
        <f t="shared" si="30"/>
        <v>0</v>
      </c>
      <c r="W99" s="28">
        <f t="shared" si="30"/>
        <v>0</v>
      </c>
      <c r="X99" s="28">
        <f t="shared" si="30"/>
        <v>0</v>
      </c>
      <c r="Y99" s="28">
        <f t="shared" si="30"/>
        <v>0</v>
      </c>
      <c r="Z99" s="28">
        <f t="shared" si="30"/>
        <v>0</v>
      </c>
      <c r="AA99" s="28">
        <f t="shared" si="30"/>
        <v>0</v>
      </c>
      <c r="AB99" s="28">
        <f t="shared" si="30"/>
        <v>0</v>
      </c>
      <c r="AC99" s="28">
        <f t="shared" si="30"/>
        <v>0</v>
      </c>
      <c r="AD99" s="28">
        <f t="shared" si="30"/>
        <v>0</v>
      </c>
      <c r="AE99" s="28">
        <f t="shared" si="30"/>
        <v>0</v>
      </c>
      <c r="AF99" s="28">
        <f t="shared" si="30"/>
        <v>0</v>
      </c>
      <c r="AG99" s="28">
        <f t="shared" si="30"/>
        <v>0</v>
      </c>
      <c r="AH99" s="28">
        <f t="shared" si="30"/>
        <v>0</v>
      </c>
      <c r="AI99" s="28">
        <f t="shared" si="30"/>
        <v>0</v>
      </c>
      <c r="AJ99" s="28">
        <f t="shared" si="30"/>
        <v>0</v>
      </c>
      <c r="AK99" s="28">
        <f t="shared" si="30"/>
        <v>0</v>
      </c>
      <c r="AL99" s="28">
        <f t="shared" si="30"/>
        <v>0</v>
      </c>
      <c r="AM99" s="28">
        <f t="shared" si="30"/>
        <v>0</v>
      </c>
      <c r="AN99" s="28">
        <f t="shared" si="30"/>
        <v>0</v>
      </c>
      <c r="AO99" s="28">
        <f t="shared" si="30"/>
        <v>0</v>
      </c>
      <c r="AP99" s="28">
        <f t="shared" si="30"/>
        <v>0</v>
      </c>
      <c r="AQ99" s="28">
        <f t="shared" si="30"/>
        <v>0</v>
      </c>
      <c r="AR99" s="28">
        <f t="shared" si="30"/>
        <v>0</v>
      </c>
      <c r="AS99" s="28">
        <f t="shared" si="30"/>
        <v>0</v>
      </c>
      <c r="AT99" s="28">
        <f t="shared" si="30"/>
        <v>0</v>
      </c>
      <c r="AU99" s="28">
        <f t="shared" si="30"/>
        <v>0</v>
      </c>
      <c r="AV99" s="28">
        <f t="shared" si="30"/>
        <v>0</v>
      </c>
      <c r="AW99" s="28">
        <f t="shared" si="30"/>
        <v>0</v>
      </c>
      <c r="AX99" s="28">
        <f t="shared" ref="AX99:AY99" si="31">COUNTIF(AZ59,"=1")+COUNTIF(AZ69,"=1")+COUNTIF(AZ79,"=1")+COUNTIF(AZ89,"=1")+COUNTIF(AZ88,"=2")+COUNTIF(AZ77,"=2")+COUNTIF(AZ66,"=2")++COUNTIF(AZ55,"=2")+COUNTIF(AZ44,"=2")</f>
        <v>0</v>
      </c>
      <c r="AY99" s="28">
        <f t="shared" si="31"/>
        <v>0</v>
      </c>
      <c r="AZ99" s="28" t="str">
        <f>COUNTIF(#REF!,"=1")+COUNTIF(#REF!,"=1")+COUNTIF(#REF!,"=1")+COUNTIF(#REF!,"=1")+COUNTIF(#REF!,"=2")+COUNTIF(#REF!,"=2")+COUNTIF(#REF!,"=2")++COUNTIF(#REF!,"=2")+COUNTIF(#REF!,"=2")</f>
        <v>#REF!</v>
      </c>
      <c r="BA99" s="28">
        <f t="shared" ref="BA99:BT99" si="32">COUNTIF(BC59,"=1")+COUNTIF(BC69,"=1")+COUNTIF(BC79,"=1")+COUNTIF(BC89,"=1")+COUNTIF(BC88,"=2")+COUNTIF(BC77,"=2")+COUNTIF(BC66,"=2")++COUNTIF(BC55,"=2")+COUNTIF(BC44,"=2")</f>
        <v>0</v>
      </c>
      <c r="BB99" s="28">
        <f t="shared" si="32"/>
        <v>0</v>
      </c>
      <c r="BC99" s="28">
        <f t="shared" si="32"/>
        <v>0</v>
      </c>
      <c r="BD99" s="28">
        <f t="shared" si="32"/>
        <v>0</v>
      </c>
      <c r="BE99" s="28">
        <f t="shared" si="32"/>
        <v>0</v>
      </c>
      <c r="BF99" s="28">
        <f t="shared" si="32"/>
        <v>0</v>
      </c>
      <c r="BG99" s="28">
        <f t="shared" si="32"/>
        <v>0</v>
      </c>
      <c r="BH99" s="28">
        <f t="shared" si="32"/>
        <v>0</v>
      </c>
      <c r="BI99" s="28">
        <f t="shared" si="32"/>
        <v>0</v>
      </c>
      <c r="BJ99" s="28">
        <f t="shared" si="32"/>
        <v>0</v>
      </c>
      <c r="BK99" s="28">
        <f t="shared" si="32"/>
        <v>0</v>
      </c>
      <c r="BL99" s="28">
        <f t="shared" si="32"/>
        <v>0</v>
      </c>
      <c r="BM99" s="28">
        <f t="shared" si="32"/>
        <v>0</v>
      </c>
      <c r="BN99" s="28">
        <f t="shared" si="32"/>
        <v>0</v>
      </c>
      <c r="BO99" s="28">
        <f t="shared" si="32"/>
        <v>0</v>
      </c>
      <c r="BP99" s="28">
        <f t="shared" si="32"/>
        <v>0</v>
      </c>
      <c r="BQ99" s="28">
        <f t="shared" si="32"/>
        <v>0</v>
      </c>
      <c r="BR99" s="28">
        <f t="shared" si="32"/>
        <v>0</v>
      </c>
      <c r="BS99" s="28">
        <f t="shared" si="32"/>
        <v>0</v>
      </c>
      <c r="BT99" s="28">
        <f t="shared" si="32"/>
        <v>0</v>
      </c>
      <c r="BU99" s="28">
        <f>COUNTIF(BB59,"=1")+COUNTIF(BB69,"=1")+COUNTIF(BB79,"=1")+COUNTIF(BB89,"=1")+COUNTIF(BB88,"=2")+COUNTIF(BB77,"=2")+COUNTIF(BB66,"=2")++COUNTIF(BB55,"=2")+COUNTIF(BB44,"=2")</f>
        <v>0</v>
      </c>
      <c r="BV99" s="28">
        <f t="shared" ref="BV99:CP99" si="33">COUNTIF(BX59,"=1")+COUNTIF(BX69,"=1")+COUNTIF(BX79,"=1")+COUNTIF(BX89,"=1")+COUNTIF(BX88,"=2")+COUNTIF(BX77,"=2")+COUNTIF(BX66,"=2")++COUNTIF(BX55,"=2")+COUNTIF(BX44,"=2")</f>
        <v>0</v>
      </c>
      <c r="BW99" s="28">
        <f t="shared" si="33"/>
        <v>0</v>
      </c>
      <c r="BX99" s="28">
        <f t="shared" si="33"/>
        <v>0</v>
      </c>
      <c r="BY99" s="28">
        <f t="shared" si="33"/>
        <v>0</v>
      </c>
      <c r="BZ99" s="28">
        <f t="shared" si="33"/>
        <v>0</v>
      </c>
      <c r="CA99" s="28">
        <f t="shared" si="33"/>
        <v>0</v>
      </c>
      <c r="CB99" s="28">
        <f t="shared" si="33"/>
        <v>0</v>
      </c>
      <c r="CC99" s="28">
        <f t="shared" si="33"/>
        <v>0</v>
      </c>
      <c r="CD99" s="28">
        <f t="shared" si="33"/>
        <v>0</v>
      </c>
      <c r="CE99" s="28">
        <f t="shared" si="33"/>
        <v>0</v>
      </c>
      <c r="CF99" s="28">
        <f t="shared" si="33"/>
        <v>0</v>
      </c>
      <c r="CG99" s="28">
        <f t="shared" si="33"/>
        <v>0</v>
      </c>
      <c r="CH99" s="28">
        <f t="shared" si="33"/>
        <v>0</v>
      </c>
      <c r="CI99" s="28">
        <f t="shared" si="33"/>
        <v>0</v>
      </c>
      <c r="CJ99" s="28">
        <f t="shared" si="33"/>
        <v>0</v>
      </c>
      <c r="CK99" s="28">
        <f t="shared" si="33"/>
        <v>0</v>
      </c>
      <c r="CL99" s="28">
        <f t="shared" si="33"/>
        <v>0</v>
      </c>
      <c r="CM99" s="28">
        <f t="shared" si="33"/>
        <v>0</v>
      </c>
      <c r="CN99" s="28">
        <f t="shared" si="33"/>
        <v>0</v>
      </c>
      <c r="CO99" s="28">
        <f t="shared" si="33"/>
        <v>0</v>
      </c>
      <c r="CP99" s="28">
        <f t="shared" si="33"/>
        <v>0</v>
      </c>
      <c r="CQ99" s="28" t="str">
        <f t="shared" ref="CQ99:CR99" si="34">COUNTIF(#REF!,"=1")+COUNTIF(#REF!,"=1")+COUNTIF(#REF!,"=1")+COUNTIF(#REF!,"=1")+COUNTIF(#REF!,"=2")+COUNTIF(#REF!,"=2")+COUNTIF(#REF!,"=2")++COUNTIF(#REF!,"=2")+COUNTIF(#REF!,"=2")</f>
        <v>#REF!</v>
      </c>
      <c r="CR99" s="28" t="str">
        <f t="shared" si="34"/>
        <v>#REF!</v>
      </c>
      <c r="CS99" s="28">
        <f t="shared" ref="CS99:IQ99" si="35">COUNTIF(CS59,"=1")+COUNTIF(CS69,"=1")+COUNTIF(CS79,"=1")+COUNTIF(CS89,"=1")+COUNTIF(CS88,"=2")+COUNTIF(CS77,"=2")+COUNTIF(CS66,"=2")++COUNTIF(CS55,"=2")+COUNTIF(CS44,"=2")</f>
        <v>0</v>
      </c>
      <c r="CT99" s="28">
        <f t="shared" si="35"/>
        <v>0</v>
      </c>
      <c r="CU99" s="28">
        <f t="shared" si="35"/>
        <v>0</v>
      </c>
      <c r="CV99" s="28">
        <f t="shared" si="35"/>
        <v>0</v>
      </c>
      <c r="CW99" s="28">
        <f t="shared" si="35"/>
        <v>0</v>
      </c>
      <c r="CX99" s="28">
        <f t="shared" si="35"/>
        <v>0</v>
      </c>
      <c r="CY99" s="28">
        <f t="shared" si="35"/>
        <v>0</v>
      </c>
      <c r="CZ99" s="28">
        <f t="shared" si="35"/>
        <v>0</v>
      </c>
      <c r="DA99" s="28">
        <f t="shared" si="35"/>
        <v>0</v>
      </c>
      <c r="DB99" s="28">
        <f t="shared" si="35"/>
        <v>0</v>
      </c>
      <c r="DC99" s="28">
        <f t="shared" si="35"/>
        <v>0</v>
      </c>
      <c r="DD99" s="28">
        <f t="shared" si="35"/>
        <v>0</v>
      </c>
      <c r="DE99" s="28">
        <f t="shared" si="35"/>
        <v>0</v>
      </c>
      <c r="DF99" s="28">
        <f t="shared" si="35"/>
        <v>0</v>
      </c>
      <c r="DG99" s="28">
        <f t="shared" si="35"/>
        <v>0</v>
      </c>
      <c r="DH99" s="28">
        <f t="shared" si="35"/>
        <v>0</v>
      </c>
      <c r="DI99" s="28">
        <f t="shared" si="35"/>
        <v>0</v>
      </c>
      <c r="DJ99" s="28">
        <f t="shared" si="35"/>
        <v>0</v>
      </c>
      <c r="DK99" s="28">
        <f t="shared" si="35"/>
        <v>0</v>
      </c>
      <c r="DL99" s="28">
        <f t="shared" si="35"/>
        <v>0</v>
      </c>
      <c r="DM99" s="28">
        <f t="shared" si="35"/>
        <v>0</v>
      </c>
      <c r="DN99" s="28">
        <f t="shared" si="35"/>
        <v>0</v>
      </c>
      <c r="DO99" s="28">
        <f t="shared" si="35"/>
        <v>0</v>
      </c>
      <c r="DP99" s="28">
        <f t="shared" si="35"/>
        <v>0</v>
      </c>
      <c r="DQ99" s="28">
        <f t="shared" si="35"/>
        <v>0</v>
      </c>
      <c r="DR99" s="28">
        <f t="shared" si="35"/>
        <v>0</v>
      </c>
      <c r="DS99" s="28">
        <f t="shared" si="35"/>
        <v>0</v>
      </c>
      <c r="DT99" s="28">
        <f t="shared" si="35"/>
        <v>0</v>
      </c>
      <c r="DU99" s="28">
        <f t="shared" si="35"/>
        <v>0</v>
      </c>
      <c r="DV99" s="28">
        <f t="shared" si="35"/>
        <v>0</v>
      </c>
      <c r="DW99" s="28">
        <f t="shared" si="35"/>
        <v>0</v>
      </c>
      <c r="DX99" s="28">
        <f t="shared" si="35"/>
        <v>0</v>
      </c>
      <c r="DY99" s="28">
        <f t="shared" si="35"/>
        <v>0</v>
      </c>
      <c r="DZ99" s="28">
        <f t="shared" si="35"/>
        <v>0</v>
      </c>
      <c r="EA99" s="28">
        <f t="shared" si="35"/>
        <v>0</v>
      </c>
      <c r="EB99" s="28">
        <f t="shared" si="35"/>
        <v>0</v>
      </c>
      <c r="EC99" s="28">
        <f t="shared" si="35"/>
        <v>0</v>
      </c>
      <c r="ED99" s="28">
        <f t="shared" si="35"/>
        <v>0</v>
      </c>
      <c r="EE99" s="28">
        <f t="shared" si="35"/>
        <v>0</v>
      </c>
      <c r="EF99" s="28">
        <f t="shared" si="35"/>
        <v>0</v>
      </c>
      <c r="EG99" s="28">
        <f t="shared" si="35"/>
        <v>0</v>
      </c>
      <c r="EH99" s="28">
        <f t="shared" si="35"/>
        <v>0</v>
      </c>
      <c r="EI99" s="28">
        <f t="shared" si="35"/>
        <v>0</v>
      </c>
      <c r="EJ99" s="28">
        <f t="shared" si="35"/>
        <v>0</v>
      </c>
      <c r="EK99" s="28">
        <f t="shared" si="35"/>
        <v>0</v>
      </c>
      <c r="EL99" s="28">
        <f t="shared" si="35"/>
        <v>0</v>
      </c>
      <c r="EM99" s="28">
        <f t="shared" si="35"/>
        <v>0</v>
      </c>
      <c r="EN99" s="28">
        <f t="shared" si="35"/>
        <v>0</v>
      </c>
      <c r="EO99" s="28">
        <f t="shared" si="35"/>
        <v>0</v>
      </c>
      <c r="EP99" s="28">
        <f t="shared" si="35"/>
        <v>0</v>
      </c>
      <c r="EQ99" s="28">
        <f t="shared" si="35"/>
        <v>0</v>
      </c>
      <c r="ER99" s="28">
        <f t="shared" si="35"/>
        <v>0</v>
      </c>
      <c r="ES99" s="28">
        <f t="shared" si="35"/>
        <v>0</v>
      </c>
      <c r="ET99" s="28">
        <f t="shared" si="35"/>
        <v>0</v>
      </c>
      <c r="EU99" s="28">
        <f t="shared" si="35"/>
        <v>0</v>
      </c>
      <c r="EV99" s="28">
        <f t="shared" si="35"/>
        <v>0</v>
      </c>
      <c r="EW99" s="28">
        <f t="shared" si="35"/>
        <v>0</v>
      </c>
      <c r="EX99" s="28">
        <f t="shared" si="35"/>
        <v>0</v>
      </c>
      <c r="EY99" s="28">
        <f t="shared" si="35"/>
        <v>0</v>
      </c>
      <c r="EZ99" s="28">
        <f t="shared" si="35"/>
        <v>0</v>
      </c>
      <c r="FA99" s="28">
        <f t="shared" si="35"/>
        <v>0</v>
      </c>
      <c r="FB99" s="28">
        <f t="shared" si="35"/>
        <v>0</v>
      </c>
      <c r="FC99" s="28">
        <f t="shared" si="35"/>
        <v>0</v>
      </c>
      <c r="FD99" s="28">
        <f t="shared" si="35"/>
        <v>0</v>
      </c>
      <c r="FE99" s="28">
        <f t="shared" si="35"/>
        <v>0</v>
      </c>
      <c r="FF99" s="28">
        <f t="shared" si="35"/>
        <v>0</v>
      </c>
      <c r="FG99" s="28">
        <f t="shared" si="35"/>
        <v>0</v>
      </c>
      <c r="FH99" s="28">
        <f t="shared" si="35"/>
        <v>0</v>
      </c>
      <c r="FI99" s="28">
        <f t="shared" si="35"/>
        <v>0</v>
      </c>
      <c r="FJ99" s="28">
        <f t="shared" si="35"/>
        <v>0</v>
      </c>
      <c r="FK99" s="28">
        <f t="shared" si="35"/>
        <v>0</v>
      </c>
      <c r="FL99" s="28">
        <f t="shared" si="35"/>
        <v>0</v>
      </c>
      <c r="FM99" s="28">
        <f t="shared" si="35"/>
        <v>0</v>
      </c>
      <c r="FN99" s="28">
        <f t="shared" si="35"/>
        <v>0</v>
      </c>
      <c r="FO99" s="28">
        <f t="shared" si="35"/>
        <v>0</v>
      </c>
      <c r="FP99" s="28">
        <f t="shared" si="35"/>
        <v>0</v>
      </c>
      <c r="FQ99" s="28">
        <f t="shared" si="35"/>
        <v>0</v>
      </c>
      <c r="FR99" s="28">
        <f t="shared" si="35"/>
        <v>0</v>
      </c>
      <c r="FS99" s="28">
        <f t="shared" si="35"/>
        <v>0</v>
      </c>
      <c r="FT99" s="28">
        <f t="shared" si="35"/>
        <v>0</v>
      </c>
      <c r="FU99" s="28">
        <f t="shared" si="35"/>
        <v>0</v>
      </c>
      <c r="FV99" s="28">
        <f t="shared" si="35"/>
        <v>0</v>
      </c>
      <c r="FW99" s="28">
        <f t="shared" si="35"/>
        <v>0</v>
      </c>
      <c r="FX99" s="28">
        <f t="shared" si="35"/>
        <v>0</v>
      </c>
      <c r="FY99" s="28">
        <f t="shared" si="35"/>
        <v>0</v>
      </c>
      <c r="FZ99" s="28">
        <f t="shared" si="35"/>
        <v>0</v>
      </c>
      <c r="GA99" s="28">
        <f t="shared" si="35"/>
        <v>0</v>
      </c>
      <c r="GB99" s="28">
        <f t="shared" si="35"/>
        <v>0</v>
      </c>
      <c r="GC99" s="28">
        <f t="shared" si="35"/>
        <v>0</v>
      </c>
      <c r="GD99" s="28">
        <f t="shared" si="35"/>
        <v>0</v>
      </c>
      <c r="GE99" s="28">
        <f t="shared" si="35"/>
        <v>0</v>
      </c>
      <c r="GF99" s="28">
        <f t="shared" si="35"/>
        <v>0</v>
      </c>
      <c r="GG99" s="28">
        <f t="shared" si="35"/>
        <v>0</v>
      </c>
      <c r="GH99" s="28">
        <f t="shared" si="35"/>
        <v>0</v>
      </c>
      <c r="GI99" s="28">
        <f t="shared" si="35"/>
        <v>0</v>
      </c>
      <c r="GJ99" s="28">
        <f t="shared" si="35"/>
        <v>0</v>
      </c>
      <c r="GK99" s="28">
        <f t="shared" si="35"/>
        <v>0</v>
      </c>
      <c r="GL99" s="28">
        <f t="shared" si="35"/>
        <v>0</v>
      </c>
      <c r="GM99" s="28">
        <f t="shared" si="35"/>
        <v>0</v>
      </c>
      <c r="GN99" s="28">
        <f t="shared" si="35"/>
        <v>0</v>
      </c>
      <c r="GO99" s="28">
        <f t="shared" si="35"/>
        <v>0</v>
      </c>
      <c r="GP99" s="28">
        <f t="shared" si="35"/>
        <v>0</v>
      </c>
      <c r="GQ99" s="28">
        <f t="shared" si="35"/>
        <v>0</v>
      </c>
      <c r="GR99" s="28">
        <f t="shared" si="35"/>
        <v>0</v>
      </c>
      <c r="GS99" s="28">
        <f t="shared" si="35"/>
        <v>0</v>
      </c>
      <c r="GT99" s="28">
        <f t="shared" si="35"/>
        <v>0</v>
      </c>
      <c r="GU99" s="28">
        <f t="shared" si="35"/>
        <v>0</v>
      </c>
      <c r="GV99" s="28">
        <f t="shared" si="35"/>
        <v>0</v>
      </c>
      <c r="GW99" s="28">
        <f t="shared" si="35"/>
        <v>0</v>
      </c>
      <c r="GX99" s="28">
        <f t="shared" si="35"/>
        <v>0</v>
      </c>
      <c r="GY99" s="28">
        <f t="shared" si="35"/>
        <v>0</v>
      </c>
      <c r="GZ99" s="28">
        <f t="shared" si="35"/>
        <v>0</v>
      </c>
      <c r="HA99" s="28">
        <f t="shared" si="35"/>
        <v>0</v>
      </c>
      <c r="HB99" s="28">
        <f t="shared" si="35"/>
        <v>0</v>
      </c>
      <c r="HC99" s="28">
        <f t="shared" si="35"/>
        <v>0</v>
      </c>
      <c r="HD99" s="28">
        <f t="shared" si="35"/>
        <v>0</v>
      </c>
      <c r="HE99" s="28">
        <f t="shared" si="35"/>
        <v>0</v>
      </c>
      <c r="HF99" s="28">
        <f t="shared" si="35"/>
        <v>0</v>
      </c>
      <c r="HG99" s="28">
        <f t="shared" si="35"/>
        <v>0</v>
      </c>
      <c r="HH99" s="28">
        <f t="shared" si="35"/>
        <v>0</v>
      </c>
      <c r="HI99" s="28">
        <f t="shared" si="35"/>
        <v>0</v>
      </c>
      <c r="HJ99" s="28">
        <f t="shared" si="35"/>
        <v>0</v>
      </c>
      <c r="HK99" s="28">
        <f t="shared" si="35"/>
        <v>0</v>
      </c>
      <c r="HL99" s="28">
        <f t="shared" si="35"/>
        <v>0</v>
      </c>
      <c r="HM99" s="28">
        <f t="shared" si="35"/>
        <v>0</v>
      </c>
      <c r="HN99" s="28">
        <f t="shared" si="35"/>
        <v>0</v>
      </c>
      <c r="HO99" s="28">
        <f t="shared" si="35"/>
        <v>0</v>
      </c>
      <c r="HP99" s="28">
        <f t="shared" si="35"/>
        <v>0</v>
      </c>
      <c r="HQ99" s="28">
        <f t="shared" si="35"/>
        <v>0</v>
      </c>
      <c r="HR99" s="28">
        <f t="shared" si="35"/>
        <v>0</v>
      </c>
      <c r="HS99" s="28">
        <f t="shared" si="35"/>
        <v>0</v>
      </c>
      <c r="HT99" s="28">
        <f t="shared" si="35"/>
        <v>0</v>
      </c>
      <c r="HU99" s="28">
        <f t="shared" si="35"/>
        <v>0</v>
      </c>
      <c r="HV99" s="28">
        <f t="shared" si="35"/>
        <v>0</v>
      </c>
      <c r="HW99" s="28">
        <f t="shared" si="35"/>
        <v>0</v>
      </c>
      <c r="HX99" s="28">
        <f t="shared" si="35"/>
        <v>0</v>
      </c>
      <c r="HY99" s="28">
        <f t="shared" si="35"/>
        <v>0</v>
      </c>
      <c r="HZ99" s="28">
        <f t="shared" si="35"/>
        <v>0</v>
      </c>
      <c r="IA99" s="28">
        <f t="shared" si="35"/>
        <v>0</v>
      </c>
      <c r="IB99" s="28">
        <f t="shared" si="35"/>
        <v>0</v>
      </c>
      <c r="IC99" s="28">
        <f t="shared" si="35"/>
        <v>0</v>
      </c>
      <c r="ID99" s="28">
        <f t="shared" si="35"/>
        <v>0</v>
      </c>
      <c r="IE99" s="28">
        <f t="shared" si="35"/>
        <v>0</v>
      </c>
      <c r="IF99" s="28">
        <f t="shared" si="35"/>
        <v>0</v>
      </c>
      <c r="IG99" s="28">
        <f t="shared" si="35"/>
        <v>0</v>
      </c>
      <c r="IH99" s="28">
        <f t="shared" si="35"/>
        <v>0</v>
      </c>
      <c r="II99" s="28">
        <f t="shared" si="35"/>
        <v>0</v>
      </c>
      <c r="IJ99" s="28">
        <f t="shared" si="35"/>
        <v>0</v>
      </c>
      <c r="IK99" s="28">
        <f t="shared" si="35"/>
        <v>0</v>
      </c>
      <c r="IL99" s="28">
        <f t="shared" si="35"/>
        <v>0</v>
      </c>
      <c r="IM99" s="28">
        <f t="shared" si="35"/>
        <v>0</v>
      </c>
      <c r="IN99" s="28">
        <f t="shared" si="35"/>
        <v>0</v>
      </c>
      <c r="IO99" s="28">
        <f t="shared" si="35"/>
        <v>0</v>
      </c>
      <c r="IP99" s="28">
        <f t="shared" si="35"/>
        <v>0</v>
      </c>
      <c r="IQ99" s="28">
        <f t="shared" si="35"/>
        <v>0</v>
      </c>
      <c r="IR99" s="28"/>
      <c r="IS99" s="28"/>
      <c r="IT99" s="28"/>
      <c r="IU99" s="28"/>
      <c r="IV99" s="28"/>
    </row>
    <row r="100" ht="11.25" customHeight="1">
      <c r="A100" s="27" t="s">
        <v>123</v>
      </c>
      <c r="B100" s="28">
        <f t="shared" ref="B100:D100" si="36">COUNTIF(B48,"=1")+COUNTIF(B58,"=1")+COUNTIF(B68,"=1")+COUNTIF(B78,"=1")+COUNTIF(B88,"=1")+COUNTIF(B87,"=2")+COUNTIF(B76,"=2")+COUNTIF(B65,"=2")+COUNTIF(B54,"=2")</f>
        <v>5</v>
      </c>
      <c r="C100" s="28">
        <f t="shared" si="36"/>
        <v>5</v>
      </c>
      <c r="D100" s="28">
        <f t="shared" si="36"/>
        <v>5</v>
      </c>
      <c r="E100" s="28" t="str">
        <f>COUNTIF(#REF!,"=1")+COUNTIF(#REF!,"=1")+COUNTIF(#REF!,"=1")+COUNTIF(#REF!,"=1")+COUNTIF(#REF!,"=1")+COUNTIF(#REF!,"=2")+COUNTIF(#REF!,"=2")+COUNTIF(#REF!,"=2")+COUNTIF(#REF!,"=2")</f>
        <v>#REF!</v>
      </c>
      <c r="F100" s="28">
        <f t="shared" ref="F100:AW100" si="37">COUNTIF(F48,"=1")+COUNTIF(F58,"=1")+COUNTIF(F68,"=1")+COUNTIF(F78,"=1")+COUNTIF(F88,"=1")+COUNTIF(F87,"=2")+COUNTIF(F76,"=2")+COUNTIF(F65,"=2")+COUNTIF(F54,"=2")</f>
        <v>5</v>
      </c>
      <c r="G100" s="28">
        <f t="shared" si="37"/>
        <v>0</v>
      </c>
      <c r="H100" s="28">
        <f t="shared" si="37"/>
        <v>0</v>
      </c>
      <c r="I100" s="28">
        <f t="shared" si="37"/>
        <v>0</v>
      </c>
      <c r="J100" s="28">
        <f t="shared" si="37"/>
        <v>0</v>
      </c>
      <c r="K100" s="28">
        <f t="shared" si="37"/>
        <v>0</v>
      </c>
      <c r="L100" s="28">
        <f t="shared" si="37"/>
        <v>0</v>
      </c>
      <c r="M100" s="28">
        <f t="shared" si="37"/>
        <v>0</v>
      </c>
      <c r="N100" s="28">
        <f t="shared" si="37"/>
        <v>0</v>
      </c>
      <c r="O100" s="28">
        <f t="shared" si="37"/>
        <v>0</v>
      </c>
      <c r="P100" s="28">
        <f t="shared" si="37"/>
        <v>0</v>
      </c>
      <c r="Q100" s="28">
        <f t="shared" si="37"/>
        <v>0</v>
      </c>
      <c r="R100" s="28">
        <f t="shared" si="37"/>
        <v>0</v>
      </c>
      <c r="S100" s="28">
        <f t="shared" si="37"/>
        <v>0</v>
      </c>
      <c r="T100" s="28">
        <f t="shared" si="37"/>
        <v>0</v>
      </c>
      <c r="U100" s="28">
        <f t="shared" si="37"/>
        <v>0</v>
      </c>
      <c r="V100" s="28">
        <f t="shared" si="37"/>
        <v>0</v>
      </c>
      <c r="W100" s="28">
        <f t="shared" si="37"/>
        <v>0</v>
      </c>
      <c r="X100" s="28">
        <f t="shared" si="37"/>
        <v>0</v>
      </c>
      <c r="Y100" s="28">
        <f t="shared" si="37"/>
        <v>0</v>
      </c>
      <c r="Z100" s="28">
        <f t="shared" si="37"/>
        <v>0</v>
      </c>
      <c r="AA100" s="28">
        <f t="shared" si="37"/>
        <v>0</v>
      </c>
      <c r="AB100" s="28">
        <f t="shared" si="37"/>
        <v>0</v>
      </c>
      <c r="AC100" s="28">
        <f t="shared" si="37"/>
        <v>0</v>
      </c>
      <c r="AD100" s="28">
        <f t="shared" si="37"/>
        <v>0</v>
      </c>
      <c r="AE100" s="28">
        <f t="shared" si="37"/>
        <v>0</v>
      </c>
      <c r="AF100" s="28">
        <f t="shared" si="37"/>
        <v>0</v>
      </c>
      <c r="AG100" s="28">
        <f t="shared" si="37"/>
        <v>0</v>
      </c>
      <c r="AH100" s="28">
        <f t="shared" si="37"/>
        <v>0</v>
      </c>
      <c r="AI100" s="28">
        <f t="shared" si="37"/>
        <v>0</v>
      </c>
      <c r="AJ100" s="28">
        <f t="shared" si="37"/>
        <v>0</v>
      </c>
      <c r="AK100" s="28">
        <f t="shared" si="37"/>
        <v>0</v>
      </c>
      <c r="AL100" s="28">
        <f t="shared" si="37"/>
        <v>0</v>
      </c>
      <c r="AM100" s="28">
        <f t="shared" si="37"/>
        <v>0</v>
      </c>
      <c r="AN100" s="28">
        <f t="shared" si="37"/>
        <v>0</v>
      </c>
      <c r="AO100" s="28">
        <f t="shared" si="37"/>
        <v>0</v>
      </c>
      <c r="AP100" s="28">
        <f t="shared" si="37"/>
        <v>0</v>
      </c>
      <c r="AQ100" s="28">
        <f t="shared" si="37"/>
        <v>0</v>
      </c>
      <c r="AR100" s="28">
        <f t="shared" si="37"/>
        <v>0</v>
      </c>
      <c r="AS100" s="28">
        <f t="shared" si="37"/>
        <v>0</v>
      </c>
      <c r="AT100" s="28">
        <f t="shared" si="37"/>
        <v>0</v>
      </c>
      <c r="AU100" s="28">
        <f t="shared" si="37"/>
        <v>0</v>
      </c>
      <c r="AV100" s="28">
        <f t="shared" si="37"/>
        <v>0</v>
      </c>
      <c r="AW100" s="28">
        <f t="shared" si="37"/>
        <v>0</v>
      </c>
      <c r="AX100" s="28">
        <f t="shared" ref="AX100:AY100" si="38">COUNTIF(AZ48,"=1")+COUNTIF(AZ58,"=1")+COUNTIF(AZ68,"=1")+COUNTIF(AZ78,"=1")+COUNTIF(AZ88,"=1")+COUNTIF(AZ87,"=2")+COUNTIF(AZ76,"=2")+COUNTIF(AZ65,"=2")+COUNTIF(AZ54,"=2")</f>
        <v>0</v>
      </c>
      <c r="AY100" s="28">
        <f t="shared" si="38"/>
        <v>0</v>
      </c>
      <c r="AZ100" s="28" t="str">
        <f>COUNTIF(#REF!,"=1")+COUNTIF(#REF!,"=1")+COUNTIF(#REF!,"=1")+COUNTIF(#REF!,"=1")+COUNTIF(#REF!,"=1")+COUNTIF(#REF!,"=2")+COUNTIF(#REF!,"=2")+COUNTIF(#REF!,"=2")+COUNTIF(#REF!,"=2")</f>
        <v>#REF!</v>
      </c>
      <c r="BA100" s="28">
        <f t="shared" ref="BA100:BT100" si="39">COUNTIF(BC48,"=1")+COUNTIF(BC58,"=1")+COUNTIF(BC68,"=1")+COUNTIF(BC78,"=1")+COUNTIF(BC88,"=1")+COUNTIF(BC87,"=2")+COUNTIF(BC76,"=2")+COUNTIF(BC65,"=2")+COUNTIF(BC54,"=2")</f>
        <v>0</v>
      </c>
      <c r="BB100" s="28">
        <f t="shared" si="39"/>
        <v>0</v>
      </c>
      <c r="BC100" s="28">
        <f t="shared" si="39"/>
        <v>0</v>
      </c>
      <c r="BD100" s="28">
        <f t="shared" si="39"/>
        <v>0</v>
      </c>
      <c r="BE100" s="28">
        <f t="shared" si="39"/>
        <v>0</v>
      </c>
      <c r="BF100" s="28">
        <f t="shared" si="39"/>
        <v>0</v>
      </c>
      <c r="BG100" s="28">
        <f t="shared" si="39"/>
        <v>0</v>
      </c>
      <c r="BH100" s="28">
        <f t="shared" si="39"/>
        <v>0</v>
      </c>
      <c r="BI100" s="28">
        <f t="shared" si="39"/>
        <v>0</v>
      </c>
      <c r="BJ100" s="28">
        <f t="shared" si="39"/>
        <v>0</v>
      </c>
      <c r="BK100" s="28">
        <f t="shared" si="39"/>
        <v>0</v>
      </c>
      <c r="BL100" s="28">
        <f t="shared" si="39"/>
        <v>0</v>
      </c>
      <c r="BM100" s="28">
        <f t="shared" si="39"/>
        <v>0</v>
      </c>
      <c r="BN100" s="28">
        <f t="shared" si="39"/>
        <v>0</v>
      </c>
      <c r="BO100" s="28">
        <f t="shared" si="39"/>
        <v>0</v>
      </c>
      <c r="BP100" s="28">
        <f t="shared" si="39"/>
        <v>0</v>
      </c>
      <c r="BQ100" s="28">
        <f t="shared" si="39"/>
        <v>0</v>
      </c>
      <c r="BR100" s="28">
        <f t="shared" si="39"/>
        <v>0</v>
      </c>
      <c r="BS100" s="28">
        <f t="shared" si="39"/>
        <v>0</v>
      </c>
      <c r="BT100" s="28">
        <f t="shared" si="39"/>
        <v>0</v>
      </c>
      <c r="BU100" s="28">
        <f>COUNTIF(BB48,"=1")+COUNTIF(BB58,"=1")+COUNTIF(BB68,"=1")+COUNTIF(BB78,"=1")+COUNTIF(BB88,"=1")+COUNTIF(BB87,"=2")+COUNTIF(BB76,"=2")+COUNTIF(BB65,"=2")+COUNTIF(BB54,"=2")</f>
        <v>0</v>
      </c>
      <c r="BV100" s="28">
        <f t="shared" ref="BV100:CP100" si="40">COUNTIF(BX48,"=1")+COUNTIF(BX58,"=1")+COUNTIF(BX68,"=1")+COUNTIF(BX78,"=1")+COUNTIF(BX88,"=1")+COUNTIF(BX87,"=2")+COUNTIF(BX76,"=2")+COUNTIF(BX65,"=2")+COUNTIF(BX54,"=2")</f>
        <v>0</v>
      </c>
      <c r="BW100" s="28">
        <f t="shared" si="40"/>
        <v>0</v>
      </c>
      <c r="BX100" s="28">
        <f t="shared" si="40"/>
        <v>0</v>
      </c>
      <c r="BY100" s="28">
        <f t="shared" si="40"/>
        <v>0</v>
      </c>
      <c r="BZ100" s="28">
        <f t="shared" si="40"/>
        <v>0</v>
      </c>
      <c r="CA100" s="28">
        <f t="shared" si="40"/>
        <v>0</v>
      </c>
      <c r="CB100" s="28">
        <f t="shared" si="40"/>
        <v>0</v>
      </c>
      <c r="CC100" s="28">
        <f t="shared" si="40"/>
        <v>0</v>
      </c>
      <c r="CD100" s="28">
        <f t="shared" si="40"/>
        <v>0</v>
      </c>
      <c r="CE100" s="28">
        <f t="shared" si="40"/>
        <v>0</v>
      </c>
      <c r="CF100" s="28">
        <f t="shared" si="40"/>
        <v>0</v>
      </c>
      <c r="CG100" s="28">
        <f t="shared" si="40"/>
        <v>0</v>
      </c>
      <c r="CH100" s="28">
        <f t="shared" si="40"/>
        <v>0</v>
      </c>
      <c r="CI100" s="28">
        <f t="shared" si="40"/>
        <v>0</v>
      </c>
      <c r="CJ100" s="28">
        <f t="shared" si="40"/>
        <v>0</v>
      </c>
      <c r="CK100" s="28">
        <f t="shared" si="40"/>
        <v>0</v>
      </c>
      <c r="CL100" s="28">
        <f t="shared" si="40"/>
        <v>0</v>
      </c>
      <c r="CM100" s="28">
        <f t="shared" si="40"/>
        <v>0</v>
      </c>
      <c r="CN100" s="28">
        <f t="shared" si="40"/>
        <v>0</v>
      </c>
      <c r="CO100" s="28">
        <f t="shared" si="40"/>
        <v>0</v>
      </c>
      <c r="CP100" s="28">
        <f t="shared" si="40"/>
        <v>0</v>
      </c>
      <c r="CQ100" s="28" t="str">
        <f t="shared" ref="CQ100:CR100" si="41">COUNTIF(#REF!,"=1")+COUNTIF(#REF!,"=1")+COUNTIF(#REF!,"=1")+COUNTIF(#REF!,"=1")+COUNTIF(#REF!,"=1")+COUNTIF(#REF!,"=2")+COUNTIF(#REF!,"=2")+COUNTIF(#REF!,"=2")+COUNTIF(#REF!,"=2")</f>
        <v>#REF!</v>
      </c>
      <c r="CR100" s="28" t="str">
        <f t="shared" si="41"/>
        <v>#REF!</v>
      </c>
      <c r="CS100" s="28">
        <f t="shared" ref="CS100:IQ100" si="42">COUNTIF(CS48,"=1")+COUNTIF(CS58,"=1")+COUNTIF(CS68,"=1")+COUNTIF(CS78,"=1")+COUNTIF(CS88,"=1")+COUNTIF(CS87,"=2")+COUNTIF(CS76,"=2")+COUNTIF(CS65,"=2")+COUNTIF(CS54,"=2")</f>
        <v>0</v>
      </c>
      <c r="CT100" s="28">
        <f t="shared" si="42"/>
        <v>0</v>
      </c>
      <c r="CU100" s="28">
        <f t="shared" si="42"/>
        <v>0</v>
      </c>
      <c r="CV100" s="28">
        <f t="shared" si="42"/>
        <v>0</v>
      </c>
      <c r="CW100" s="28">
        <f t="shared" si="42"/>
        <v>0</v>
      </c>
      <c r="CX100" s="28">
        <f t="shared" si="42"/>
        <v>0</v>
      </c>
      <c r="CY100" s="28">
        <f t="shared" si="42"/>
        <v>0</v>
      </c>
      <c r="CZ100" s="28">
        <f t="shared" si="42"/>
        <v>0</v>
      </c>
      <c r="DA100" s="28">
        <f t="shared" si="42"/>
        <v>0</v>
      </c>
      <c r="DB100" s="28">
        <f t="shared" si="42"/>
        <v>0</v>
      </c>
      <c r="DC100" s="28">
        <f t="shared" si="42"/>
        <v>0</v>
      </c>
      <c r="DD100" s="28">
        <f t="shared" si="42"/>
        <v>0</v>
      </c>
      <c r="DE100" s="28">
        <f t="shared" si="42"/>
        <v>0</v>
      </c>
      <c r="DF100" s="28">
        <f t="shared" si="42"/>
        <v>0</v>
      </c>
      <c r="DG100" s="28">
        <f t="shared" si="42"/>
        <v>0</v>
      </c>
      <c r="DH100" s="28">
        <f t="shared" si="42"/>
        <v>0</v>
      </c>
      <c r="DI100" s="28">
        <f t="shared" si="42"/>
        <v>0</v>
      </c>
      <c r="DJ100" s="28">
        <f t="shared" si="42"/>
        <v>0</v>
      </c>
      <c r="DK100" s="28">
        <f t="shared" si="42"/>
        <v>0</v>
      </c>
      <c r="DL100" s="28">
        <f t="shared" si="42"/>
        <v>0</v>
      </c>
      <c r="DM100" s="28">
        <f t="shared" si="42"/>
        <v>0</v>
      </c>
      <c r="DN100" s="28">
        <f t="shared" si="42"/>
        <v>0</v>
      </c>
      <c r="DO100" s="28">
        <f t="shared" si="42"/>
        <v>0</v>
      </c>
      <c r="DP100" s="28">
        <f t="shared" si="42"/>
        <v>0</v>
      </c>
      <c r="DQ100" s="28">
        <f t="shared" si="42"/>
        <v>0</v>
      </c>
      <c r="DR100" s="28">
        <f t="shared" si="42"/>
        <v>0</v>
      </c>
      <c r="DS100" s="28">
        <f t="shared" si="42"/>
        <v>0</v>
      </c>
      <c r="DT100" s="28">
        <f t="shared" si="42"/>
        <v>0</v>
      </c>
      <c r="DU100" s="28">
        <f t="shared" si="42"/>
        <v>0</v>
      </c>
      <c r="DV100" s="28">
        <f t="shared" si="42"/>
        <v>0</v>
      </c>
      <c r="DW100" s="28">
        <f t="shared" si="42"/>
        <v>0</v>
      </c>
      <c r="DX100" s="28">
        <f t="shared" si="42"/>
        <v>0</v>
      </c>
      <c r="DY100" s="28">
        <f t="shared" si="42"/>
        <v>0</v>
      </c>
      <c r="DZ100" s="28">
        <f t="shared" si="42"/>
        <v>0</v>
      </c>
      <c r="EA100" s="28">
        <f t="shared" si="42"/>
        <v>0</v>
      </c>
      <c r="EB100" s="28">
        <f t="shared" si="42"/>
        <v>0</v>
      </c>
      <c r="EC100" s="28">
        <f t="shared" si="42"/>
        <v>0</v>
      </c>
      <c r="ED100" s="28">
        <f t="shared" si="42"/>
        <v>0</v>
      </c>
      <c r="EE100" s="28">
        <f t="shared" si="42"/>
        <v>0</v>
      </c>
      <c r="EF100" s="28">
        <f t="shared" si="42"/>
        <v>0</v>
      </c>
      <c r="EG100" s="28">
        <f t="shared" si="42"/>
        <v>0</v>
      </c>
      <c r="EH100" s="28">
        <f t="shared" si="42"/>
        <v>0</v>
      </c>
      <c r="EI100" s="28">
        <f t="shared" si="42"/>
        <v>0</v>
      </c>
      <c r="EJ100" s="28">
        <f t="shared" si="42"/>
        <v>0</v>
      </c>
      <c r="EK100" s="28">
        <f t="shared" si="42"/>
        <v>0</v>
      </c>
      <c r="EL100" s="28">
        <f t="shared" si="42"/>
        <v>0</v>
      </c>
      <c r="EM100" s="28">
        <f t="shared" si="42"/>
        <v>0</v>
      </c>
      <c r="EN100" s="28">
        <f t="shared" si="42"/>
        <v>0</v>
      </c>
      <c r="EO100" s="28">
        <f t="shared" si="42"/>
        <v>0</v>
      </c>
      <c r="EP100" s="28">
        <f t="shared" si="42"/>
        <v>0</v>
      </c>
      <c r="EQ100" s="28">
        <f t="shared" si="42"/>
        <v>0</v>
      </c>
      <c r="ER100" s="28">
        <f t="shared" si="42"/>
        <v>0</v>
      </c>
      <c r="ES100" s="28">
        <f t="shared" si="42"/>
        <v>0</v>
      </c>
      <c r="ET100" s="28">
        <f t="shared" si="42"/>
        <v>0</v>
      </c>
      <c r="EU100" s="28">
        <f t="shared" si="42"/>
        <v>0</v>
      </c>
      <c r="EV100" s="28">
        <f t="shared" si="42"/>
        <v>0</v>
      </c>
      <c r="EW100" s="28">
        <f t="shared" si="42"/>
        <v>0</v>
      </c>
      <c r="EX100" s="28">
        <f t="shared" si="42"/>
        <v>0</v>
      </c>
      <c r="EY100" s="28">
        <f t="shared" si="42"/>
        <v>0</v>
      </c>
      <c r="EZ100" s="28">
        <f t="shared" si="42"/>
        <v>0</v>
      </c>
      <c r="FA100" s="28">
        <f t="shared" si="42"/>
        <v>0</v>
      </c>
      <c r="FB100" s="28">
        <f t="shared" si="42"/>
        <v>0</v>
      </c>
      <c r="FC100" s="28">
        <f t="shared" si="42"/>
        <v>0</v>
      </c>
      <c r="FD100" s="28">
        <f t="shared" si="42"/>
        <v>0</v>
      </c>
      <c r="FE100" s="28">
        <f t="shared" si="42"/>
        <v>0</v>
      </c>
      <c r="FF100" s="28">
        <f t="shared" si="42"/>
        <v>0</v>
      </c>
      <c r="FG100" s="28">
        <f t="shared" si="42"/>
        <v>0</v>
      </c>
      <c r="FH100" s="28">
        <f t="shared" si="42"/>
        <v>0</v>
      </c>
      <c r="FI100" s="28">
        <f t="shared" si="42"/>
        <v>0</v>
      </c>
      <c r="FJ100" s="28">
        <f t="shared" si="42"/>
        <v>0</v>
      </c>
      <c r="FK100" s="28">
        <f t="shared" si="42"/>
        <v>0</v>
      </c>
      <c r="FL100" s="28">
        <f t="shared" si="42"/>
        <v>0</v>
      </c>
      <c r="FM100" s="28">
        <f t="shared" si="42"/>
        <v>0</v>
      </c>
      <c r="FN100" s="28">
        <f t="shared" si="42"/>
        <v>0</v>
      </c>
      <c r="FO100" s="28">
        <f t="shared" si="42"/>
        <v>0</v>
      </c>
      <c r="FP100" s="28">
        <f t="shared" si="42"/>
        <v>0</v>
      </c>
      <c r="FQ100" s="28">
        <f t="shared" si="42"/>
        <v>0</v>
      </c>
      <c r="FR100" s="28">
        <f t="shared" si="42"/>
        <v>0</v>
      </c>
      <c r="FS100" s="28">
        <f t="shared" si="42"/>
        <v>0</v>
      </c>
      <c r="FT100" s="28">
        <f t="shared" si="42"/>
        <v>0</v>
      </c>
      <c r="FU100" s="28">
        <f t="shared" si="42"/>
        <v>0</v>
      </c>
      <c r="FV100" s="28">
        <f t="shared" si="42"/>
        <v>0</v>
      </c>
      <c r="FW100" s="28">
        <f t="shared" si="42"/>
        <v>0</v>
      </c>
      <c r="FX100" s="28">
        <f t="shared" si="42"/>
        <v>0</v>
      </c>
      <c r="FY100" s="28">
        <f t="shared" si="42"/>
        <v>0</v>
      </c>
      <c r="FZ100" s="28">
        <f t="shared" si="42"/>
        <v>0</v>
      </c>
      <c r="GA100" s="28">
        <f t="shared" si="42"/>
        <v>0</v>
      </c>
      <c r="GB100" s="28">
        <f t="shared" si="42"/>
        <v>0</v>
      </c>
      <c r="GC100" s="28">
        <f t="shared" si="42"/>
        <v>0</v>
      </c>
      <c r="GD100" s="28">
        <f t="shared" si="42"/>
        <v>0</v>
      </c>
      <c r="GE100" s="28">
        <f t="shared" si="42"/>
        <v>0</v>
      </c>
      <c r="GF100" s="28">
        <f t="shared" si="42"/>
        <v>0</v>
      </c>
      <c r="GG100" s="28">
        <f t="shared" si="42"/>
        <v>0</v>
      </c>
      <c r="GH100" s="28">
        <f t="shared" si="42"/>
        <v>0</v>
      </c>
      <c r="GI100" s="28">
        <f t="shared" si="42"/>
        <v>0</v>
      </c>
      <c r="GJ100" s="28">
        <f t="shared" si="42"/>
        <v>0</v>
      </c>
      <c r="GK100" s="28">
        <f t="shared" si="42"/>
        <v>0</v>
      </c>
      <c r="GL100" s="28">
        <f t="shared" si="42"/>
        <v>0</v>
      </c>
      <c r="GM100" s="28">
        <f t="shared" si="42"/>
        <v>0</v>
      </c>
      <c r="GN100" s="28">
        <f t="shared" si="42"/>
        <v>0</v>
      </c>
      <c r="GO100" s="28">
        <f t="shared" si="42"/>
        <v>0</v>
      </c>
      <c r="GP100" s="28">
        <f t="shared" si="42"/>
        <v>0</v>
      </c>
      <c r="GQ100" s="28">
        <f t="shared" si="42"/>
        <v>0</v>
      </c>
      <c r="GR100" s="28">
        <f t="shared" si="42"/>
        <v>0</v>
      </c>
      <c r="GS100" s="28">
        <f t="shared" si="42"/>
        <v>0</v>
      </c>
      <c r="GT100" s="28">
        <f t="shared" si="42"/>
        <v>0</v>
      </c>
      <c r="GU100" s="28">
        <f t="shared" si="42"/>
        <v>0</v>
      </c>
      <c r="GV100" s="28">
        <f t="shared" si="42"/>
        <v>0</v>
      </c>
      <c r="GW100" s="28">
        <f t="shared" si="42"/>
        <v>0</v>
      </c>
      <c r="GX100" s="28">
        <f t="shared" si="42"/>
        <v>0</v>
      </c>
      <c r="GY100" s="28">
        <f t="shared" si="42"/>
        <v>0</v>
      </c>
      <c r="GZ100" s="28">
        <f t="shared" si="42"/>
        <v>0</v>
      </c>
      <c r="HA100" s="28">
        <f t="shared" si="42"/>
        <v>0</v>
      </c>
      <c r="HB100" s="28">
        <f t="shared" si="42"/>
        <v>0</v>
      </c>
      <c r="HC100" s="28">
        <f t="shared" si="42"/>
        <v>0</v>
      </c>
      <c r="HD100" s="28">
        <f t="shared" si="42"/>
        <v>0</v>
      </c>
      <c r="HE100" s="28">
        <f t="shared" si="42"/>
        <v>0</v>
      </c>
      <c r="HF100" s="28">
        <f t="shared" si="42"/>
        <v>0</v>
      </c>
      <c r="HG100" s="28">
        <f t="shared" si="42"/>
        <v>0</v>
      </c>
      <c r="HH100" s="28">
        <f t="shared" si="42"/>
        <v>0</v>
      </c>
      <c r="HI100" s="28">
        <f t="shared" si="42"/>
        <v>0</v>
      </c>
      <c r="HJ100" s="28">
        <f t="shared" si="42"/>
        <v>0</v>
      </c>
      <c r="HK100" s="28">
        <f t="shared" si="42"/>
        <v>0</v>
      </c>
      <c r="HL100" s="28">
        <f t="shared" si="42"/>
        <v>0</v>
      </c>
      <c r="HM100" s="28">
        <f t="shared" si="42"/>
        <v>0</v>
      </c>
      <c r="HN100" s="28">
        <f t="shared" si="42"/>
        <v>0</v>
      </c>
      <c r="HO100" s="28">
        <f t="shared" si="42"/>
        <v>0</v>
      </c>
      <c r="HP100" s="28">
        <f t="shared" si="42"/>
        <v>0</v>
      </c>
      <c r="HQ100" s="28">
        <f t="shared" si="42"/>
        <v>0</v>
      </c>
      <c r="HR100" s="28">
        <f t="shared" si="42"/>
        <v>0</v>
      </c>
      <c r="HS100" s="28">
        <f t="shared" si="42"/>
        <v>0</v>
      </c>
      <c r="HT100" s="28">
        <f t="shared" si="42"/>
        <v>0</v>
      </c>
      <c r="HU100" s="28">
        <f t="shared" si="42"/>
        <v>0</v>
      </c>
      <c r="HV100" s="28">
        <f t="shared" si="42"/>
        <v>0</v>
      </c>
      <c r="HW100" s="28">
        <f t="shared" si="42"/>
        <v>0</v>
      </c>
      <c r="HX100" s="28">
        <f t="shared" si="42"/>
        <v>0</v>
      </c>
      <c r="HY100" s="28">
        <f t="shared" si="42"/>
        <v>0</v>
      </c>
      <c r="HZ100" s="28">
        <f t="shared" si="42"/>
        <v>0</v>
      </c>
      <c r="IA100" s="28">
        <f t="shared" si="42"/>
        <v>0</v>
      </c>
      <c r="IB100" s="28">
        <f t="shared" si="42"/>
        <v>0</v>
      </c>
      <c r="IC100" s="28">
        <f t="shared" si="42"/>
        <v>0</v>
      </c>
      <c r="ID100" s="28">
        <f t="shared" si="42"/>
        <v>0</v>
      </c>
      <c r="IE100" s="28">
        <f t="shared" si="42"/>
        <v>0</v>
      </c>
      <c r="IF100" s="28">
        <f t="shared" si="42"/>
        <v>0</v>
      </c>
      <c r="IG100" s="28">
        <f t="shared" si="42"/>
        <v>0</v>
      </c>
      <c r="IH100" s="28">
        <f t="shared" si="42"/>
        <v>0</v>
      </c>
      <c r="II100" s="28">
        <f t="shared" si="42"/>
        <v>0</v>
      </c>
      <c r="IJ100" s="28">
        <f t="shared" si="42"/>
        <v>0</v>
      </c>
      <c r="IK100" s="28">
        <f t="shared" si="42"/>
        <v>0</v>
      </c>
      <c r="IL100" s="28">
        <f t="shared" si="42"/>
        <v>0</v>
      </c>
      <c r="IM100" s="28">
        <f t="shared" si="42"/>
        <v>0</v>
      </c>
      <c r="IN100" s="28">
        <f t="shared" si="42"/>
        <v>0</v>
      </c>
      <c r="IO100" s="28">
        <f t="shared" si="42"/>
        <v>0</v>
      </c>
      <c r="IP100" s="28">
        <f t="shared" si="42"/>
        <v>0</v>
      </c>
      <c r="IQ100" s="28">
        <f t="shared" si="42"/>
        <v>0</v>
      </c>
      <c r="IR100" s="28"/>
      <c r="IS100" s="28"/>
      <c r="IT100" s="28"/>
      <c r="IU100" s="28"/>
      <c r="IV100" s="28"/>
    </row>
    <row r="101" ht="11.25" customHeight="1">
      <c r="A101" s="27" t="s">
        <v>15</v>
      </c>
      <c r="B101" s="28">
        <f t="shared" ref="B101:D101" si="43">COUNTIF(B37,"=1")+COUNTIF(B47,"=1")+COUNTIF(B57,"=1")+COUNTIF(B67,"=1")+COUNTIF(B77,"=1")+COUNTIF(B87,"=1")+COUNTIF(B86,"=2")+COUNTIF(B75,"=2")+COUNTIF(B64,"=2")</f>
        <v>6</v>
      </c>
      <c r="C101" s="28">
        <f t="shared" si="43"/>
        <v>6</v>
      </c>
      <c r="D101" s="28">
        <f t="shared" si="43"/>
        <v>6</v>
      </c>
      <c r="E101" s="28" t="str">
        <f>COUNTIF(#REF!,"=1")+COUNTIF(#REF!,"=1")+COUNTIF(#REF!,"=1")+COUNTIF(#REF!,"=1")+COUNTIF(#REF!,"=1")+COUNTIF(#REF!,"=1")+COUNTIF(#REF!,"=2")+COUNTIF(#REF!,"=2")+COUNTIF(#REF!,"=2")</f>
        <v>#REF!</v>
      </c>
      <c r="F101" s="28">
        <f t="shared" ref="F101:AW101" si="44">COUNTIF(F37,"=1")+COUNTIF(F47,"=1")+COUNTIF(F57,"=1")+COUNTIF(F67,"=1")+COUNTIF(F77,"=1")+COUNTIF(F87,"=1")+COUNTIF(F86,"=2")+COUNTIF(F75,"=2")+COUNTIF(F64,"=2")</f>
        <v>6</v>
      </c>
      <c r="G101" s="28">
        <f t="shared" si="44"/>
        <v>0</v>
      </c>
      <c r="H101" s="28">
        <f t="shared" si="44"/>
        <v>0</v>
      </c>
      <c r="I101" s="28">
        <f t="shared" si="44"/>
        <v>0</v>
      </c>
      <c r="J101" s="28">
        <f t="shared" si="44"/>
        <v>0</v>
      </c>
      <c r="K101" s="28">
        <f t="shared" si="44"/>
        <v>0</v>
      </c>
      <c r="L101" s="28">
        <f t="shared" si="44"/>
        <v>0</v>
      </c>
      <c r="M101" s="28">
        <f t="shared" si="44"/>
        <v>0</v>
      </c>
      <c r="N101" s="28">
        <f t="shared" si="44"/>
        <v>0</v>
      </c>
      <c r="O101" s="28">
        <f t="shared" si="44"/>
        <v>0</v>
      </c>
      <c r="P101" s="28">
        <f t="shared" si="44"/>
        <v>0</v>
      </c>
      <c r="Q101" s="28">
        <f t="shared" si="44"/>
        <v>0</v>
      </c>
      <c r="R101" s="28">
        <f t="shared" si="44"/>
        <v>0</v>
      </c>
      <c r="S101" s="28">
        <f t="shared" si="44"/>
        <v>0</v>
      </c>
      <c r="T101" s="28">
        <f t="shared" si="44"/>
        <v>0</v>
      </c>
      <c r="U101" s="28">
        <f t="shared" si="44"/>
        <v>0</v>
      </c>
      <c r="V101" s="28">
        <f t="shared" si="44"/>
        <v>0</v>
      </c>
      <c r="W101" s="28">
        <f t="shared" si="44"/>
        <v>0</v>
      </c>
      <c r="X101" s="28">
        <f t="shared" si="44"/>
        <v>0</v>
      </c>
      <c r="Y101" s="28">
        <f t="shared" si="44"/>
        <v>0</v>
      </c>
      <c r="Z101" s="28">
        <f t="shared" si="44"/>
        <v>0</v>
      </c>
      <c r="AA101" s="28">
        <f t="shared" si="44"/>
        <v>0</v>
      </c>
      <c r="AB101" s="28">
        <f t="shared" si="44"/>
        <v>0</v>
      </c>
      <c r="AC101" s="28">
        <f t="shared" si="44"/>
        <v>0</v>
      </c>
      <c r="AD101" s="28">
        <f t="shared" si="44"/>
        <v>0</v>
      </c>
      <c r="AE101" s="28">
        <f t="shared" si="44"/>
        <v>0</v>
      </c>
      <c r="AF101" s="28">
        <f t="shared" si="44"/>
        <v>0</v>
      </c>
      <c r="AG101" s="28">
        <f t="shared" si="44"/>
        <v>0</v>
      </c>
      <c r="AH101" s="28">
        <f t="shared" si="44"/>
        <v>0</v>
      </c>
      <c r="AI101" s="28">
        <f t="shared" si="44"/>
        <v>0</v>
      </c>
      <c r="AJ101" s="28">
        <f t="shared" si="44"/>
        <v>0</v>
      </c>
      <c r="AK101" s="28">
        <f t="shared" si="44"/>
        <v>0</v>
      </c>
      <c r="AL101" s="28">
        <f t="shared" si="44"/>
        <v>0</v>
      </c>
      <c r="AM101" s="28">
        <f t="shared" si="44"/>
        <v>0</v>
      </c>
      <c r="AN101" s="28">
        <f t="shared" si="44"/>
        <v>0</v>
      </c>
      <c r="AO101" s="28">
        <f t="shared" si="44"/>
        <v>0</v>
      </c>
      <c r="AP101" s="28">
        <f t="shared" si="44"/>
        <v>0</v>
      </c>
      <c r="AQ101" s="28">
        <f t="shared" si="44"/>
        <v>0</v>
      </c>
      <c r="AR101" s="28">
        <f t="shared" si="44"/>
        <v>0</v>
      </c>
      <c r="AS101" s="28">
        <f t="shared" si="44"/>
        <v>0</v>
      </c>
      <c r="AT101" s="28">
        <f t="shared" si="44"/>
        <v>0</v>
      </c>
      <c r="AU101" s="28">
        <f t="shared" si="44"/>
        <v>0</v>
      </c>
      <c r="AV101" s="28">
        <f t="shared" si="44"/>
        <v>0</v>
      </c>
      <c r="AW101" s="28">
        <f t="shared" si="44"/>
        <v>0</v>
      </c>
      <c r="AX101" s="28">
        <f t="shared" ref="AX101:AY101" si="45">COUNTIF(AZ37,"=1")+COUNTIF(AZ47,"=1")+COUNTIF(AZ57,"=1")+COUNTIF(AZ67,"=1")+COUNTIF(AZ77,"=1")+COUNTIF(AZ87,"=1")+COUNTIF(AZ86,"=2")+COUNTIF(AZ75,"=2")+COUNTIF(AZ64,"=2")</f>
        <v>0</v>
      </c>
      <c r="AY101" s="28">
        <f t="shared" si="45"/>
        <v>0</v>
      </c>
      <c r="AZ101" s="28" t="str">
        <f>COUNTIF(#REF!,"=1")+COUNTIF(#REF!,"=1")+COUNTIF(#REF!,"=1")+COUNTIF(#REF!,"=1")+COUNTIF(#REF!,"=1")+COUNTIF(#REF!,"=1")+COUNTIF(#REF!,"=2")+COUNTIF(#REF!,"=2")+COUNTIF(#REF!,"=2")</f>
        <v>#REF!</v>
      </c>
      <c r="BA101" s="28">
        <f t="shared" ref="BA101:BT101" si="46">COUNTIF(BC37,"=1")+COUNTIF(BC47,"=1")+COUNTIF(BC57,"=1")+COUNTIF(BC67,"=1")+COUNTIF(BC77,"=1")+COUNTIF(BC87,"=1")+COUNTIF(BC86,"=2")+COUNTIF(BC75,"=2")+COUNTIF(BC64,"=2")</f>
        <v>0</v>
      </c>
      <c r="BB101" s="28">
        <f t="shared" si="46"/>
        <v>0</v>
      </c>
      <c r="BC101" s="28">
        <f t="shared" si="46"/>
        <v>0</v>
      </c>
      <c r="BD101" s="28">
        <f t="shared" si="46"/>
        <v>0</v>
      </c>
      <c r="BE101" s="28">
        <f t="shared" si="46"/>
        <v>0</v>
      </c>
      <c r="BF101" s="28">
        <f t="shared" si="46"/>
        <v>0</v>
      </c>
      <c r="BG101" s="28">
        <f t="shared" si="46"/>
        <v>0</v>
      </c>
      <c r="BH101" s="28">
        <f t="shared" si="46"/>
        <v>0</v>
      </c>
      <c r="BI101" s="28">
        <f t="shared" si="46"/>
        <v>0</v>
      </c>
      <c r="BJ101" s="28">
        <f t="shared" si="46"/>
        <v>0</v>
      </c>
      <c r="BK101" s="28">
        <f t="shared" si="46"/>
        <v>0</v>
      </c>
      <c r="BL101" s="28">
        <f t="shared" si="46"/>
        <v>0</v>
      </c>
      <c r="BM101" s="28">
        <f t="shared" si="46"/>
        <v>0</v>
      </c>
      <c r="BN101" s="28">
        <f t="shared" si="46"/>
        <v>0</v>
      </c>
      <c r="BO101" s="28">
        <f t="shared" si="46"/>
        <v>0</v>
      </c>
      <c r="BP101" s="28">
        <f t="shared" si="46"/>
        <v>0</v>
      </c>
      <c r="BQ101" s="28">
        <f t="shared" si="46"/>
        <v>0</v>
      </c>
      <c r="BR101" s="28">
        <f t="shared" si="46"/>
        <v>0</v>
      </c>
      <c r="BS101" s="28">
        <f t="shared" si="46"/>
        <v>0</v>
      </c>
      <c r="BT101" s="28">
        <f t="shared" si="46"/>
        <v>0</v>
      </c>
      <c r="BU101" s="28">
        <f>COUNTIF(BB37,"=1")+COUNTIF(BB47,"=1")+COUNTIF(BB57,"=1")+COUNTIF(BB67,"=1")+COUNTIF(BB77,"=1")+COUNTIF(BB87,"=1")+COUNTIF(BB86,"=2")+COUNTIF(BB75,"=2")+COUNTIF(BB64,"=2")</f>
        <v>0</v>
      </c>
      <c r="BV101" s="28">
        <f t="shared" ref="BV101:CP101" si="47">COUNTIF(BX37,"=1")+COUNTIF(BX47,"=1")+COUNTIF(BX57,"=1")+COUNTIF(BX67,"=1")+COUNTIF(BX77,"=1")+COUNTIF(BX87,"=1")+COUNTIF(BX86,"=2")+COUNTIF(BX75,"=2")+COUNTIF(BX64,"=2")</f>
        <v>0</v>
      </c>
      <c r="BW101" s="28">
        <f t="shared" si="47"/>
        <v>0</v>
      </c>
      <c r="BX101" s="28">
        <f t="shared" si="47"/>
        <v>0</v>
      </c>
      <c r="BY101" s="28">
        <f t="shared" si="47"/>
        <v>0</v>
      </c>
      <c r="BZ101" s="28">
        <f t="shared" si="47"/>
        <v>0</v>
      </c>
      <c r="CA101" s="28">
        <f t="shared" si="47"/>
        <v>0</v>
      </c>
      <c r="CB101" s="28">
        <f t="shared" si="47"/>
        <v>0</v>
      </c>
      <c r="CC101" s="28">
        <f t="shared" si="47"/>
        <v>0</v>
      </c>
      <c r="CD101" s="28">
        <f t="shared" si="47"/>
        <v>0</v>
      </c>
      <c r="CE101" s="28">
        <f t="shared" si="47"/>
        <v>0</v>
      </c>
      <c r="CF101" s="28">
        <f t="shared" si="47"/>
        <v>0</v>
      </c>
      <c r="CG101" s="28">
        <f t="shared" si="47"/>
        <v>0</v>
      </c>
      <c r="CH101" s="28">
        <f t="shared" si="47"/>
        <v>0</v>
      </c>
      <c r="CI101" s="28">
        <f t="shared" si="47"/>
        <v>0</v>
      </c>
      <c r="CJ101" s="28">
        <f t="shared" si="47"/>
        <v>0</v>
      </c>
      <c r="CK101" s="28">
        <f t="shared" si="47"/>
        <v>0</v>
      </c>
      <c r="CL101" s="28">
        <f t="shared" si="47"/>
        <v>0</v>
      </c>
      <c r="CM101" s="28">
        <f t="shared" si="47"/>
        <v>0</v>
      </c>
      <c r="CN101" s="28">
        <f t="shared" si="47"/>
        <v>0</v>
      </c>
      <c r="CO101" s="28">
        <f t="shared" si="47"/>
        <v>0</v>
      </c>
      <c r="CP101" s="28">
        <f t="shared" si="47"/>
        <v>0</v>
      </c>
      <c r="CQ101" s="28" t="str">
        <f t="shared" ref="CQ101:CR101" si="48">COUNTIF(#REF!,"=1")+COUNTIF(#REF!,"=1")+COUNTIF(#REF!,"=1")+COUNTIF(#REF!,"=1")+COUNTIF(#REF!,"=1")+COUNTIF(#REF!,"=1")+COUNTIF(#REF!,"=2")+COUNTIF(#REF!,"=2")+COUNTIF(#REF!,"=2")</f>
        <v>#REF!</v>
      </c>
      <c r="CR101" s="28" t="str">
        <f t="shared" si="48"/>
        <v>#REF!</v>
      </c>
      <c r="CS101" s="28">
        <f t="shared" ref="CS101:IQ101" si="49">COUNTIF(CS37,"=1")+COUNTIF(CS47,"=1")+COUNTIF(CS57,"=1")+COUNTIF(CS67,"=1")+COUNTIF(CS77,"=1")+COUNTIF(CS87,"=1")+COUNTIF(CS86,"=2")+COUNTIF(CS75,"=2")+COUNTIF(CS64,"=2")</f>
        <v>0</v>
      </c>
      <c r="CT101" s="28">
        <f t="shared" si="49"/>
        <v>0</v>
      </c>
      <c r="CU101" s="28">
        <f t="shared" si="49"/>
        <v>0</v>
      </c>
      <c r="CV101" s="28">
        <f t="shared" si="49"/>
        <v>0</v>
      </c>
      <c r="CW101" s="28">
        <f t="shared" si="49"/>
        <v>0</v>
      </c>
      <c r="CX101" s="28">
        <f t="shared" si="49"/>
        <v>0</v>
      </c>
      <c r="CY101" s="28">
        <f t="shared" si="49"/>
        <v>0</v>
      </c>
      <c r="CZ101" s="28">
        <f t="shared" si="49"/>
        <v>0</v>
      </c>
      <c r="DA101" s="28">
        <f t="shared" si="49"/>
        <v>0</v>
      </c>
      <c r="DB101" s="28">
        <f t="shared" si="49"/>
        <v>0</v>
      </c>
      <c r="DC101" s="28">
        <f t="shared" si="49"/>
        <v>0</v>
      </c>
      <c r="DD101" s="28">
        <f t="shared" si="49"/>
        <v>0</v>
      </c>
      <c r="DE101" s="28">
        <f t="shared" si="49"/>
        <v>0</v>
      </c>
      <c r="DF101" s="28">
        <f t="shared" si="49"/>
        <v>0</v>
      </c>
      <c r="DG101" s="28">
        <f t="shared" si="49"/>
        <v>0</v>
      </c>
      <c r="DH101" s="28">
        <f t="shared" si="49"/>
        <v>0</v>
      </c>
      <c r="DI101" s="28">
        <f t="shared" si="49"/>
        <v>0</v>
      </c>
      <c r="DJ101" s="28">
        <f t="shared" si="49"/>
        <v>0</v>
      </c>
      <c r="DK101" s="28">
        <f t="shared" si="49"/>
        <v>0</v>
      </c>
      <c r="DL101" s="28">
        <f t="shared" si="49"/>
        <v>0</v>
      </c>
      <c r="DM101" s="28">
        <f t="shared" si="49"/>
        <v>0</v>
      </c>
      <c r="DN101" s="28">
        <f t="shared" si="49"/>
        <v>0</v>
      </c>
      <c r="DO101" s="28">
        <f t="shared" si="49"/>
        <v>0</v>
      </c>
      <c r="DP101" s="28">
        <f t="shared" si="49"/>
        <v>0</v>
      </c>
      <c r="DQ101" s="28">
        <f t="shared" si="49"/>
        <v>0</v>
      </c>
      <c r="DR101" s="28">
        <f t="shared" si="49"/>
        <v>0</v>
      </c>
      <c r="DS101" s="28">
        <f t="shared" si="49"/>
        <v>0</v>
      </c>
      <c r="DT101" s="28">
        <f t="shared" si="49"/>
        <v>0</v>
      </c>
      <c r="DU101" s="28">
        <f t="shared" si="49"/>
        <v>0</v>
      </c>
      <c r="DV101" s="28">
        <f t="shared" si="49"/>
        <v>0</v>
      </c>
      <c r="DW101" s="28">
        <f t="shared" si="49"/>
        <v>0</v>
      </c>
      <c r="DX101" s="28">
        <f t="shared" si="49"/>
        <v>0</v>
      </c>
      <c r="DY101" s="28">
        <f t="shared" si="49"/>
        <v>0</v>
      </c>
      <c r="DZ101" s="28">
        <f t="shared" si="49"/>
        <v>0</v>
      </c>
      <c r="EA101" s="28">
        <f t="shared" si="49"/>
        <v>0</v>
      </c>
      <c r="EB101" s="28">
        <f t="shared" si="49"/>
        <v>0</v>
      </c>
      <c r="EC101" s="28">
        <f t="shared" si="49"/>
        <v>0</v>
      </c>
      <c r="ED101" s="28">
        <f t="shared" si="49"/>
        <v>0</v>
      </c>
      <c r="EE101" s="28">
        <f t="shared" si="49"/>
        <v>0</v>
      </c>
      <c r="EF101" s="28">
        <f t="shared" si="49"/>
        <v>0</v>
      </c>
      <c r="EG101" s="28">
        <f t="shared" si="49"/>
        <v>0</v>
      </c>
      <c r="EH101" s="28">
        <f t="shared" si="49"/>
        <v>0</v>
      </c>
      <c r="EI101" s="28">
        <f t="shared" si="49"/>
        <v>0</v>
      </c>
      <c r="EJ101" s="28">
        <f t="shared" si="49"/>
        <v>0</v>
      </c>
      <c r="EK101" s="28">
        <f t="shared" si="49"/>
        <v>0</v>
      </c>
      <c r="EL101" s="28">
        <f t="shared" si="49"/>
        <v>0</v>
      </c>
      <c r="EM101" s="28">
        <f t="shared" si="49"/>
        <v>0</v>
      </c>
      <c r="EN101" s="28">
        <f t="shared" si="49"/>
        <v>0</v>
      </c>
      <c r="EO101" s="28">
        <f t="shared" si="49"/>
        <v>0</v>
      </c>
      <c r="EP101" s="28">
        <f t="shared" si="49"/>
        <v>0</v>
      </c>
      <c r="EQ101" s="28">
        <f t="shared" si="49"/>
        <v>0</v>
      </c>
      <c r="ER101" s="28">
        <f t="shared" si="49"/>
        <v>0</v>
      </c>
      <c r="ES101" s="28">
        <f t="shared" si="49"/>
        <v>0</v>
      </c>
      <c r="ET101" s="28">
        <f t="shared" si="49"/>
        <v>0</v>
      </c>
      <c r="EU101" s="28">
        <f t="shared" si="49"/>
        <v>0</v>
      </c>
      <c r="EV101" s="28">
        <f t="shared" si="49"/>
        <v>0</v>
      </c>
      <c r="EW101" s="28">
        <f t="shared" si="49"/>
        <v>0</v>
      </c>
      <c r="EX101" s="28">
        <f t="shared" si="49"/>
        <v>0</v>
      </c>
      <c r="EY101" s="28">
        <f t="shared" si="49"/>
        <v>0</v>
      </c>
      <c r="EZ101" s="28">
        <f t="shared" si="49"/>
        <v>0</v>
      </c>
      <c r="FA101" s="28">
        <f t="shared" si="49"/>
        <v>0</v>
      </c>
      <c r="FB101" s="28">
        <f t="shared" si="49"/>
        <v>0</v>
      </c>
      <c r="FC101" s="28">
        <f t="shared" si="49"/>
        <v>0</v>
      </c>
      <c r="FD101" s="28">
        <f t="shared" si="49"/>
        <v>0</v>
      </c>
      <c r="FE101" s="28">
        <f t="shared" si="49"/>
        <v>0</v>
      </c>
      <c r="FF101" s="28">
        <f t="shared" si="49"/>
        <v>0</v>
      </c>
      <c r="FG101" s="28">
        <f t="shared" si="49"/>
        <v>0</v>
      </c>
      <c r="FH101" s="28">
        <f t="shared" si="49"/>
        <v>0</v>
      </c>
      <c r="FI101" s="28">
        <f t="shared" si="49"/>
        <v>0</v>
      </c>
      <c r="FJ101" s="28">
        <f t="shared" si="49"/>
        <v>0</v>
      </c>
      <c r="FK101" s="28">
        <f t="shared" si="49"/>
        <v>0</v>
      </c>
      <c r="FL101" s="28">
        <f t="shared" si="49"/>
        <v>0</v>
      </c>
      <c r="FM101" s="28">
        <f t="shared" si="49"/>
        <v>0</v>
      </c>
      <c r="FN101" s="28">
        <f t="shared" si="49"/>
        <v>0</v>
      </c>
      <c r="FO101" s="28">
        <f t="shared" si="49"/>
        <v>0</v>
      </c>
      <c r="FP101" s="28">
        <f t="shared" si="49"/>
        <v>0</v>
      </c>
      <c r="FQ101" s="28">
        <f t="shared" si="49"/>
        <v>0</v>
      </c>
      <c r="FR101" s="28">
        <f t="shared" si="49"/>
        <v>0</v>
      </c>
      <c r="FS101" s="28">
        <f t="shared" si="49"/>
        <v>0</v>
      </c>
      <c r="FT101" s="28">
        <f t="shared" si="49"/>
        <v>0</v>
      </c>
      <c r="FU101" s="28">
        <f t="shared" si="49"/>
        <v>0</v>
      </c>
      <c r="FV101" s="28">
        <f t="shared" si="49"/>
        <v>0</v>
      </c>
      <c r="FW101" s="28">
        <f t="shared" si="49"/>
        <v>0</v>
      </c>
      <c r="FX101" s="28">
        <f t="shared" si="49"/>
        <v>0</v>
      </c>
      <c r="FY101" s="28">
        <f t="shared" si="49"/>
        <v>0</v>
      </c>
      <c r="FZ101" s="28">
        <f t="shared" si="49"/>
        <v>0</v>
      </c>
      <c r="GA101" s="28">
        <f t="shared" si="49"/>
        <v>0</v>
      </c>
      <c r="GB101" s="28">
        <f t="shared" si="49"/>
        <v>0</v>
      </c>
      <c r="GC101" s="28">
        <f t="shared" si="49"/>
        <v>0</v>
      </c>
      <c r="GD101" s="28">
        <f t="shared" si="49"/>
        <v>0</v>
      </c>
      <c r="GE101" s="28">
        <f t="shared" si="49"/>
        <v>0</v>
      </c>
      <c r="GF101" s="28">
        <f t="shared" si="49"/>
        <v>0</v>
      </c>
      <c r="GG101" s="28">
        <f t="shared" si="49"/>
        <v>0</v>
      </c>
      <c r="GH101" s="28">
        <f t="shared" si="49"/>
        <v>0</v>
      </c>
      <c r="GI101" s="28">
        <f t="shared" si="49"/>
        <v>0</v>
      </c>
      <c r="GJ101" s="28">
        <f t="shared" si="49"/>
        <v>0</v>
      </c>
      <c r="GK101" s="28">
        <f t="shared" si="49"/>
        <v>0</v>
      </c>
      <c r="GL101" s="28">
        <f t="shared" si="49"/>
        <v>0</v>
      </c>
      <c r="GM101" s="28">
        <f t="shared" si="49"/>
        <v>0</v>
      </c>
      <c r="GN101" s="28">
        <f t="shared" si="49"/>
        <v>0</v>
      </c>
      <c r="GO101" s="28">
        <f t="shared" si="49"/>
        <v>0</v>
      </c>
      <c r="GP101" s="28">
        <f t="shared" si="49"/>
        <v>0</v>
      </c>
      <c r="GQ101" s="28">
        <f t="shared" si="49"/>
        <v>0</v>
      </c>
      <c r="GR101" s="28">
        <f t="shared" si="49"/>
        <v>0</v>
      </c>
      <c r="GS101" s="28">
        <f t="shared" si="49"/>
        <v>0</v>
      </c>
      <c r="GT101" s="28">
        <f t="shared" si="49"/>
        <v>0</v>
      </c>
      <c r="GU101" s="28">
        <f t="shared" si="49"/>
        <v>0</v>
      </c>
      <c r="GV101" s="28">
        <f t="shared" si="49"/>
        <v>0</v>
      </c>
      <c r="GW101" s="28">
        <f t="shared" si="49"/>
        <v>0</v>
      </c>
      <c r="GX101" s="28">
        <f t="shared" si="49"/>
        <v>0</v>
      </c>
      <c r="GY101" s="28">
        <f t="shared" si="49"/>
        <v>0</v>
      </c>
      <c r="GZ101" s="28">
        <f t="shared" si="49"/>
        <v>0</v>
      </c>
      <c r="HA101" s="28">
        <f t="shared" si="49"/>
        <v>0</v>
      </c>
      <c r="HB101" s="28">
        <f t="shared" si="49"/>
        <v>0</v>
      </c>
      <c r="HC101" s="28">
        <f t="shared" si="49"/>
        <v>0</v>
      </c>
      <c r="HD101" s="28">
        <f t="shared" si="49"/>
        <v>0</v>
      </c>
      <c r="HE101" s="28">
        <f t="shared" si="49"/>
        <v>0</v>
      </c>
      <c r="HF101" s="28">
        <f t="shared" si="49"/>
        <v>0</v>
      </c>
      <c r="HG101" s="28">
        <f t="shared" si="49"/>
        <v>0</v>
      </c>
      <c r="HH101" s="28">
        <f t="shared" si="49"/>
        <v>0</v>
      </c>
      <c r="HI101" s="28">
        <f t="shared" si="49"/>
        <v>0</v>
      </c>
      <c r="HJ101" s="28">
        <f t="shared" si="49"/>
        <v>0</v>
      </c>
      <c r="HK101" s="28">
        <f t="shared" si="49"/>
        <v>0</v>
      </c>
      <c r="HL101" s="28">
        <f t="shared" si="49"/>
        <v>0</v>
      </c>
      <c r="HM101" s="28">
        <f t="shared" si="49"/>
        <v>0</v>
      </c>
      <c r="HN101" s="28">
        <f t="shared" si="49"/>
        <v>0</v>
      </c>
      <c r="HO101" s="28">
        <f t="shared" si="49"/>
        <v>0</v>
      </c>
      <c r="HP101" s="28">
        <f t="shared" si="49"/>
        <v>0</v>
      </c>
      <c r="HQ101" s="28">
        <f t="shared" si="49"/>
        <v>0</v>
      </c>
      <c r="HR101" s="28">
        <f t="shared" si="49"/>
        <v>0</v>
      </c>
      <c r="HS101" s="28">
        <f t="shared" si="49"/>
        <v>0</v>
      </c>
      <c r="HT101" s="28">
        <f t="shared" si="49"/>
        <v>0</v>
      </c>
      <c r="HU101" s="28">
        <f t="shared" si="49"/>
        <v>0</v>
      </c>
      <c r="HV101" s="28">
        <f t="shared" si="49"/>
        <v>0</v>
      </c>
      <c r="HW101" s="28">
        <f t="shared" si="49"/>
        <v>0</v>
      </c>
      <c r="HX101" s="28">
        <f t="shared" si="49"/>
        <v>0</v>
      </c>
      <c r="HY101" s="28">
        <f t="shared" si="49"/>
        <v>0</v>
      </c>
      <c r="HZ101" s="28">
        <f t="shared" si="49"/>
        <v>0</v>
      </c>
      <c r="IA101" s="28">
        <f t="shared" si="49"/>
        <v>0</v>
      </c>
      <c r="IB101" s="28">
        <f t="shared" si="49"/>
        <v>0</v>
      </c>
      <c r="IC101" s="28">
        <f t="shared" si="49"/>
        <v>0</v>
      </c>
      <c r="ID101" s="28">
        <f t="shared" si="49"/>
        <v>0</v>
      </c>
      <c r="IE101" s="28">
        <f t="shared" si="49"/>
        <v>0</v>
      </c>
      <c r="IF101" s="28">
        <f t="shared" si="49"/>
        <v>0</v>
      </c>
      <c r="IG101" s="28">
        <f t="shared" si="49"/>
        <v>0</v>
      </c>
      <c r="IH101" s="28">
        <f t="shared" si="49"/>
        <v>0</v>
      </c>
      <c r="II101" s="28">
        <f t="shared" si="49"/>
        <v>0</v>
      </c>
      <c r="IJ101" s="28">
        <f t="shared" si="49"/>
        <v>0</v>
      </c>
      <c r="IK101" s="28">
        <f t="shared" si="49"/>
        <v>0</v>
      </c>
      <c r="IL101" s="28">
        <f t="shared" si="49"/>
        <v>0</v>
      </c>
      <c r="IM101" s="28">
        <f t="shared" si="49"/>
        <v>0</v>
      </c>
      <c r="IN101" s="28">
        <f t="shared" si="49"/>
        <v>0</v>
      </c>
      <c r="IO101" s="28">
        <f t="shared" si="49"/>
        <v>0</v>
      </c>
      <c r="IP101" s="28">
        <f t="shared" si="49"/>
        <v>0</v>
      </c>
      <c r="IQ101" s="28">
        <f t="shared" si="49"/>
        <v>0</v>
      </c>
      <c r="IR101" s="28"/>
      <c r="IS101" s="28"/>
      <c r="IT101" s="28"/>
      <c r="IU101" s="28"/>
      <c r="IV101" s="28"/>
    </row>
    <row r="102" ht="11.25" customHeight="1">
      <c r="A102" s="27" t="s">
        <v>124</v>
      </c>
      <c r="B102" s="28">
        <f t="shared" ref="B102:D102" si="50">COUNTIF(B26,"=1")+COUNTIF(B36,"=1")+COUNTIF(B46,"=1")+COUNTIF(B56,"=1")+COUNTIF(B66,"=1")+COUNTIF(B76,"=1")+COUNTIF(B86,"=1")+COUNTIF(B74,"=2")+COUNTIF(B85,"=2")</f>
        <v>9</v>
      </c>
      <c r="C102" s="28">
        <f t="shared" si="50"/>
        <v>9</v>
      </c>
      <c r="D102" s="28">
        <f t="shared" si="50"/>
        <v>9</v>
      </c>
      <c r="E102" s="28" t="str">
        <f>COUNTIF(#REF!,"=1")+COUNTIF(#REF!,"=1")+COUNTIF(#REF!,"=1")+COUNTIF(#REF!,"=1")+COUNTIF(#REF!,"=1")+COUNTIF(#REF!,"=1")+COUNTIF(#REF!,"=1")+COUNTIF(#REF!,"=2")+COUNTIF(#REF!,"=2")</f>
        <v>#REF!</v>
      </c>
      <c r="F102" s="28">
        <f t="shared" ref="F102:AW102" si="51">COUNTIF(F26,"=1")+COUNTIF(F36,"=1")+COUNTIF(F46,"=1")+COUNTIF(F56,"=1")+COUNTIF(F66,"=1")+COUNTIF(F76,"=1")+COUNTIF(F86,"=1")+COUNTIF(F74,"=2")+COUNTIF(F85,"=2")</f>
        <v>9</v>
      </c>
      <c r="G102" s="28">
        <f t="shared" si="51"/>
        <v>0</v>
      </c>
      <c r="H102" s="28">
        <f t="shared" si="51"/>
        <v>0</v>
      </c>
      <c r="I102" s="28">
        <f t="shared" si="51"/>
        <v>0</v>
      </c>
      <c r="J102" s="28">
        <f t="shared" si="51"/>
        <v>0</v>
      </c>
      <c r="K102" s="28">
        <f t="shared" si="51"/>
        <v>0</v>
      </c>
      <c r="L102" s="28">
        <f t="shared" si="51"/>
        <v>0</v>
      </c>
      <c r="M102" s="28">
        <f t="shared" si="51"/>
        <v>0</v>
      </c>
      <c r="N102" s="28">
        <f t="shared" si="51"/>
        <v>0</v>
      </c>
      <c r="O102" s="28">
        <f t="shared" si="51"/>
        <v>0</v>
      </c>
      <c r="P102" s="28">
        <f t="shared" si="51"/>
        <v>0</v>
      </c>
      <c r="Q102" s="28">
        <f t="shared" si="51"/>
        <v>0</v>
      </c>
      <c r="R102" s="28">
        <f t="shared" si="51"/>
        <v>0</v>
      </c>
      <c r="S102" s="28">
        <f t="shared" si="51"/>
        <v>0</v>
      </c>
      <c r="T102" s="28">
        <f t="shared" si="51"/>
        <v>0</v>
      </c>
      <c r="U102" s="28">
        <f t="shared" si="51"/>
        <v>0</v>
      </c>
      <c r="V102" s="28">
        <f t="shared" si="51"/>
        <v>0</v>
      </c>
      <c r="W102" s="28">
        <f t="shared" si="51"/>
        <v>0</v>
      </c>
      <c r="X102" s="28">
        <f t="shared" si="51"/>
        <v>0</v>
      </c>
      <c r="Y102" s="28">
        <f t="shared" si="51"/>
        <v>0</v>
      </c>
      <c r="Z102" s="28">
        <f t="shared" si="51"/>
        <v>0</v>
      </c>
      <c r="AA102" s="28">
        <f t="shared" si="51"/>
        <v>0</v>
      </c>
      <c r="AB102" s="28">
        <f t="shared" si="51"/>
        <v>0</v>
      </c>
      <c r="AC102" s="28">
        <f t="shared" si="51"/>
        <v>0</v>
      </c>
      <c r="AD102" s="28">
        <f t="shared" si="51"/>
        <v>0</v>
      </c>
      <c r="AE102" s="28">
        <f t="shared" si="51"/>
        <v>0</v>
      </c>
      <c r="AF102" s="28">
        <f t="shared" si="51"/>
        <v>0</v>
      </c>
      <c r="AG102" s="28">
        <f t="shared" si="51"/>
        <v>0</v>
      </c>
      <c r="AH102" s="28">
        <f t="shared" si="51"/>
        <v>0</v>
      </c>
      <c r="AI102" s="28">
        <f t="shared" si="51"/>
        <v>0</v>
      </c>
      <c r="AJ102" s="28">
        <f t="shared" si="51"/>
        <v>0</v>
      </c>
      <c r="AK102" s="28">
        <f t="shared" si="51"/>
        <v>0</v>
      </c>
      <c r="AL102" s="28">
        <f t="shared" si="51"/>
        <v>0</v>
      </c>
      <c r="AM102" s="28">
        <f t="shared" si="51"/>
        <v>0</v>
      </c>
      <c r="AN102" s="28">
        <f t="shared" si="51"/>
        <v>0</v>
      </c>
      <c r="AO102" s="28">
        <f t="shared" si="51"/>
        <v>0</v>
      </c>
      <c r="AP102" s="28">
        <f t="shared" si="51"/>
        <v>0</v>
      </c>
      <c r="AQ102" s="28">
        <f t="shared" si="51"/>
        <v>0</v>
      </c>
      <c r="AR102" s="28">
        <f t="shared" si="51"/>
        <v>0</v>
      </c>
      <c r="AS102" s="28">
        <f t="shared" si="51"/>
        <v>0</v>
      </c>
      <c r="AT102" s="28">
        <f t="shared" si="51"/>
        <v>0</v>
      </c>
      <c r="AU102" s="28">
        <f t="shared" si="51"/>
        <v>0</v>
      </c>
      <c r="AV102" s="28">
        <f t="shared" si="51"/>
        <v>0</v>
      </c>
      <c r="AW102" s="28">
        <f t="shared" si="51"/>
        <v>0</v>
      </c>
      <c r="AX102" s="28">
        <f t="shared" ref="AX102:AY102" si="52">COUNTIF(AZ26,"=1")+COUNTIF(AZ36,"=1")+COUNTIF(AZ46,"=1")+COUNTIF(AZ56,"=1")+COUNTIF(AZ66,"=1")+COUNTIF(AZ76,"=1")+COUNTIF(AZ86,"=1")+COUNTIF(AZ74,"=2")+COUNTIF(AZ85,"=2")</f>
        <v>0</v>
      </c>
      <c r="AY102" s="28">
        <f t="shared" si="52"/>
        <v>0</v>
      </c>
      <c r="AZ102" s="28" t="str">
        <f>COUNTIF(#REF!,"=1")+COUNTIF(#REF!,"=1")+COUNTIF(#REF!,"=1")+COUNTIF(#REF!,"=1")+COUNTIF(#REF!,"=1")+COUNTIF(#REF!,"=1")+COUNTIF(#REF!,"=1")+COUNTIF(#REF!,"=2")+COUNTIF(#REF!,"=2")</f>
        <v>#REF!</v>
      </c>
      <c r="BA102" s="28">
        <f t="shared" ref="BA102:BT102" si="53">COUNTIF(BC26,"=1")+COUNTIF(BC36,"=1")+COUNTIF(BC46,"=1")+COUNTIF(BC56,"=1")+COUNTIF(BC66,"=1")+COUNTIF(BC76,"=1")+COUNTIF(BC86,"=1")+COUNTIF(BC74,"=2")+COUNTIF(BC85,"=2")</f>
        <v>0</v>
      </c>
      <c r="BB102" s="28">
        <f t="shared" si="53"/>
        <v>0</v>
      </c>
      <c r="BC102" s="28">
        <f t="shared" si="53"/>
        <v>0</v>
      </c>
      <c r="BD102" s="28">
        <f t="shared" si="53"/>
        <v>0</v>
      </c>
      <c r="BE102" s="28">
        <f t="shared" si="53"/>
        <v>0</v>
      </c>
      <c r="BF102" s="28">
        <f t="shared" si="53"/>
        <v>0</v>
      </c>
      <c r="BG102" s="28">
        <f t="shared" si="53"/>
        <v>0</v>
      </c>
      <c r="BH102" s="28">
        <f t="shared" si="53"/>
        <v>0</v>
      </c>
      <c r="BI102" s="28">
        <f t="shared" si="53"/>
        <v>0</v>
      </c>
      <c r="BJ102" s="28">
        <f t="shared" si="53"/>
        <v>0</v>
      </c>
      <c r="BK102" s="28">
        <f t="shared" si="53"/>
        <v>0</v>
      </c>
      <c r="BL102" s="28">
        <f t="shared" si="53"/>
        <v>0</v>
      </c>
      <c r="BM102" s="28">
        <f t="shared" si="53"/>
        <v>0</v>
      </c>
      <c r="BN102" s="28">
        <f t="shared" si="53"/>
        <v>0</v>
      </c>
      <c r="BO102" s="28">
        <f t="shared" si="53"/>
        <v>0</v>
      </c>
      <c r="BP102" s="28">
        <f t="shared" si="53"/>
        <v>0</v>
      </c>
      <c r="BQ102" s="28">
        <f t="shared" si="53"/>
        <v>0</v>
      </c>
      <c r="BR102" s="28">
        <f t="shared" si="53"/>
        <v>0</v>
      </c>
      <c r="BS102" s="28">
        <f t="shared" si="53"/>
        <v>0</v>
      </c>
      <c r="BT102" s="28">
        <f t="shared" si="53"/>
        <v>0</v>
      </c>
      <c r="BU102" s="28">
        <f>COUNTIF(BB26,"=1")+COUNTIF(BB36,"=1")+COUNTIF(BB46,"=1")+COUNTIF(BB56,"=1")+COUNTIF(BB66,"=1")+COUNTIF(BB76,"=1")+COUNTIF(BB86,"=1")+COUNTIF(BB74,"=2")+COUNTIF(BB85,"=2")</f>
        <v>0</v>
      </c>
      <c r="BV102" s="28">
        <f t="shared" ref="BV102:CP102" si="54">COUNTIF(BX26,"=1")+COUNTIF(BX36,"=1")+COUNTIF(BX46,"=1")+COUNTIF(BX56,"=1")+COUNTIF(BX66,"=1")+COUNTIF(BX76,"=1")+COUNTIF(BX86,"=1")+COUNTIF(BX74,"=2")+COUNTIF(BX85,"=2")</f>
        <v>0</v>
      </c>
      <c r="BW102" s="28">
        <f t="shared" si="54"/>
        <v>0</v>
      </c>
      <c r="BX102" s="28">
        <f t="shared" si="54"/>
        <v>0</v>
      </c>
      <c r="BY102" s="28">
        <f t="shared" si="54"/>
        <v>0</v>
      </c>
      <c r="BZ102" s="28">
        <f t="shared" si="54"/>
        <v>0</v>
      </c>
      <c r="CA102" s="28">
        <f t="shared" si="54"/>
        <v>0</v>
      </c>
      <c r="CB102" s="28">
        <f t="shared" si="54"/>
        <v>0</v>
      </c>
      <c r="CC102" s="28">
        <f t="shared" si="54"/>
        <v>0</v>
      </c>
      <c r="CD102" s="28">
        <f t="shared" si="54"/>
        <v>0</v>
      </c>
      <c r="CE102" s="28">
        <f t="shared" si="54"/>
        <v>0</v>
      </c>
      <c r="CF102" s="28">
        <f t="shared" si="54"/>
        <v>0</v>
      </c>
      <c r="CG102" s="28">
        <f t="shared" si="54"/>
        <v>0</v>
      </c>
      <c r="CH102" s="28">
        <f t="shared" si="54"/>
        <v>0</v>
      </c>
      <c r="CI102" s="28">
        <f t="shared" si="54"/>
        <v>0</v>
      </c>
      <c r="CJ102" s="28">
        <f t="shared" si="54"/>
        <v>0</v>
      </c>
      <c r="CK102" s="28">
        <f t="shared" si="54"/>
        <v>0</v>
      </c>
      <c r="CL102" s="28">
        <f t="shared" si="54"/>
        <v>0</v>
      </c>
      <c r="CM102" s="28">
        <f t="shared" si="54"/>
        <v>0</v>
      </c>
      <c r="CN102" s="28">
        <f t="shared" si="54"/>
        <v>0</v>
      </c>
      <c r="CO102" s="28">
        <f t="shared" si="54"/>
        <v>0</v>
      </c>
      <c r="CP102" s="28">
        <f t="shared" si="54"/>
        <v>0</v>
      </c>
      <c r="CQ102" s="28" t="str">
        <f t="shared" ref="CQ102:CR102" si="55">COUNTIF(#REF!,"=1")+COUNTIF(#REF!,"=1")+COUNTIF(#REF!,"=1")+COUNTIF(#REF!,"=1")+COUNTIF(#REF!,"=1")+COUNTIF(#REF!,"=1")+COUNTIF(#REF!,"=1")+COUNTIF(#REF!,"=2")+COUNTIF(#REF!,"=2")</f>
        <v>#REF!</v>
      </c>
      <c r="CR102" s="28" t="str">
        <f t="shared" si="55"/>
        <v>#REF!</v>
      </c>
      <c r="CS102" s="28">
        <f t="shared" ref="CS102:IQ102" si="56">COUNTIF(CS26,"=1")+COUNTIF(CS36,"=1")+COUNTIF(CS46,"=1")+COUNTIF(CS56,"=1")+COUNTIF(CS66,"=1")+COUNTIF(CS76,"=1")+COUNTIF(CS86,"=1")+COUNTIF(CS74,"=2")+COUNTIF(CS85,"=2")</f>
        <v>0</v>
      </c>
      <c r="CT102" s="28">
        <f t="shared" si="56"/>
        <v>0</v>
      </c>
      <c r="CU102" s="28">
        <f t="shared" si="56"/>
        <v>0</v>
      </c>
      <c r="CV102" s="28">
        <f t="shared" si="56"/>
        <v>0</v>
      </c>
      <c r="CW102" s="28">
        <f t="shared" si="56"/>
        <v>0</v>
      </c>
      <c r="CX102" s="28">
        <f t="shared" si="56"/>
        <v>0</v>
      </c>
      <c r="CY102" s="28">
        <f t="shared" si="56"/>
        <v>0</v>
      </c>
      <c r="CZ102" s="28">
        <f t="shared" si="56"/>
        <v>0</v>
      </c>
      <c r="DA102" s="28">
        <f t="shared" si="56"/>
        <v>0</v>
      </c>
      <c r="DB102" s="28">
        <f t="shared" si="56"/>
        <v>0</v>
      </c>
      <c r="DC102" s="28">
        <f t="shared" si="56"/>
        <v>0</v>
      </c>
      <c r="DD102" s="28">
        <f t="shared" si="56"/>
        <v>0</v>
      </c>
      <c r="DE102" s="28">
        <f t="shared" si="56"/>
        <v>0</v>
      </c>
      <c r="DF102" s="28">
        <f t="shared" si="56"/>
        <v>0</v>
      </c>
      <c r="DG102" s="28">
        <f t="shared" si="56"/>
        <v>0</v>
      </c>
      <c r="DH102" s="28">
        <f t="shared" si="56"/>
        <v>0</v>
      </c>
      <c r="DI102" s="28">
        <f t="shared" si="56"/>
        <v>0</v>
      </c>
      <c r="DJ102" s="28">
        <f t="shared" si="56"/>
        <v>0</v>
      </c>
      <c r="DK102" s="28">
        <f t="shared" si="56"/>
        <v>0</v>
      </c>
      <c r="DL102" s="28">
        <f t="shared" si="56"/>
        <v>0</v>
      </c>
      <c r="DM102" s="28">
        <f t="shared" si="56"/>
        <v>0</v>
      </c>
      <c r="DN102" s="28">
        <f t="shared" si="56"/>
        <v>0</v>
      </c>
      <c r="DO102" s="28">
        <f t="shared" si="56"/>
        <v>0</v>
      </c>
      <c r="DP102" s="28">
        <f t="shared" si="56"/>
        <v>0</v>
      </c>
      <c r="DQ102" s="28">
        <f t="shared" si="56"/>
        <v>0</v>
      </c>
      <c r="DR102" s="28">
        <f t="shared" si="56"/>
        <v>0</v>
      </c>
      <c r="DS102" s="28">
        <f t="shared" si="56"/>
        <v>0</v>
      </c>
      <c r="DT102" s="28">
        <f t="shared" si="56"/>
        <v>0</v>
      </c>
      <c r="DU102" s="28">
        <f t="shared" si="56"/>
        <v>0</v>
      </c>
      <c r="DV102" s="28">
        <f t="shared" si="56"/>
        <v>0</v>
      </c>
      <c r="DW102" s="28">
        <f t="shared" si="56"/>
        <v>0</v>
      </c>
      <c r="DX102" s="28">
        <f t="shared" si="56"/>
        <v>0</v>
      </c>
      <c r="DY102" s="28">
        <f t="shared" si="56"/>
        <v>0</v>
      </c>
      <c r="DZ102" s="28">
        <f t="shared" si="56"/>
        <v>0</v>
      </c>
      <c r="EA102" s="28">
        <f t="shared" si="56"/>
        <v>0</v>
      </c>
      <c r="EB102" s="28">
        <f t="shared" si="56"/>
        <v>0</v>
      </c>
      <c r="EC102" s="28">
        <f t="shared" si="56"/>
        <v>0</v>
      </c>
      <c r="ED102" s="28">
        <f t="shared" si="56"/>
        <v>0</v>
      </c>
      <c r="EE102" s="28">
        <f t="shared" si="56"/>
        <v>0</v>
      </c>
      <c r="EF102" s="28">
        <f t="shared" si="56"/>
        <v>0</v>
      </c>
      <c r="EG102" s="28">
        <f t="shared" si="56"/>
        <v>0</v>
      </c>
      <c r="EH102" s="28">
        <f t="shared" si="56"/>
        <v>0</v>
      </c>
      <c r="EI102" s="28">
        <f t="shared" si="56"/>
        <v>0</v>
      </c>
      <c r="EJ102" s="28">
        <f t="shared" si="56"/>
        <v>0</v>
      </c>
      <c r="EK102" s="28">
        <f t="shared" si="56"/>
        <v>0</v>
      </c>
      <c r="EL102" s="28">
        <f t="shared" si="56"/>
        <v>0</v>
      </c>
      <c r="EM102" s="28">
        <f t="shared" si="56"/>
        <v>0</v>
      </c>
      <c r="EN102" s="28">
        <f t="shared" si="56"/>
        <v>0</v>
      </c>
      <c r="EO102" s="28">
        <f t="shared" si="56"/>
        <v>0</v>
      </c>
      <c r="EP102" s="28">
        <f t="shared" si="56"/>
        <v>0</v>
      </c>
      <c r="EQ102" s="28">
        <f t="shared" si="56"/>
        <v>0</v>
      </c>
      <c r="ER102" s="28">
        <f t="shared" si="56"/>
        <v>0</v>
      </c>
      <c r="ES102" s="28">
        <f t="shared" si="56"/>
        <v>0</v>
      </c>
      <c r="ET102" s="28">
        <f t="shared" si="56"/>
        <v>0</v>
      </c>
      <c r="EU102" s="28">
        <f t="shared" si="56"/>
        <v>0</v>
      </c>
      <c r="EV102" s="28">
        <f t="shared" si="56"/>
        <v>0</v>
      </c>
      <c r="EW102" s="28">
        <f t="shared" si="56"/>
        <v>0</v>
      </c>
      <c r="EX102" s="28">
        <f t="shared" si="56"/>
        <v>0</v>
      </c>
      <c r="EY102" s="28">
        <f t="shared" si="56"/>
        <v>0</v>
      </c>
      <c r="EZ102" s="28">
        <f t="shared" si="56"/>
        <v>0</v>
      </c>
      <c r="FA102" s="28">
        <f t="shared" si="56"/>
        <v>0</v>
      </c>
      <c r="FB102" s="28">
        <f t="shared" si="56"/>
        <v>0</v>
      </c>
      <c r="FC102" s="28">
        <f t="shared" si="56"/>
        <v>0</v>
      </c>
      <c r="FD102" s="28">
        <f t="shared" si="56"/>
        <v>0</v>
      </c>
      <c r="FE102" s="28">
        <f t="shared" si="56"/>
        <v>0</v>
      </c>
      <c r="FF102" s="28">
        <f t="shared" si="56"/>
        <v>0</v>
      </c>
      <c r="FG102" s="28">
        <f t="shared" si="56"/>
        <v>0</v>
      </c>
      <c r="FH102" s="28">
        <f t="shared" si="56"/>
        <v>0</v>
      </c>
      <c r="FI102" s="28">
        <f t="shared" si="56"/>
        <v>0</v>
      </c>
      <c r="FJ102" s="28">
        <f t="shared" si="56"/>
        <v>0</v>
      </c>
      <c r="FK102" s="28">
        <f t="shared" si="56"/>
        <v>0</v>
      </c>
      <c r="FL102" s="28">
        <f t="shared" si="56"/>
        <v>0</v>
      </c>
      <c r="FM102" s="28">
        <f t="shared" si="56"/>
        <v>0</v>
      </c>
      <c r="FN102" s="28">
        <f t="shared" si="56"/>
        <v>0</v>
      </c>
      <c r="FO102" s="28">
        <f t="shared" si="56"/>
        <v>0</v>
      </c>
      <c r="FP102" s="28">
        <f t="shared" si="56"/>
        <v>0</v>
      </c>
      <c r="FQ102" s="28">
        <f t="shared" si="56"/>
        <v>0</v>
      </c>
      <c r="FR102" s="28">
        <f t="shared" si="56"/>
        <v>0</v>
      </c>
      <c r="FS102" s="28">
        <f t="shared" si="56"/>
        <v>0</v>
      </c>
      <c r="FT102" s="28">
        <f t="shared" si="56"/>
        <v>0</v>
      </c>
      <c r="FU102" s="28">
        <f t="shared" si="56"/>
        <v>0</v>
      </c>
      <c r="FV102" s="28">
        <f t="shared" si="56"/>
        <v>0</v>
      </c>
      <c r="FW102" s="28">
        <f t="shared" si="56"/>
        <v>0</v>
      </c>
      <c r="FX102" s="28">
        <f t="shared" si="56"/>
        <v>0</v>
      </c>
      <c r="FY102" s="28">
        <f t="shared" si="56"/>
        <v>0</v>
      </c>
      <c r="FZ102" s="28">
        <f t="shared" si="56"/>
        <v>0</v>
      </c>
      <c r="GA102" s="28">
        <f t="shared" si="56"/>
        <v>0</v>
      </c>
      <c r="GB102" s="28">
        <f t="shared" si="56"/>
        <v>0</v>
      </c>
      <c r="GC102" s="28">
        <f t="shared" si="56"/>
        <v>0</v>
      </c>
      <c r="GD102" s="28">
        <f t="shared" si="56"/>
        <v>0</v>
      </c>
      <c r="GE102" s="28">
        <f t="shared" si="56"/>
        <v>0</v>
      </c>
      <c r="GF102" s="28">
        <f t="shared" si="56"/>
        <v>0</v>
      </c>
      <c r="GG102" s="28">
        <f t="shared" si="56"/>
        <v>0</v>
      </c>
      <c r="GH102" s="28">
        <f t="shared" si="56"/>
        <v>0</v>
      </c>
      <c r="GI102" s="28">
        <f t="shared" si="56"/>
        <v>0</v>
      </c>
      <c r="GJ102" s="28">
        <f t="shared" si="56"/>
        <v>0</v>
      </c>
      <c r="GK102" s="28">
        <f t="shared" si="56"/>
        <v>0</v>
      </c>
      <c r="GL102" s="28">
        <f t="shared" si="56"/>
        <v>0</v>
      </c>
      <c r="GM102" s="28">
        <f t="shared" si="56"/>
        <v>0</v>
      </c>
      <c r="GN102" s="28">
        <f t="shared" si="56"/>
        <v>0</v>
      </c>
      <c r="GO102" s="28">
        <f t="shared" si="56"/>
        <v>0</v>
      </c>
      <c r="GP102" s="28">
        <f t="shared" si="56"/>
        <v>0</v>
      </c>
      <c r="GQ102" s="28">
        <f t="shared" si="56"/>
        <v>0</v>
      </c>
      <c r="GR102" s="28">
        <f t="shared" si="56"/>
        <v>0</v>
      </c>
      <c r="GS102" s="28">
        <f t="shared" si="56"/>
        <v>0</v>
      </c>
      <c r="GT102" s="28">
        <f t="shared" si="56"/>
        <v>0</v>
      </c>
      <c r="GU102" s="28">
        <f t="shared" si="56"/>
        <v>0</v>
      </c>
      <c r="GV102" s="28">
        <f t="shared" si="56"/>
        <v>0</v>
      </c>
      <c r="GW102" s="28">
        <f t="shared" si="56"/>
        <v>0</v>
      </c>
      <c r="GX102" s="28">
        <f t="shared" si="56"/>
        <v>0</v>
      </c>
      <c r="GY102" s="28">
        <f t="shared" si="56"/>
        <v>0</v>
      </c>
      <c r="GZ102" s="28">
        <f t="shared" si="56"/>
        <v>0</v>
      </c>
      <c r="HA102" s="28">
        <f t="shared" si="56"/>
        <v>0</v>
      </c>
      <c r="HB102" s="28">
        <f t="shared" si="56"/>
        <v>0</v>
      </c>
      <c r="HC102" s="28">
        <f t="shared" si="56"/>
        <v>0</v>
      </c>
      <c r="HD102" s="28">
        <f t="shared" si="56"/>
        <v>0</v>
      </c>
      <c r="HE102" s="28">
        <f t="shared" si="56"/>
        <v>0</v>
      </c>
      <c r="HF102" s="28">
        <f t="shared" si="56"/>
        <v>0</v>
      </c>
      <c r="HG102" s="28">
        <f t="shared" si="56"/>
        <v>0</v>
      </c>
      <c r="HH102" s="28">
        <f t="shared" si="56"/>
        <v>0</v>
      </c>
      <c r="HI102" s="28">
        <f t="shared" si="56"/>
        <v>0</v>
      </c>
      <c r="HJ102" s="28">
        <f t="shared" si="56"/>
        <v>0</v>
      </c>
      <c r="HK102" s="28">
        <f t="shared" si="56"/>
        <v>0</v>
      </c>
      <c r="HL102" s="28">
        <f t="shared" si="56"/>
        <v>0</v>
      </c>
      <c r="HM102" s="28">
        <f t="shared" si="56"/>
        <v>0</v>
      </c>
      <c r="HN102" s="28">
        <f t="shared" si="56"/>
        <v>0</v>
      </c>
      <c r="HO102" s="28">
        <f t="shared" si="56"/>
        <v>0</v>
      </c>
      <c r="HP102" s="28">
        <f t="shared" si="56"/>
        <v>0</v>
      </c>
      <c r="HQ102" s="28">
        <f t="shared" si="56"/>
        <v>0</v>
      </c>
      <c r="HR102" s="28">
        <f t="shared" si="56"/>
        <v>0</v>
      </c>
      <c r="HS102" s="28">
        <f t="shared" si="56"/>
        <v>0</v>
      </c>
      <c r="HT102" s="28">
        <f t="shared" si="56"/>
        <v>0</v>
      </c>
      <c r="HU102" s="28">
        <f t="shared" si="56"/>
        <v>0</v>
      </c>
      <c r="HV102" s="28">
        <f t="shared" si="56"/>
        <v>0</v>
      </c>
      <c r="HW102" s="28">
        <f t="shared" si="56"/>
        <v>0</v>
      </c>
      <c r="HX102" s="28">
        <f t="shared" si="56"/>
        <v>0</v>
      </c>
      <c r="HY102" s="28">
        <f t="shared" si="56"/>
        <v>0</v>
      </c>
      <c r="HZ102" s="28">
        <f t="shared" si="56"/>
        <v>0</v>
      </c>
      <c r="IA102" s="28">
        <f t="shared" si="56"/>
        <v>0</v>
      </c>
      <c r="IB102" s="28">
        <f t="shared" si="56"/>
        <v>0</v>
      </c>
      <c r="IC102" s="28">
        <f t="shared" si="56"/>
        <v>0</v>
      </c>
      <c r="ID102" s="28">
        <f t="shared" si="56"/>
        <v>0</v>
      </c>
      <c r="IE102" s="28">
        <f t="shared" si="56"/>
        <v>0</v>
      </c>
      <c r="IF102" s="28">
        <f t="shared" si="56"/>
        <v>0</v>
      </c>
      <c r="IG102" s="28">
        <f t="shared" si="56"/>
        <v>0</v>
      </c>
      <c r="IH102" s="28">
        <f t="shared" si="56"/>
        <v>0</v>
      </c>
      <c r="II102" s="28">
        <f t="shared" si="56"/>
        <v>0</v>
      </c>
      <c r="IJ102" s="28">
        <f t="shared" si="56"/>
        <v>0</v>
      </c>
      <c r="IK102" s="28">
        <f t="shared" si="56"/>
        <v>0</v>
      </c>
      <c r="IL102" s="28">
        <f t="shared" si="56"/>
        <v>0</v>
      </c>
      <c r="IM102" s="28">
        <f t="shared" si="56"/>
        <v>0</v>
      </c>
      <c r="IN102" s="28">
        <f t="shared" si="56"/>
        <v>0</v>
      </c>
      <c r="IO102" s="28">
        <f t="shared" si="56"/>
        <v>0</v>
      </c>
      <c r="IP102" s="28">
        <f t="shared" si="56"/>
        <v>0</v>
      </c>
      <c r="IQ102" s="28">
        <f t="shared" si="56"/>
        <v>0</v>
      </c>
      <c r="IR102" s="28"/>
      <c r="IS102" s="28"/>
      <c r="IT102" s="28"/>
      <c r="IU102" s="28"/>
      <c r="IV102" s="28"/>
    </row>
    <row r="103" ht="11.25" customHeight="1">
      <c r="A103" s="27" t="s">
        <v>125</v>
      </c>
      <c r="B103" s="28">
        <f t="shared" ref="B103:D103" si="57">COUNTIF(B15,"=1")+COUNTIF(B25,"=1")+COUNTIF(B35,"=1")+COUNTIF(B45,"=1")+COUNTIF(B55,"=1")+COUNTIF(B65,"=1")+COUNTIF(B75,"=1")+COUNTIF(B85,"=1")+COUNTIF(B84,"=2")</f>
        <v>8</v>
      </c>
      <c r="C103" s="28">
        <f t="shared" si="57"/>
        <v>8</v>
      </c>
      <c r="D103" s="28">
        <f t="shared" si="57"/>
        <v>8</v>
      </c>
      <c r="E103" s="28" t="str">
        <f>COUNTIF(#REF!,"=1")+COUNTIF(#REF!,"=1")+COUNTIF(#REF!,"=1")+COUNTIF(#REF!,"=1")+COUNTIF(#REF!,"=1")+COUNTIF(#REF!,"=1")+COUNTIF(#REF!,"=1")+COUNTIF(#REF!,"=1")+COUNTIF(#REF!,"=2")</f>
        <v>#REF!</v>
      </c>
      <c r="F103" s="28">
        <f t="shared" ref="F103:AW103" si="58">COUNTIF(F15,"=1")+COUNTIF(F25,"=1")+COUNTIF(F35,"=1")+COUNTIF(F45,"=1")+COUNTIF(F55,"=1")+COUNTIF(F65,"=1")+COUNTIF(F75,"=1")+COUNTIF(F85,"=1")+COUNTIF(F84,"=2")</f>
        <v>8</v>
      </c>
      <c r="G103" s="28">
        <f t="shared" si="58"/>
        <v>0</v>
      </c>
      <c r="H103" s="28">
        <f t="shared" si="58"/>
        <v>0</v>
      </c>
      <c r="I103" s="28">
        <f t="shared" si="58"/>
        <v>0</v>
      </c>
      <c r="J103" s="28">
        <f t="shared" si="58"/>
        <v>0</v>
      </c>
      <c r="K103" s="28">
        <f t="shared" si="58"/>
        <v>0</v>
      </c>
      <c r="L103" s="28">
        <f t="shared" si="58"/>
        <v>0</v>
      </c>
      <c r="M103" s="28">
        <f t="shared" si="58"/>
        <v>0</v>
      </c>
      <c r="N103" s="28">
        <f t="shared" si="58"/>
        <v>0</v>
      </c>
      <c r="O103" s="28">
        <f t="shared" si="58"/>
        <v>0</v>
      </c>
      <c r="P103" s="28">
        <f t="shared" si="58"/>
        <v>0</v>
      </c>
      <c r="Q103" s="28">
        <f t="shared" si="58"/>
        <v>0</v>
      </c>
      <c r="R103" s="28">
        <f t="shared" si="58"/>
        <v>0</v>
      </c>
      <c r="S103" s="28">
        <f t="shared" si="58"/>
        <v>0</v>
      </c>
      <c r="T103" s="28">
        <f t="shared" si="58"/>
        <v>0</v>
      </c>
      <c r="U103" s="28">
        <f t="shared" si="58"/>
        <v>0</v>
      </c>
      <c r="V103" s="28">
        <f t="shared" si="58"/>
        <v>0</v>
      </c>
      <c r="W103" s="28">
        <f t="shared" si="58"/>
        <v>0</v>
      </c>
      <c r="X103" s="28">
        <f t="shared" si="58"/>
        <v>0</v>
      </c>
      <c r="Y103" s="28">
        <f t="shared" si="58"/>
        <v>0</v>
      </c>
      <c r="Z103" s="28">
        <f t="shared" si="58"/>
        <v>0</v>
      </c>
      <c r="AA103" s="28">
        <f t="shared" si="58"/>
        <v>0</v>
      </c>
      <c r="AB103" s="28">
        <f t="shared" si="58"/>
        <v>0</v>
      </c>
      <c r="AC103" s="28">
        <f t="shared" si="58"/>
        <v>0</v>
      </c>
      <c r="AD103" s="28">
        <f t="shared" si="58"/>
        <v>0</v>
      </c>
      <c r="AE103" s="28">
        <f t="shared" si="58"/>
        <v>0</v>
      </c>
      <c r="AF103" s="28">
        <f t="shared" si="58"/>
        <v>0</v>
      </c>
      <c r="AG103" s="28">
        <f t="shared" si="58"/>
        <v>0</v>
      </c>
      <c r="AH103" s="28">
        <f t="shared" si="58"/>
        <v>0</v>
      </c>
      <c r="AI103" s="28">
        <f t="shared" si="58"/>
        <v>0</v>
      </c>
      <c r="AJ103" s="28">
        <f t="shared" si="58"/>
        <v>0</v>
      </c>
      <c r="AK103" s="28">
        <f t="shared" si="58"/>
        <v>0</v>
      </c>
      <c r="AL103" s="28">
        <f t="shared" si="58"/>
        <v>0</v>
      </c>
      <c r="AM103" s="28">
        <f t="shared" si="58"/>
        <v>0</v>
      </c>
      <c r="AN103" s="28">
        <f t="shared" si="58"/>
        <v>0</v>
      </c>
      <c r="AO103" s="28">
        <f t="shared" si="58"/>
        <v>0</v>
      </c>
      <c r="AP103" s="28">
        <f t="shared" si="58"/>
        <v>0</v>
      </c>
      <c r="AQ103" s="28">
        <f t="shared" si="58"/>
        <v>0</v>
      </c>
      <c r="AR103" s="28">
        <f t="shared" si="58"/>
        <v>0</v>
      </c>
      <c r="AS103" s="28">
        <f t="shared" si="58"/>
        <v>0</v>
      </c>
      <c r="AT103" s="28">
        <f t="shared" si="58"/>
        <v>0</v>
      </c>
      <c r="AU103" s="28">
        <f t="shared" si="58"/>
        <v>0</v>
      </c>
      <c r="AV103" s="28">
        <f t="shared" si="58"/>
        <v>0</v>
      </c>
      <c r="AW103" s="28">
        <f t="shared" si="58"/>
        <v>0</v>
      </c>
      <c r="AX103" s="28">
        <f t="shared" ref="AX103:AY103" si="59">COUNTIF(AZ15,"=1")+COUNTIF(AZ25,"=1")+COUNTIF(AZ35,"=1")+COUNTIF(AZ45,"=1")+COUNTIF(AZ55,"=1")+COUNTIF(AZ65,"=1")+COUNTIF(AZ75,"=1")+COUNTIF(AZ85,"=1")+COUNTIF(AZ84,"=2")</f>
        <v>0</v>
      </c>
      <c r="AY103" s="28">
        <f t="shared" si="59"/>
        <v>0</v>
      </c>
      <c r="AZ103" s="28" t="str">
        <f>COUNTIF(#REF!,"=1")+COUNTIF(#REF!,"=1")+COUNTIF(#REF!,"=1")+COUNTIF(#REF!,"=1")+COUNTIF(#REF!,"=1")+COUNTIF(#REF!,"=1")+COUNTIF(#REF!,"=1")+COUNTIF(#REF!,"=1")+COUNTIF(#REF!,"=2")</f>
        <v>#REF!</v>
      </c>
      <c r="BA103" s="28">
        <f t="shared" ref="BA103:BT103" si="60">COUNTIF(BC15,"=1")+COUNTIF(BC25,"=1")+COUNTIF(BC35,"=1")+COUNTIF(BC45,"=1")+COUNTIF(BC55,"=1")+COUNTIF(BC65,"=1")+COUNTIF(BC75,"=1")+COUNTIF(BC85,"=1")+COUNTIF(BC84,"=2")</f>
        <v>0</v>
      </c>
      <c r="BB103" s="28">
        <f t="shared" si="60"/>
        <v>0</v>
      </c>
      <c r="BC103" s="28">
        <f t="shared" si="60"/>
        <v>0</v>
      </c>
      <c r="BD103" s="28">
        <f t="shared" si="60"/>
        <v>0</v>
      </c>
      <c r="BE103" s="28">
        <f t="shared" si="60"/>
        <v>0</v>
      </c>
      <c r="BF103" s="28">
        <f t="shared" si="60"/>
        <v>0</v>
      </c>
      <c r="BG103" s="28">
        <f t="shared" si="60"/>
        <v>0</v>
      </c>
      <c r="BH103" s="28">
        <f t="shared" si="60"/>
        <v>0</v>
      </c>
      <c r="BI103" s="28">
        <f t="shared" si="60"/>
        <v>0</v>
      </c>
      <c r="BJ103" s="28">
        <f t="shared" si="60"/>
        <v>0</v>
      </c>
      <c r="BK103" s="28">
        <f t="shared" si="60"/>
        <v>0</v>
      </c>
      <c r="BL103" s="28">
        <f t="shared" si="60"/>
        <v>0</v>
      </c>
      <c r="BM103" s="28">
        <f t="shared" si="60"/>
        <v>0</v>
      </c>
      <c r="BN103" s="28">
        <f t="shared" si="60"/>
        <v>0</v>
      </c>
      <c r="BO103" s="28">
        <f t="shared" si="60"/>
        <v>0</v>
      </c>
      <c r="BP103" s="28">
        <f t="shared" si="60"/>
        <v>0</v>
      </c>
      <c r="BQ103" s="28">
        <f t="shared" si="60"/>
        <v>0</v>
      </c>
      <c r="BR103" s="28">
        <f t="shared" si="60"/>
        <v>0</v>
      </c>
      <c r="BS103" s="28">
        <f t="shared" si="60"/>
        <v>0</v>
      </c>
      <c r="BT103" s="28">
        <f t="shared" si="60"/>
        <v>0</v>
      </c>
      <c r="BU103" s="28">
        <f>COUNTIF(BB15,"=1")+COUNTIF(BB25,"=1")+COUNTIF(BB35,"=1")+COUNTIF(BB45,"=1")+COUNTIF(BB55,"=1")+COUNTIF(BB65,"=1")+COUNTIF(BB75,"=1")+COUNTIF(BB85,"=1")+COUNTIF(BB84,"=2")</f>
        <v>0</v>
      </c>
      <c r="BV103" s="28">
        <f t="shared" ref="BV103:CP103" si="61">COUNTIF(BX15,"=1")+COUNTIF(BX25,"=1")+COUNTIF(BX35,"=1")+COUNTIF(BX45,"=1")+COUNTIF(BX55,"=1")+COUNTIF(BX65,"=1")+COUNTIF(BX75,"=1")+COUNTIF(BX85,"=1")+COUNTIF(BX84,"=2")</f>
        <v>0</v>
      </c>
      <c r="BW103" s="28">
        <f t="shared" si="61"/>
        <v>0</v>
      </c>
      <c r="BX103" s="28">
        <f t="shared" si="61"/>
        <v>0</v>
      </c>
      <c r="BY103" s="28">
        <f t="shared" si="61"/>
        <v>0</v>
      </c>
      <c r="BZ103" s="28">
        <f t="shared" si="61"/>
        <v>0</v>
      </c>
      <c r="CA103" s="28">
        <f t="shared" si="61"/>
        <v>0</v>
      </c>
      <c r="CB103" s="28">
        <f t="shared" si="61"/>
        <v>0</v>
      </c>
      <c r="CC103" s="28">
        <f t="shared" si="61"/>
        <v>0</v>
      </c>
      <c r="CD103" s="28">
        <f t="shared" si="61"/>
        <v>0</v>
      </c>
      <c r="CE103" s="28">
        <f t="shared" si="61"/>
        <v>0</v>
      </c>
      <c r="CF103" s="28">
        <f t="shared" si="61"/>
        <v>0</v>
      </c>
      <c r="CG103" s="28">
        <f t="shared" si="61"/>
        <v>0</v>
      </c>
      <c r="CH103" s="28">
        <f t="shared" si="61"/>
        <v>0</v>
      </c>
      <c r="CI103" s="28">
        <f t="shared" si="61"/>
        <v>0</v>
      </c>
      <c r="CJ103" s="28">
        <f t="shared" si="61"/>
        <v>0</v>
      </c>
      <c r="CK103" s="28">
        <f t="shared" si="61"/>
        <v>0</v>
      </c>
      <c r="CL103" s="28">
        <f t="shared" si="61"/>
        <v>0</v>
      </c>
      <c r="CM103" s="28">
        <f t="shared" si="61"/>
        <v>0</v>
      </c>
      <c r="CN103" s="28">
        <f t="shared" si="61"/>
        <v>0</v>
      </c>
      <c r="CO103" s="28">
        <f t="shared" si="61"/>
        <v>0</v>
      </c>
      <c r="CP103" s="28">
        <f t="shared" si="61"/>
        <v>0</v>
      </c>
      <c r="CQ103" s="28" t="str">
        <f t="shared" ref="CQ103:CR103" si="62">COUNTIF(#REF!,"=1")+COUNTIF(#REF!,"=1")+COUNTIF(#REF!,"=1")+COUNTIF(#REF!,"=1")+COUNTIF(#REF!,"=1")+COUNTIF(#REF!,"=1")+COUNTIF(#REF!,"=1")+COUNTIF(#REF!,"=1")+COUNTIF(#REF!,"=2")</f>
        <v>#REF!</v>
      </c>
      <c r="CR103" s="28" t="str">
        <f t="shared" si="62"/>
        <v>#REF!</v>
      </c>
      <c r="CS103" s="28">
        <f t="shared" ref="CS103:IQ103" si="63">COUNTIF(CS15,"=1")+COUNTIF(CS25,"=1")+COUNTIF(CS35,"=1")+COUNTIF(CS45,"=1")+COUNTIF(CS55,"=1")+COUNTIF(CS65,"=1")+COUNTIF(CS75,"=1")+COUNTIF(CS85,"=1")+COUNTIF(CS84,"=2")</f>
        <v>0</v>
      </c>
      <c r="CT103" s="28">
        <f t="shared" si="63"/>
        <v>0</v>
      </c>
      <c r="CU103" s="28">
        <f t="shared" si="63"/>
        <v>0</v>
      </c>
      <c r="CV103" s="28">
        <f t="shared" si="63"/>
        <v>0</v>
      </c>
      <c r="CW103" s="28">
        <f t="shared" si="63"/>
        <v>0</v>
      </c>
      <c r="CX103" s="28">
        <f t="shared" si="63"/>
        <v>0</v>
      </c>
      <c r="CY103" s="28">
        <f t="shared" si="63"/>
        <v>0</v>
      </c>
      <c r="CZ103" s="28">
        <f t="shared" si="63"/>
        <v>0</v>
      </c>
      <c r="DA103" s="28">
        <f t="shared" si="63"/>
        <v>0</v>
      </c>
      <c r="DB103" s="28">
        <f t="shared" si="63"/>
        <v>0</v>
      </c>
      <c r="DC103" s="28">
        <f t="shared" si="63"/>
        <v>0</v>
      </c>
      <c r="DD103" s="28">
        <f t="shared" si="63"/>
        <v>0</v>
      </c>
      <c r="DE103" s="28">
        <f t="shared" si="63"/>
        <v>0</v>
      </c>
      <c r="DF103" s="28">
        <f t="shared" si="63"/>
        <v>0</v>
      </c>
      <c r="DG103" s="28">
        <f t="shared" si="63"/>
        <v>0</v>
      </c>
      <c r="DH103" s="28">
        <f t="shared" si="63"/>
        <v>0</v>
      </c>
      <c r="DI103" s="28">
        <f t="shared" si="63"/>
        <v>0</v>
      </c>
      <c r="DJ103" s="28">
        <f t="shared" si="63"/>
        <v>0</v>
      </c>
      <c r="DK103" s="28">
        <f t="shared" si="63"/>
        <v>0</v>
      </c>
      <c r="DL103" s="28">
        <f t="shared" si="63"/>
        <v>0</v>
      </c>
      <c r="DM103" s="28">
        <f t="shared" si="63"/>
        <v>0</v>
      </c>
      <c r="DN103" s="28">
        <f t="shared" si="63"/>
        <v>0</v>
      </c>
      <c r="DO103" s="28">
        <f t="shared" si="63"/>
        <v>0</v>
      </c>
      <c r="DP103" s="28">
        <f t="shared" si="63"/>
        <v>0</v>
      </c>
      <c r="DQ103" s="28">
        <f t="shared" si="63"/>
        <v>0</v>
      </c>
      <c r="DR103" s="28">
        <f t="shared" si="63"/>
        <v>0</v>
      </c>
      <c r="DS103" s="28">
        <f t="shared" si="63"/>
        <v>0</v>
      </c>
      <c r="DT103" s="28">
        <f t="shared" si="63"/>
        <v>0</v>
      </c>
      <c r="DU103" s="28">
        <f t="shared" si="63"/>
        <v>0</v>
      </c>
      <c r="DV103" s="28">
        <f t="shared" si="63"/>
        <v>0</v>
      </c>
      <c r="DW103" s="28">
        <f t="shared" si="63"/>
        <v>0</v>
      </c>
      <c r="DX103" s="28">
        <f t="shared" si="63"/>
        <v>0</v>
      </c>
      <c r="DY103" s="28">
        <f t="shared" si="63"/>
        <v>0</v>
      </c>
      <c r="DZ103" s="28">
        <f t="shared" si="63"/>
        <v>0</v>
      </c>
      <c r="EA103" s="28">
        <f t="shared" si="63"/>
        <v>0</v>
      </c>
      <c r="EB103" s="28">
        <f t="shared" si="63"/>
        <v>0</v>
      </c>
      <c r="EC103" s="28">
        <f t="shared" si="63"/>
        <v>0</v>
      </c>
      <c r="ED103" s="28">
        <f t="shared" si="63"/>
        <v>0</v>
      </c>
      <c r="EE103" s="28">
        <f t="shared" si="63"/>
        <v>0</v>
      </c>
      <c r="EF103" s="28">
        <f t="shared" si="63"/>
        <v>0</v>
      </c>
      <c r="EG103" s="28">
        <f t="shared" si="63"/>
        <v>0</v>
      </c>
      <c r="EH103" s="28">
        <f t="shared" si="63"/>
        <v>0</v>
      </c>
      <c r="EI103" s="28">
        <f t="shared" si="63"/>
        <v>0</v>
      </c>
      <c r="EJ103" s="28">
        <f t="shared" si="63"/>
        <v>0</v>
      </c>
      <c r="EK103" s="28">
        <f t="shared" si="63"/>
        <v>0</v>
      </c>
      <c r="EL103" s="28">
        <f t="shared" si="63"/>
        <v>0</v>
      </c>
      <c r="EM103" s="28">
        <f t="shared" si="63"/>
        <v>0</v>
      </c>
      <c r="EN103" s="28">
        <f t="shared" si="63"/>
        <v>0</v>
      </c>
      <c r="EO103" s="28">
        <f t="shared" si="63"/>
        <v>0</v>
      </c>
      <c r="EP103" s="28">
        <f t="shared" si="63"/>
        <v>0</v>
      </c>
      <c r="EQ103" s="28">
        <f t="shared" si="63"/>
        <v>0</v>
      </c>
      <c r="ER103" s="28">
        <f t="shared" si="63"/>
        <v>0</v>
      </c>
      <c r="ES103" s="28">
        <f t="shared" si="63"/>
        <v>0</v>
      </c>
      <c r="ET103" s="28">
        <f t="shared" si="63"/>
        <v>0</v>
      </c>
      <c r="EU103" s="28">
        <f t="shared" si="63"/>
        <v>0</v>
      </c>
      <c r="EV103" s="28">
        <f t="shared" si="63"/>
        <v>0</v>
      </c>
      <c r="EW103" s="28">
        <f t="shared" si="63"/>
        <v>0</v>
      </c>
      <c r="EX103" s="28">
        <f t="shared" si="63"/>
        <v>0</v>
      </c>
      <c r="EY103" s="28">
        <f t="shared" si="63"/>
        <v>0</v>
      </c>
      <c r="EZ103" s="28">
        <f t="shared" si="63"/>
        <v>0</v>
      </c>
      <c r="FA103" s="28">
        <f t="shared" si="63"/>
        <v>0</v>
      </c>
      <c r="FB103" s="28">
        <f t="shared" si="63"/>
        <v>0</v>
      </c>
      <c r="FC103" s="28">
        <f t="shared" si="63"/>
        <v>0</v>
      </c>
      <c r="FD103" s="28">
        <f t="shared" si="63"/>
        <v>0</v>
      </c>
      <c r="FE103" s="28">
        <f t="shared" si="63"/>
        <v>0</v>
      </c>
      <c r="FF103" s="28">
        <f t="shared" si="63"/>
        <v>0</v>
      </c>
      <c r="FG103" s="28">
        <f t="shared" si="63"/>
        <v>0</v>
      </c>
      <c r="FH103" s="28">
        <f t="shared" si="63"/>
        <v>0</v>
      </c>
      <c r="FI103" s="28">
        <f t="shared" si="63"/>
        <v>0</v>
      </c>
      <c r="FJ103" s="28">
        <f t="shared" si="63"/>
        <v>0</v>
      </c>
      <c r="FK103" s="28">
        <f t="shared" si="63"/>
        <v>0</v>
      </c>
      <c r="FL103" s="28">
        <f t="shared" si="63"/>
        <v>0</v>
      </c>
      <c r="FM103" s="28">
        <f t="shared" si="63"/>
        <v>0</v>
      </c>
      <c r="FN103" s="28">
        <f t="shared" si="63"/>
        <v>0</v>
      </c>
      <c r="FO103" s="28">
        <f t="shared" si="63"/>
        <v>0</v>
      </c>
      <c r="FP103" s="28">
        <f t="shared" si="63"/>
        <v>0</v>
      </c>
      <c r="FQ103" s="28">
        <f t="shared" si="63"/>
        <v>0</v>
      </c>
      <c r="FR103" s="28">
        <f t="shared" si="63"/>
        <v>0</v>
      </c>
      <c r="FS103" s="28">
        <f t="shared" si="63"/>
        <v>0</v>
      </c>
      <c r="FT103" s="28">
        <f t="shared" si="63"/>
        <v>0</v>
      </c>
      <c r="FU103" s="28">
        <f t="shared" si="63"/>
        <v>0</v>
      </c>
      <c r="FV103" s="28">
        <f t="shared" si="63"/>
        <v>0</v>
      </c>
      <c r="FW103" s="28">
        <f t="shared" si="63"/>
        <v>0</v>
      </c>
      <c r="FX103" s="28">
        <f t="shared" si="63"/>
        <v>0</v>
      </c>
      <c r="FY103" s="28">
        <f t="shared" si="63"/>
        <v>0</v>
      </c>
      <c r="FZ103" s="28">
        <f t="shared" si="63"/>
        <v>0</v>
      </c>
      <c r="GA103" s="28">
        <f t="shared" si="63"/>
        <v>0</v>
      </c>
      <c r="GB103" s="28">
        <f t="shared" si="63"/>
        <v>0</v>
      </c>
      <c r="GC103" s="28">
        <f t="shared" si="63"/>
        <v>0</v>
      </c>
      <c r="GD103" s="28">
        <f t="shared" si="63"/>
        <v>0</v>
      </c>
      <c r="GE103" s="28">
        <f t="shared" si="63"/>
        <v>0</v>
      </c>
      <c r="GF103" s="28">
        <f t="shared" si="63"/>
        <v>0</v>
      </c>
      <c r="GG103" s="28">
        <f t="shared" si="63"/>
        <v>0</v>
      </c>
      <c r="GH103" s="28">
        <f t="shared" si="63"/>
        <v>0</v>
      </c>
      <c r="GI103" s="28">
        <f t="shared" si="63"/>
        <v>0</v>
      </c>
      <c r="GJ103" s="28">
        <f t="shared" si="63"/>
        <v>0</v>
      </c>
      <c r="GK103" s="28">
        <f t="shared" si="63"/>
        <v>0</v>
      </c>
      <c r="GL103" s="28">
        <f t="shared" si="63"/>
        <v>0</v>
      </c>
      <c r="GM103" s="28">
        <f t="shared" si="63"/>
        <v>0</v>
      </c>
      <c r="GN103" s="28">
        <f t="shared" si="63"/>
        <v>0</v>
      </c>
      <c r="GO103" s="28">
        <f t="shared" si="63"/>
        <v>0</v>
      </c>
      <c r="GP103" s="28">
        <f t="shared" si="63"/>
        <v>0</v>
      </c>
      <c r="GQ103" s="28">
        <f t="shared" si="63"/>
        <v>0</v>
      </c>
      <c r="GR103" s="28">
        <f t="shared" si="63"/>
        <v>0</v>
      </c>
      <c r="GS103" s="28">
        <f t="shared" si="63"/>
        <v>0</v>
      </c>
      <c r="GT103" s="28">
        <f t="shared" si="63"/>
        <v>0</v>
      </c>
      <c r="GU103" s="28">
        <f t="shared" si="63"/>
        <v>0</v>
      </c>
      <c r="GV103" s="28">
        <f t="shared" si="63"/>
        <v>0</v>
      </c>
      <c r="GW103" s="28">
        <f t="shared" si="63"/>
        <v>0</v>
      </c>
      <c r="GX103" s="28">
        <f t="shared" si="63"/>
        <v>0</v>
      </c>
      <c r="GY103" s="28">
        <f t="shared" si="63"/>
        <v>0</v>
      </c>
      <c r="GZ103" s="28">
        <f t="shared" si="63"/>
        <v>0</v>
      </c>
      <c r="HA103" s="28">
        <f t="shared" si="63"/>
        <v>0</v>
      </c>
      <c r="HB103" s="28">
        <f t="shared" si="63"/>
        <v>0</v>
      </c>
      <c r="HC103" s="28">
        <f t="shared" si="63"/>
        <v>0</v>
      </c>
      <c r="HD103" s="28">
        <f t="shared" si="63"/>
        <v>0</v>
      </c>
      <c r="HE103" s="28">
        <f t="shared" si="63"/>
        <v>0</v>
      </c>
      <c r="HF103" s="28">
        <f t="shared" si="63"/>
        <v>0</v>
      </c>
      <c r="HG103" s="28">
        <f t="shared" si="63"/>
        <v>0</v>
      </c>
      <c r="HH103" s="28">
        <f t="shared" si="63"/>
        <v>0</v>
      </c>
      <c r="HI103" s="28">
        <f t="shared" si="63"/>
        <v>0</v>
      </c>
      <c r="HJ103" s="28">
        <f t="shared" si="63"/>
        <v>0</v>
      </c>
      <c r="HK103" s="28">
        <f t="shared" si="63"/>
        <v>0</v>
      </c>
      <c r="HL103" s="28">
        <f t="shared" si="63"/>
        <v>0</v>
      </c>
      <c r="HM103" s="28">
        <f t="shared" si="63"/>
        <v>0</v>
      </c>
      <c r="HN103" s="28">
        <f t="shared" si="63"/>
        <v>0</v>
      </c>
      <c r="HO103" s="28">
        <f t="shared" si="63"/>
        <v>0</v>
      </c>
      <c r="HP103" s="28">
        <f t="shared" si="63"/>
        <v>0</v>
      </c>
      <c r="HQ103" s="28">
        <f t="shared" si="63"/>
        <v>0</v>
      </c>
      <c r="HR103" s="28">
        <f t="shared" si="63"/>
        <v>0</v>
      </c>
      <c r="HS103" s="28">
        <f t="shared" si="63"/>
        <v>0</v>
      </c>
      <c r="HT103" s="28">
        <f t="shared" si="63"/>
        <v>0</v>
      </c>
      <c r="HU103" s="28">
        <f t="shared" si="63"/>
        <v>0</v>
      </c>
      <c r="HV103" s="28">
        <f t="shared" si="63"/>
        <v>0</v>
      </c>
      <c r="HW103" s="28">
        <f t="shared" si="63"/>
        <v>0</v>
      </c>
      <c r="HX103" s="28">
        <f t="shared" si="63"/>
        <v>0</v>
      </c>
      <c r="HY103" s="28">
        <f t="shared" si="63"/>
        <v>0</v>
      </c>
      <c r="HZ103" s="28">
        <f t="shared" si="63"/>
        <v>0</v>
      </c>
      <c r="IA103" s="28">
        <f t="shared" si="63"/>
        <v>0</v>
      </c>
      <c r="IB103" s="28">
        <f t="shared" si="63"/>
        <v>0</v>
      </c>
      <c r="IC103" s="28">
        <f t="shared" si="63"/>
        <v>0</v>
      </c>
      <c r="ID103" s="28">
        <f t="shared" si="63"/>
        <v>0</v>
      </c>
      <c r="IE103" s="28">
        <f t="shared" si="63"/>
        <v>0</v>
      </c>
      <c r="IF103" s="28">
        <f t="shared" si="63"/>
        <v>0</v>
      </c>
      <c r="IG103" s="28">
        <f t="shared" si="63"/>
        <v>0</v>
      </c>
      <c r="IH103" s="28">
        <f t="shared" si="63"/>
        <v>0</v>
      </c>
      <c r="II103" s="28">
        <f t="shared" si="63"/>
        <v>0</v>
      </c>
      <c r="IJ103" s="28">
        <f t="shared" si="63"/>
        <v>0</v>
      </c>
      <c r="IK103" s="28">
        <f t="shared" si="63"/>
        <v>0</v>
      </c>
      <c r="IL103" s="28">
        <f t="shared" si="63"/>
        <v>0</v>
      </c>
      <c r="IM103" s="28">
        <f t="shared" si="63"/>
        <v>0</v>
      </c>
      <c r="IN103" s="28">
        <f t="shared" si="63"/>
        <v>0</v>
      </c>
      <c r="IO103" s="28">
        <f t="shared" si="63"/>
        <v>0</v>
      </c>
      <c r="IP103" s="28">
        <f t="shared" si="63"/>
        <v>0</v>
      </c>
      <c r="IQ103" s="28">
        <f t="shared" si="63"/>
        <v>0</v>
      </c>
      <c r="IR103" s="28"/>
      <c r="IS103" s="28"/>
      <c r="IT103" s="28"/>
      <c r="IU103" s="28"/>
      <c r="IV103" s="28"/>
    </row>
    <row r="104" ht="11.25" customHeight="1">
      <c r="A104" s="27" t="s">
        <v>126</v>
      </c>
      <c r="B104" s="28">
        <f t="shared" ref="B104:D104" si="64">COUNTIF(B4,"=1")+COUNTIF(B14,"=1")+COUNTIF(B24,"=1")+COUNTIF(B34,"=1")+COUNTIF(B44,"=1")+COUNTIF(B54,"=1")+COUNTIF(B64,"=1")+COUNTIF(B74,"=1")+COUNTIF(B84,"=1")</f>
        <v>7</v>
      </c>
      <c r="C104" s="28">
        <f t="shared" si="64"/>
        <v>7</v>
      </c>
      <c r="D104" s="28">
        <f t="shared" si="64"/>
        <v>7</v>
      </c>
      <c r="E104" s="28" t="str">
        <f t="shared" ref="E104:E105" si="72">COUNTIF(#REF!,"=1")+COUNTIF(#REF!,"=1")+COUNTIF(#REF!,"=1")+COUNTIF(#REF!,"=1")+COUNTIF(#REF!,"=1")+COUNTIF(#REF!,"=1")+COUNTIF(#REF!,"=1")+COUNTIF(#REF!,"=1")+COUNTIF(#REF!,"=1")</f>
        <v>#REF!</v>
      </c>
      <c r="F104" s="28">
        <f t="shared" ref="F104:AW104" si="65">COUNTIF(F4,"=1")+COUNTIF(F14,"=1")+COUNTIF(F24,"=1")+COUNTIF(F34,"=1")+COUNTIF(F44,"=1")+COUNTIF(F54,"=1")+COUNTIF(F64,"=1")+COUNTIF(F74,"=1")+COUNTIF(F84,"=1")</f>
        <v>7</v>
      </c>
      <c r="G104" s="28">
        <f t="shared" si="65"/>
        <v>0</v>
      </c>
      <c r="H104" s="28">
        <f t="shared" si="65"/>
        <v>0</v>
      </c>
      <c r="I104" s="28">
        <f t="shared" si="65"/>
        <v>0</v>
      </c>
      <c r="J104" s="28">
        <f t="shared" si="65"/>
        <v>0</v>
      </c>
      <c r="K104" s="28">
        <f t="shared" si="65"/>
        <v>0</v>
      </c>
      <c r="L104" s="28">
        <f t="shared" si="65"/>
        <v>0</v>
      </c>
      <c r="M104" s="28">
        <f t="shared" si="65"/>
        <v>0</v>
      </c>
      <c r="N104" s="28">
        <f t="shared" si="65"/>
        <v>0</v>
      </c>
      <c r="O104" s="28">
        <f t="shared" si="65"/>
        <v>0</v>
      </c>
      <c r="P104" s="28">
        <f t="shared" si="65"/>
        <v>0</v>
      </c>
      <c r="Q104" s="28">
        <f t="shared" si="65"/>
        <v>0</v>
      </c>
      <c r="R104" s="28">
        <f t="shared" si="65"/>
        <v>0</v>
      </c>
      <c r="S104" s="28">
        <f t="shared" si="65"/>
        <v>0</v>
      </c>
      <c r="T104" s="28">
        <f t="shared" si="65"/>
        <v>0</v>
      </c>
      <c r="U104" s="28">
        <f t="shared" si="65"/>
        <v>0</v>
      </c>
      <c r="V104" s="28">
        <f t="shared" si="65"/>
        <v>0</v>
      </c>
      <c r="W104" s="28">
        <f t="shared" si="65"/>
        <v>0</v>
      </c>
      <c r="X104" s="28">
        <f t="shared" si="65"/>
        <v>0</v>
      </c>
      <c r="Y104" s="28">
        <f t="shared" si="65"/>
        <v>0</v>
      </c>
      <c r="Z104" s="28">
        <f t="shared" si="65"/>
        <v>0</v>
      </c>
      <c r="AA104" s="28">
        <f t="shared" si="65"/>
        <v>0</v>
      </c>
      <c r="AB104" s="28">
        <f t="shared" si="65"/>
        <v>0</v>
      </c>
      <c r="AC104" s="28">
        <f t="shared" si="65"/>
        <v>0</v>
      </c>
      <c r="AD104" s="28">
        <f t="shared" si="65"/>
        <v>0</v>
      </c>
      <c r="AE104" s="28">
        <f t="shared" si="65"/>
        <v>0</v>
      </c>
      <c r="AF104" s="28">
        <f t="shared" si="65"/>
        <v>0</v>
      </c>
      <c r="AG104" s="28">
        <f t="shared" si="65"/>
        <v>0</v>
      </c>
      <c r="AH104" s="28">
        <f t="shared" si="65"/>
        <v>0</v>
      </c>
      <c r="AI104" s="28">
        <f t="shared" si="65"/>
        <v>0</v>
      </c>
      <c r="AJ104" s="28">
        <f t="shared" si="65"/>
        <v>0</v>
      </c>
      <c r="AK104" s="28">
        <f t="shared" si="65"/>
        <v>0</v>
      </c>
      <c r="AL104" s="28">
        <f t="shared" si="65"/>
        <v>0</v>
      </c>
      <c r="AM104" s="28">
        <f t="shared" si="65"/>
        <v>0</v>
      </c>
      <c r="AN104" s="28">
        <f t="shared" si="65"/>
        <v>0</v>
      </c>
      <c r="AO104" s="28">
        <f t="shared" si="65"/>
        <v>0</v>
      </c>
      <c r="AP104" s="28">
        <f t="shared" si="65"/>
        <v>0</v>
      </c>
      <c r="AQ104" s="28">
        <f t="shared" si="65"/>
        <v>0</v>
      </c>
      <c r="AR104" s="28">
        <f t="shared" si="65"/>
        <v>0</v>
      </c>
      <c r="AS104" s="28">
        <f t="shared" si="65"/>
        <v>0</v>
      </c>
      <c r="AT104" s="28">
        <f t="shared" si="65"/>
        <v>0</v>
      </c>
      <c r="AU104" s="28">
        <f t="shared" si="65"/>
        <v>0</v>
      </c>
      <c r="AV104" s="28">
        <f t="shared" si="65"/>
        <v>0</v>
      </c>
      <c r="AW104" s="28">
        <f t="shared" si="65"/>
        <v>0</v>
      </c>
      <c r="AX104" s="28">
        <f t="shared" ref="AX104:AY104" si="66">COUNTIF(AZ4,"=1")+COUNTIF(AZ14,"=1")+COUNTIF(AZ24,"=1")+COUNTIF(AZ34,"=1")+COUNTIF(AZ44,"=1")+COUNTIF(AZ54,"=1")+COUNTIF(AZ64,"=1")+COUNTIF(AZ74,"=1")+COUNTIF(AZ84,"=1")</f>
        <v>0</v>
      </c>
      <c r="AY104" s="28">
        <f t="shared" si="66"/>
        <v>0</v>
      </c>
      <c r="AZ104" s="28" t="str">
        <f t="shared" ref="AZ104:AZ105" si="75">COUNTIF(#REF!,"=1")+COUNTIF(#REF!,"=1")+COUNTIF(#REF!,"=1")+COUNTIF(#REF!,"=1")+COUNTIF(#REF!,"=1")+COUNTIF(#REF!,"=1")+COUNTIF(#REF!,"=1")+COUNTIF(#REF!,"=1")+COUNTIF(#REF!,"=1")</f>
        <v>#REF!</v>
      </c>
      <c r="BA104" s="28">
        <f t="shared" ref="BA104:BT104" si="67">COUNTIF(BC4,"=1")+COUNTIF(BC14,"=1")+COUNTIF(BC24,"=1")+COUNTIF(BC34,"=1")+COUNTIF(BC44,"=1")+COUNTIF(BC54,"=1")+COUNTIF(BC64,"=1")+COUNTIF(BC74,"=1")+COUNTIF(BC84,"=1")</f>
        <v>0</v>
      </c>
      <c r="BB104" s="28">
        <f t="shared" si="67"/>
        <v>0</v>
      </c>
      <c r="BC104" s="28">
        <f t="shared" si="67"/>
        <v>0</v>
      </c>
      <c r="BD104" s="28">
        <f t="shared" si="67"/>
        <v>0</v>
      </c>
      <c r="BE104" s="28">
        <f t="shared" si="67"/>
        <v>0</v>
      </c>
      <c r="BF104" s="28">
        <f t="shared" si="67"/>
        <v>0</v>
      </c>
      <c r="BG104" s="28">
        <f t="shared" si="67"/>
        <v>0</v>
      </c>
      <c r="BH104" s="28">
        <f t="shared" si="67"/>
        <v>0</v>
      </c>
      <c r="BI104" s="28">
        <f t="shared" si="67"/>
        <v>0</v>
      </c>
      <c r="BJ104" s="28">
        <f t="shared" si="67"/>
        <v>0</v>
      </c>
      <c r="BK104" s="28">
        <f t="shared" si="67"/>
        <v>0</v>
      </c>
      <c r="BL104" s="28">
        <f t="shared" si="67"/>
        <v>0</v>
      </c>
      <c r="BM104" s="28">
        <f t="shared" si="67"/>
        <v>0</v>
      </c>
      <c r="BN104" s="28">
        <f t="shared" si="67"/>
        <v>0</v>
      </c>
      <c r="BO104" s="28">
        <f t="shared" si="67"/>
        <v>0</v>
      </c>
      <c r="BP104" s="28">
        <f t="shared" si="67"/>
        <v>0</v>
      </c>
      <c r="BQ104" s="28">
        <f t="shared" si="67"/>
        <v>0</v>
      </c>
      <c r="BR104" s="28">
        <f t="shared" si="67"/>
        <v>0</v>
      </c>
      <c r="BS104" s="28">
        <f t="shared" si="67"/>
        <v>0</v>
      </c>
      <c r="BT104" s="28">
        <f t="shared" si="67"/>
        <v>0</v>
      </c>
      <c r="BU104" s="28">
        <f>COUNTIF(BB4,"=1")+COUNTIF(BB14,"=1")+COUNTIF(BB24,"=1")+COUNTIF(BB34,"=1")+COUNTIF(BB44,"=1")+COUNTIF(BB54,"=1")+COUNTIF(BB64,"=1")+COUNTIF(BB74,"=1")+COUNTIF(BB84,"=1")</f>
        <v>0</v>
      </c>
      <c r="BV104" s="28">
        <f t="shared" ref="BV104:CP104" si="68">COUNTIF(BX4,"=1")+COUNTIF(BX14,"=1")+COUNTIF(BX24,"=1")+COUNTIF(BX34,"=1")+COUNTIF(BX44,"=1")+COUNTIF(BX54,"=1")+COUNTIF(BX64,"=1")+COUNTIF(BX74,"=1")+COUNTIF(BX84,"=1")</f>
        <v>0</v>
      </c>
      <c r="BW104" s="28">
        <f t="shared" si="68"/>
        <v>0</v>
      </c>
      <c r="BX104" s="28">
        <f t="shared" si="68"/>
        <v>0</v>
      </c>
      <c r="BY104" s="28">
        <f t="shared" si="68"/>
        <v>0</v>
      </c>
      <c r="BZ104" s="28">
        <f t="shared" si="68"/>
        <v>0</v>
      </c>
      <c r="CA104" s="28">
        <f t="shared" si="68"/>
        <v>0</v>
      </c>
      <c r="CB104" s="28">
        <f t="shared" si="68"/>
        <v>0</v>
      </c>
      <c r="CC104" s="28">
        <f t="shared" si="68"/>
        <v>0</v>
      </c>
      <c r="CD104" s="28">
        <f t="shared" si="68"/>
        <v>0</v>
      </c>
      <c r="CE104" s="28">
        <f t="shared" si="68"/>
        <v>0</v>
      </c>
      <c r="CF104" s="28">
        <f t="shared" si="68"/>
        <v>0</v>
      </c>
      <c r="CG104" s="28">
        <f t="shared" si="68"/>
        <v>0</v>
      </c>
      <c r="CH104" s="28">
        <f t="shared" si="68"/>
        <v>0</v>
      </c>
      <c r="CI104" s="28">
        <f t="shared" si="68"/>
        <v>0</v>
      </c>
      <c r="CJ104" s="28">
        <f t="shared" si="68"/>
        <v>0</v>
      </c>
      <c r="CK104" s="28">
        <f t="shared" si="68"/>
        <v>0</v>
      </c>
      <c r="CL104" s="28">
        <f t="shared" si="68"/>
        <v>0</v>
      </c>
      <c r="CM104" s="28">
        <f t="shared" si="68"/>
        <v>0</v>
      </c>
      <c r="CN104" s="28">
        <f t="shared" si="68"/>
        <v>0</v>
      </c>
      <c r="CO104" s="28">
        <f t="shared" si="68"/>
        <v>0</v>
      </c>
      <c r="CP104" s="28">
        <f t="shared" si="68"/>
        <v>0</v>
      </c>
      <c r="CQ104" s="28" t="str">
        <f t="shared" ref="CQ104:CR104" si="69">COUNTIF(#REF!,"=1")+COUNTIF(#REF!,"=1")+COUNTIF(#REF!,"=1")+COUNTIF(#REF!,"=1")+COUNTIF(#REF!,"=1")+COUNTIF(#REF!,"=1")+COUNTIF(#REF!,"=1")+COUNTIF(#REF!,"=1")+COUNTIF(#REF!,"=1")</f>
        <v>#REF!</v>
      </c>
      <c r="CR104" s="28" t="str">
        <f t="shared" si="69"/>
        <v>#REF!</v>
      </c>
      <c r="CS104" s="28">
        <f t="shared" ref="CS104:IQ104" si="70">COUNTIF(CS4,"=1")+COUNTIF(CS14,"=1")+COUNTIF(CS24,"=1")+COUNTIF(CS34,"=1")+COUNTIF(CS44,"=1")+COUNTIF(CS54,"=1")+COUNTIF(CS64,"=1")+COUNTIF(CS74,"=1")+COUNTIF(CS84,"=1")</f>
        <v>0</v>
      </c>
      <c r="CT104" s="28">
        <f t="shared" si="70"/>
        <v>0</v>
      </c>
      <c r="CU104" s="28">
        <f t="shared" si="70"/>
        <v>0</v>
      </c>
      <c r="CV104" s="28">
        <f t="shared" si="70"/>
        <v>0</v>
      </c>
      <c r="CW104" s="28">
        <f t="shared" si="70"/>
        <v>0</v>
      </c>
      <c r="CX104" s="28">
        <f t="shared" si="70"/>
        <v>0</v>
      </c>
      <c r="CY104" s="28">
        <f t="shared" si="70"/>
        <v>0</v>
      </c>
      <c r="CZ104" s="28">
        <f t="shared" si="70"/>
        <v>0</v>
      </c>
      <c r="DA104" s="28">
        <f t="shared" si="70"/>
        <v>0</v>
      </c>
      <c r="DB104" s="28">
        <f t="shared" si="70"/>
        <v>0</v>
      </c>
      <c r="DC104" s="28">
        <f t="shared" si="70"/>
        <v>0</v>
      </c>
      <c r="DD104" s="28">
        <f t="shared" si="70"/>
        <v>0</v>
      </c>
      <c r="DE104" s="28">
        <f t="shared" si="70"/>
        <v>0</v>
      </c>
      <c r="DF104" s="28">
        <f t="shared" si="70"/>
        <v>0</v>
      </c>
      <c r="DG104" s="28">
        <f t="shared" si="70"/>
        <v>0</v>
      </c>
      <c r="DH104" s="28">
        <f t="shared" si="70"/>
        <v>0</v>
      </c>
      <c r="DI104" s="28">
        <f t="shared" si="70"/>
        <v>0</v>
      </c>
      <c r="DJ104" s="28">
        <f t="shared" si="70"/>
        <v>0</v>
      </c>
      <c r="DK104" s="28">
        <f t="shared" si="70"/>
        <v>0</v>
      </c>
      <c r="DL104" s="28">
        <f t="shared" si="70"/>
        <v>0</v>
      </c>
      <c r="DM104" s="28">
        <f t="shared" si="70"/>
        <v>0</v>
      </c>
      <c r="DN104" s="28">
        <f t="shared" si="70"/>
        <v>0</v>
      </c>
      <c r="DO104" s="28">
        <f t="shared" si="70"/>
        <v>0</v>
      </c>
      <c r="DP104" s="28">
        <f t="shared" si="70"/>
        <v>0</v>
      </c>
      <c r="DQ104" s="28">
        <f t="shared" si="70"/>
        <v>0</v>
      </c>
      <c r="DR104" s="28">
        <f t="shared" si="70"/>
        <v>0</v>
      </c>
      <c r="DS104" s="28">
        <f t="shared" si="70"/>
        <v>0</v>
      </c>
      <c r="DT104" s="28">
        <f t="shared" si="70"/>
        <v>0</v>
      </c>
      <c r="DU104" s="28">
        <f t="shared" si="70"/>
        <v>0</v>
      </c>
      <c r="DV104" s="28">
        <f t="shared" si="70"/>
        <v>0</v>
      </c>
      <c r="DW104" s="28">
        <f t="shared" si="70"/>
        <v>0</v>
      </c>
      <c r="DX104" s="28">
        <f t="shared" si="70"/>
        <v>0</v>
      </c>
      <c r="DY104" s="28">
        <f t="shared" si="70"/>
        <v>0</v>
      </c>
      <c r="DZ104" s="28">
        <f t="shared" si="70"/>
        <v>0</v>
      </c>
      <c r="EA104" s="28">
        <f t="shared" si="70"/>
        <v>0</v>
      </c>
      <c r="EB104" s="28">
        <f t="shared" si="70"/>
        <v>0</v>
      </c>
      <c r="EC104" s="28">
        <f t="shared" si="70"/>
        <v>0</v>
      </c>
      <c r="ED104" s="28">
        <f t="shared" si="70"/>
        <v>0</v>
      </c>
      <c r="EE104" s="28">
        <f t="shared" si="70"/>
        <v>0</v>
      </c>
      <c r="EF104" s="28">
        <f t="shared" si="70"/>
        <v>0</v>
      </c>
      <c r="EG104" s="28">
        <f t="shared" si="70"/>
        <v>0</v>
      </c>
      <c r="EH104" s="28">
        <f t="shared" si="70"/>
        <v>0</v>
      </c>
      <c r="EI104" s="28">
        <f t="shared" si="70"/>
        <v>0</v>
      </c>
      <c r="EJ104" s="28">
        <f t="shared" si="70"/>
        <v>0</v>
      </c>
      <c r="EK104" s="28">
        <f t="shared" si="70"/>
        <v>0</v>
      </c>
      <c r="EL104" s="28">
        <f t="shared" si="70"/>
        <v>0</v>
      </c>
      <c r="EM104" s="28">
        <f t="shared" si="70"/>
        <v>0</v>
      </c>
      <c r="EN104" s="28">
        <f t="shared" si="70"/>
        <v>0</v>
      </c>
      <c r="EO104" s="28">
        <f t="shared" si="70"/>
        <v>0</v>
      </c>
      <c r="EP104" s="28">
        <f t="shared" si="70"/>
        <v>0</v>
      </c>
      <c r="EQ104" s="28">
        <f t="shared" si="70"/>
        <v>0</v>
      </c>
      <c r="ER104" s="28">
        <f t="shared" si="70"/>
        <v>0</v>
      </c>
      <c r="ES104" s="28">
        <f t="shared" si="70"/>
        <v>0</v>
      </c>
      <c r="ET104" s="28">
        <f t="shared" si="70"/>
        <v>0</v>
      </c>
      <c r="EU104" s="28">
        <f t="shared" si="70"/>
        <v>0</v>
      </c>
      <c r="EV104" s="28">
        <f t="shared" si="70"/>
        <v>0</v>
      </c>
      <c r="EW104" s="28">
        <f t="shared" si="70"/>
        <v>0</v>
      </c>
      <c r="EX104" s="28">
        <f t="shared" si="70"/>
        <v>0</v>
      </c>
      <c r="EY104" s="28">
        <f t="shared" si="70"/>
        <v>0</v>
      </c>
      <c r="EZ104" s="28">
        <f t="shared" si="70"/>
        <v>0</v>
      </c>
      <c r="FA104" s="28">
        <f t="shared" si="70"/>
        <v>0</v>
      </c>
      <c r="FB104" s="28">
        <f t="shared" si="70"/>
        <v>0</v>
      </c>
      <c r="FC104" s="28">
        <f t="shared" si="70"/>
        <v>0</v>
      </c>
      <c r="FD104" s="28">
        <f t="shared" si="70"/>
        <v>0</v>
      </c>
      <c r="FE104" s="28">
        <f t="shared" si="70"/>
        <v>0</v>
      </c>
      <c r="FF104" s="28">
        <f t="shared" si="70"/>
        <v>0</v>
      </c>
      <c r="FG104" s="28">
        <f t="shared" si="70"/>
        <v>0</v>
      </c>
      <c r="FH104" s="28">
        <f t="shared" si="70"/>
        <v>0</v>
      </c>
      <c r="FI104" s="28">
        <f t="shared" si="70"/>
        <v>0</v>
      </c>
      <c r="FJ104" s="28">
        <f t="shared" si="70"/>
        <v>0</v>
      </c>
      <c r="FK104" s="28">
        <f t="shared" si="70"/>
        <v>0</v>
      </c>
      <c r="FL104" s="28">
        <f t="shared" si="70"/>
        <v>0</v>
      </c>
      <c r="FM104" s="28">
        <f t="shared" si="70"/>
        <v>0</v>
      </c>
      <c r="FN104" s="28">
        <f t="shared" si="70"/>
        <v>0</v>
      </c>
      <c r="FO104" s="28">
        <f t="shared" si="70"/>
        <v>0</v>
      </c>
      <c r="FP104" s="28">
        <f t="shared" si="70"/>
        <v>0</v>
      </c>
      <c r="FQ104" s="28">
        <f t="shared" si="70"/>
        <v>0</v>
      </c>
      <c r="FR104" s="28">
        <f t="shared" si="70"/>
        <v>0</v>
      </c>
      <c r="FS104" s="28">
        <f t="shared" si="70"/>
        <v>0</v>
      </c>
      <c r="FT104" s="28">
        <f t="shared" si="70"/>
        <v>0</v>
      </c>
      <c r="FU104" s="28">
        <f t="shared" si="70"/>
        <v>0</v>
      </c>
      <c r="FV104" s="28">
        <f t="shared" si="70"/>
        <v>0</v>
      </c>
      <c r="FW104" s="28">
        <f t="shared" si="70"/>
        <v>0</v>
      </c>
      <c r="FX104" s="28">
        <f t="shared" si="70"/>
        <v>0</v>
      </c>
      <c r="FY104" s="28">
        <f t="shared" si="70"/>
        <v>0</v>
      </c>
      <c r="FZ104" s="28">
        <f t="shared" si="70"/>
        <v>0</v>
      </c>
      <c r="GA104" s="28">
        <f t="shared" si="70"/>
        <v>0</v>
      </c>
      <c r="GB104" s="28">
        <f t="shared" si="70"/>
        <v>0</v>
      </c>
      <c r="GC104" s="28">
        <f t="shared" si="70"/>
        <v>0</v>
      </c>
      <c r="GD104" s="28">
        <f t="shared" si="70"/>
        <v>0</v>
      </c>
      <c r="GE104" s="28">
        <f t="shared" si="70"/>
        <v>0</v>
      </c>
      <c r="GF104" s="28">
        <f t="shared" si="70"/>
        <v>0</v>
      </c>
      <c r="GG104" s="28">
        <f t="shared" si="70"/>
        <v>0</v>
      </c>
      <c r="GH104" s="28">
        <f t="shared" si="70"/>
        <v>0</v>
      </c>
      <c r="GI104" s="28">
        <f t="shared" si="70"/>
        <v>0</v>
      </c>
      <c r="GJ104" s="28">
        <f t="shared" si="70"/>
        <v>0</v>
      </c>
      <c r="GK104" s="28">
        <f t="shared" si="70"/>
        <v>0</v>
      </c>
      <c r="GL104" s="28">
        <f t="shared" si="70"/>
        <v>0</v>
      </c>
      <c r="GM104" s="28">
        <f t="shared" si="70"/>
        <v>0</v>
      </c>
      <c r="GN104" s="28">
        <f t="shared" si="70"/>
        <v>0</v>
      </c>
      <c r="GO104" s="28">
        <f t="shared" si="70"/>
        <v>0</v>
      </c>
      <c r="GP104" s="28">
        <f t="shared" si="70"/>
        <v>0</v>
      </c>
      <c r="GQ104" s="28">
        <f t="shared" si="70"/>
        <v>0</v>
      </c>
      <c r="GR104" s="28">
        <f t="shared" si="70"/>
        <v>0</v>
      </c>
      <c r="GS104" s="28">
        <f t="shared" si="70"/>
        <v>0</v>
      </c>
      <c r="GT104" s="28">
        <f t="shared" si="70"/>
        <v>0</v>
      </c>
      <c r="GU104" s="28">
        <f t="shared" si="70"/>
        <v>0</v>
      </c>
      <c r="GV104" s="28">
        <f t="shared" si="70"/>
        <v>0</v>
      </c>
      <c r="GW104" s="28">
        <f t="shared" si="70"/>
        <v>0</v>
      </c>
      <c r="GX104" s="28">
        <f t="shared" si="70"/>
        <v>0</v>
      </c>
      <c r="GY104" s="28">
        <f t="shared" si="70"/>
        <v>0</v>
      </c>
      <c r="GZ104" s="28">
        <f t="shared" si="70"/>
        <v>0</v>
      </c>
      <c r="HA104" s="28">
        <f t="shared" si="70"/>
        <v>0</v>
      </c>
      <c r="HB104" s="28">
        <f t="shared" si="70"/>
        <v>0</v>
      </c>
      <c r="HC104" s="28">
        <f t="shared" si="70"/>
        <v>0</v>
      </c>
      <c r="HD104" s="28">
        <f t="shared" si="70"/>
        <v>0</v>
      </c>
      <c r="HE104" s="28">
        <f t="shared" si="70"/>
        <v>0</v>
      </c>
      <c r="HF104" s="28">
        <f t="shared" si="70"/>
        <v>0</v>
      </c>
      <c r="HG104" s="28">
        <f t="shared" si="70"/>
        <v>0</v>
      </c>
      <c r="HH104" s="28">
        <f t="shared" si="70"/>
        <v>0</v>
      </c>
      <c r="HI104" s="28">
        <f t="shared" si="70"/>
        <v>0</v>
      </c>
      <c r="HJ104" s="28">
        <f t="shared" si="70"/>
        <v>0</v>
      </c>
      <c r="HK104" s="28">
        <f t="shared" si="70"/>
        <v>0</v>
      </c>
      <c r="HL104" s="28">
        <f t="shared" si="70"/>
        <v>0</v>
      </c>
      <c r="HM104" s="28">
        <f t="shared" si="70"/>
        <v>0</v>
      </c>
      <c r="HN104" s="28">
        <f t="shared" si="70"/>
        <v>0</v>
      </c>
      <c r="HO104" s="28">
        <f t="shared" si="70"/>
        <v>0</v>
      </c>
      <c r="HP104" s="28">
        <f t="shared" si="70"/>
        <v>0</v>
      </c>
      <c r="HQ104" s="28">
        <f t="shared" si="70"/>
        <v>0</v>
      </c>
      <c r="HR104" s="28">
        <f t="shared" si="70"/>
        <v>0</v>
      </c>
      <c r="HS104" s="28">
        <f t="shared" si="70"/>
        <v>0</v>
      </c>
      <c r="HT104" s="28">
        <f t="shared" si="70"/>
        <v>0</v>
      </c>
      <c r="HU104" s="28">
        <f t="shared" si="70"/>
        <v>0</v>
      </c>
      <c r="HV104" s="28">
        <f t="shared" si="70"/>
        <v>0</v>
      </c>
      <c r="HW104" s="28">
        <f t="shared" si="70"/>
        <v>0</v>
      </c>
      <c r="HX104" s="28">
        <f t="shared" si="70"/>
        <v>0</v>
      </c>
      <c r="HY104" s="28">
        <f t="shared" si="70"/>
        <v>0</v>
      </c>
      <c r="HZ104" s="28">
        <f t="shared" si="70"/>
        <v>0</v>
      </c>
      <c r="IA104" s="28">
        <f t="shared" si="70"/>
        <v>0</v>
      </c>
      <c r="IB104" s="28">
        <f t="shared" si="70"/>
        <v>0</v>
      </c>
      <c r="IC104" s="28">
        <f t="shared" si="70"/>
        <v>0</v>
      </c>
      <c r="ID104" s="28">
        <f t="shared" si="70"/>
        <v>0</v>
      </c>
      <c r="IE104" s="28">
        <f t="shared" si="70"/>
        <v>0</v>
      </c>
      <c r="IF104" s="28">
        <f t="shared" si="70"/>
        <v>0</v>
      </c>
      <c r="IG104" s="28">
        <f t="shared" si="70"/>
        <v>0</v>
      </c>
      <c r="IH104" s="28">
        <f t="shared" si="70"/>
        <v>0</v>
      </c>
      <c r="II104" s="28">
        <f t="shared" si="70"/>
        <v>0</v>
      </c>
      <c r="IJ104" s="28">
        <f t="shared" si="70"/>
        <v>0</v>
      </c>
      <c r="IK104" s="28">
        <f t="shared" si="70"/>
        <v>0</v>
      </c>
      <c r="IL104" s="28">
        <f t="shared" si="70"/>
        <v>0</v>
      </c>
      <c r="IM104" s="28">
        <f t="shared" si="70"/>
        <v>0</v>
      </c>
      <c r="IN104" s="28">
        <f t="shared" si="70"/>
        <v>0</v>
      </c>
      <c r="IO104" s="28">
        <f t="shared" si="70"/>
        <v>0</v>
      </c>
      <c r="IP104" s="28">
        <f t="shared" si="70"/>
        <v>0</v>
      </c>
      <c r="IQ104" s="28">
        <f t="shared" si="70"/>
        <v>0</v>
      </c>
      <c r="IR104" s="28"/>
      <c r="IS104" s="28"/>
      <c r="IT104" s="28"/>
      <c r="IU104" s="28"/>
      <c r="IV104" s="28"/>
    </row>
    <row r="105" ht="11.25" customHeight="1">
      <c r="A105" s="27" t="s">
        <v>127</v>
      </c>
      <c r="B105" s="28">
        <f t="shared" ref="B105:D105" si="71">COUNTIF(B13,"=1")+COUNTIF(B23,"=1")+COUNTIF(B33,"=1")+COUNTIF(B43,"=1")+COUNTIF(B53,"=1")+COUNTIF(B63,"=1")+COUNTIF(B73,"=1")+COUNTIF(B83,"=1")+COUNTIF(B93,"=1")</f>
        <v>6</v>
      </c>
      <c r="C105" s="28">
        <f t="shared" si="71"/>
        <v>6</v>
      </c>
      <c r="D105" s="28">
        <f t="shared" si="71"/>
        <v>6</v>
      </c>
      <c r="E105" s="28" t="str">
        <f t="shared" si="72"/>
        <v>#REF!</v>
      </c>
      <c r="F105" s="28">
        <f t="shared" ref="F105:AW105" si="73">COUNTIF(F13,"=1")+COUNTIF(F23,"=1")+COUNTIF(F33,"=1")+COUNTIF(F43,"=1")+COUNTIF(F53,"=1")+COUNTIF(F63,"=1")+COUNTIF(F73,"=1")+COUNTIF(F83,"=1")+COUNTIF(F93,"=1")</f>
        <v>6</v>
      </c>
      <c r="G105" s="28">
        <f t="shared" si="73"/>
        <v>0</v>
      </c>
      <c r="H105" s="28">
        <f t="shared" si="73"/>
        <v>0</v>
      </c>
      <c r="I105" s="28">
        <f t="shared" si="73"/>
        <v>0</v>
      </c>
      <c r="J105" s="28">
        <f t="shared" si="73"/>
        <v>0</v>
      </c>
      <c r="K105" s="28">
        <f t="shared" si="73"/>
        <v>0</v>
      </c>
      <c r="L105" s="28">
        <f t="shared" si="73"/>
        <v>0</v>
      </c>
      <c r="M105" s="28">
        <f t="shared" si="73"/>
        <v>0</v>
      </c>
      <c r="N105" s="28">
        <f t="shared" si="73"/>
        <v>0</v>
      </c>
      <c r="O105" s="28">
        <f t="shared" si="73"/>
        <v>0</v>
      </c>
      <c r="P105" s="28">
        <f t="shared" si="73"/>
        <v>0</v>
      </c>
      <c r="Q105" s="28">
        <f t="shared" si="73"/>
        <v>0</v>
      </c>
      <c r="R105" s="28">
        <f t="shared" si="73"/>
        <v>0</v>
      </c>
      <c r="S105" s="28">
        <f t="shared" si="73"/>
        <v>0</v>
      </c>
      <c r="T105" s="28">
        <f t="shared" si="73"/>
        <v>0</v>
      </c>
      <c r="U105" s="28">
        <f t="shared" si="73"/>
        <v>0</v>
      </c>
      <c r="V105" s="28">
        <f t="shared" si="73"/>
        <v>0</v>
      </c>
      <c r="W105" s="28">
        <f t="shared" si="73"/>
        <v>0</v>
      </c>
      <c r="X105" s="28">
        <f t="shared" si="73"/>
        <v>0</v>
      </c>
      <c r="Y105" s="28">
        <f t="shared" si="73"/>
        <v>0</v>
      </c>
      <c r="Z105" s="28">
        <f t="shared" si="73"/>
        <v>0</v>
      </c>
      <c r="AA105" s="28">
        <f t="shared" si="73"/>
        <v>0</v>
      </c>
      <c r="AB105" s="28">
        <f t="shared" si="73"/>
        <v>0</v>
      </c>
      <c r="AC105" s="28">
        <f t="shared" si="73"/>
        <v>0</v>
      </c>
      <c r="AD105" s="28">
        <f t="shared" si="73"/>
        <v>0</v>
      </c>
      <c r="AE105" s="28">
        <f t="shared" si="73"/>
        <v>0</v>
      </c>
      <c r="AF105" s="28">
        <f t="shared" si="73"/>
        <v>0</v>
      </c>
      <c r="AG105" s="28">
        <f t="shared" si="73"/>
        <v>0</v>
      </c>
      <c r="AH105" s="28">
        <f t="shared" si="73"/>
        <v>0</v>
      </c>
      <c r="AI105" s="28">
        <f t="shared" si="73"/>
        <v>0</v>
      </c>
      <c r="AJ105" s="28">
        <f t="shared" si="73"/>
        <v>0</v>
      </c>
      <c r="AK105" s="28">
        <f t="shared" si="73"/>
        <v>0</v>
      </c>
      <c r="AL105" s="28">
        <f t="shared" si="73"/>
        <v>0</v>
      </c>
      <c r="AM105" s="28">
        <f t="shared" si="73"/>
        <v>0</v>
      </c>
      <c r="AN105" s="28">
        <f t="shared" si="73"/>
        <v>0</v>
      </c>
      <c r="AO105" s="28">
        <f t="shared" si="73"/>
        <v>0</v>
      </c>
      <c r="AP105" s="28">
        <f t="shared" si="73"/>
        <v>0</v>
      </c>
      <c r="AQ105" s="28">
        <f t="shared" si="73"/>
        <v>0</v>
      </c>
      <c r="AR105" s="28">
        <f t="shared" si="73"/>
        <v>0</v>
      </c>
      <c r="AS105" s="28">
        <f t="shared" si="73"/>
        <v>0</v>
      </c>
      <c r="AT105" s="28">
        <f t="shared" si="73"/>
        <v>0</v>
      </c>
      <c r="AU105" s="28">
        <f t="shared" si="73"/>
        <v>0</v>
      </c>
      <c r="AV105" s="28">
        <f t="shared" si="73"/>
        <v>0</v>
      </c>
      <c r="AW105" s="28">
        <f t="shared" si="73"/>
        <v>0</v>
      </c>
      <c r="AX105" s="28">
        <f t="shared" ref="AX105:AY105" si="74">COUNTIF(AZ13,"=1")+COUNTIF(AZ23,"=1")+COUNTIF(AZ33,"=1")+COUNTIF(AZ43,"=1")+COUNTIF(AZ53,"=1")+COUNTIF(AZ63,"=1")+COUNTIF(AZ73,"=1")+COUNTIF(AZ83,"=1")+COUNTIF(AZ93,"=1")</f>
        <v>0</v>
      </c>
      <c r="AY105" s="28">
        <f t="shared" si="74"/>
        <v>0</v>
      </c>
      <c r="AZ105" s="28" t="str">
        <f t="shared" si="75"/>
        <v>#REF!</v>
      </c>
      <c r="BA105" s="28">
        <f t="shared" ref="BA105:BT105" si="76">COUNTIF(BC13,"=1")+COUNTIF(BC23,"=1")+COUNTIF(BC33,"=1")+COUNTIF(BC43,"=1")+COUNTIF(BC53,"=1")+COUNTIF(BC63,"=1")+COUNTIF(BC73,"=1")+COUNTIF(BC83,"=1")+COUNTIF(BC93,"=1")</f>
        <v>0</v>
      </c>
      <c r="BB105" s="28">
        <f t="shared" si="76"/>
        <v>0</v>
      </c>
      <c r="BC105" s="28">
        <f t="shared" si="76"/>
        <v>0</v>
      </c>
      <c r="BD105" s="28">
        <f t="shared" si="76"/>
        <v>0</v>
      </c>
      <c r="BE105" s="28">
        <f t="shared" si="76"/>
        <v>0</v>
      </c>
      <c r="BF105" s="28">
        <f t="shared" si="76"/>
        <v>0</v>
      </c>
      <c r="BG105" s="28">
        <f t="shared" si="76"/>
        <v>0</v>
      </c>
      <c r="BH105" s="28">
        <f t="shared" si="76"/>
        <v>0</v>
      </c>
      <c r="BI105" s="28">
        <f t="shared" si="76"/>
        <v>0</v>
      </c>
      <c r="BJ105" s="28">
        <f t="shared" si="76"/>
        <v>0</v>
      </c>
      <c r="BK105" s="28">
        <f t="shared" si="76"/>
        <v>0</v>
      </c>
      <c r="BL105" s="28">
        <f t="shared" si="76"/>
        <v>0</v>
      </c>
      <c r="BM105" s="28">
        <f t="shared" si="76"/>
        <v>0</v>
      </c>
      <c r="BN105" s="28">
        <f t="shared" si="76"/>
        <v>0</v>
      </c>
      <c r="BO105" s="28">
        <f t="shared" si="76"/>
        <v>0</v>
      </c>
      <c r="BP105" s="28">
        <f t="shared" si="76"/>
        <v>0</v>
      </c>
      <c r="BQ105" s="28">
        <f t="shared" si="76"/>
        <v>0</v>
      </c>
      <c r="BR105" s="28">
        <f t="shared" si="76"/>
        <v>0</v>
      </c>
      <c r="BS105" s="28">
        <f t="shared" si="76"/>
        <v>0</v>
      </c>
      <c r="BT105" s="28">
        <f t="shared" si="76"/>
        <v>0</v>
      </c>
      <c r="BU105" s="28">
        <f>COUNTIF(BB13,"=1")+COUNTIF(BB23,"=1")+COUNTIF(BB33,"=1")+COUNTIF(BB43,"=1")+COUNTIF(BB53,"=1")+COUNTIF(BB63,"=1")+COUNTIF(BB73,"=1")+COUNTIF(BB83,"=1")+COUNTIF(BB93,"=1")</f>
        <v>0</v>
      </c>
      <c r="BV105" s="28">
        <f t="shared" ref="BV105:CP105" si="77">COUNTIF(BX13,"=1")+COUNTIF(BX23,"=1")+COUNTIF(BX33,"=1")+COUNTIF(BX43,"=1")+COUNTIF(BX53,"=1")+COUNTIF(BX63,"=1")+COUNTIF(BX73,"=1")+COUNTIF(BX83,"=1")+COUNTIF(BX93,"=1")</f>
        <v>0</v>
      </c>
      <c r="BW105" s="28">
        <f t="shared" si="77"/>
        <v>0</v>
      </c>
      <c r="BX105" s="28">
        <f t="shared" si="77"/>
        <v>0</v>
      </c>
      <c r="BY105" s="28">
        <f t="shared" si="77"/>
        <v>0</v>
      </c>
      <c r="BZ105" s="28">
        <f t="shared" si="77"/>
        <v>0</v>
      </c>
      <c r="CA105" s="28">
        <f t="shared" si="77"/>
        <v>0</v>
      </c>
      <c r="CB105" s="28">
        <f t="shared" si="77"/>
        <v>0</v>
      </c>
      <c r="CC105" s="28">
        <f t="shared" si="77"/>
        <v>0</v>
      </c>
      <c r="CD105" s="28">
        <f t="shared" si="77"/>
        <v>0</v>
      </c>
      <c r="CE105" s="28">
        <f t="shared" si="77"/>
        <v>0</v>
      </c>
      <c r="CF105" s="28">
        <f t="shared" si="77"/>
        <v>0</v>
      </c>
      <c r="CG105" s="28">
        <f t="shared" si="77"/>
        <v>0</v>
      </c>
      <c r="CH105" s="28">
        <f t="shared" si="77"/>
        <v>0</v>
      </c>
      <c r="CI105" s="28">
        <f t="shared" si="77"/>
        <v>0</v>
      </c>
      <c r="CJ105" s="28">
        <f t="shared" si="77"/>
        <v>0</v>
      </c>
      <c r="CK105" s="28">
        <f t="shared" si="77"/>
        <v>0</v>
      </c>
      <c r="CL105" s="28">
        <f t="shared" si="77"/>
        <v>0</v>
      </c>
      <c r="CM105" s="28">
        <f t="shared" si="77"/>
        <v>0</v>
      </c>
      <c r="CN105" s="28">
        <f t="shared" si="77"/>
        <v>0</v>
      </c>
      <c r="CO105" s="28">
        <f t="shared" si="77"/>
        <v>0</v>
      </c>
      <c r="CP105" s="28">
        <f t="shared" si="77"/>
        <v>0</v>
      </c>
      <c r="CQ105" s="28" t="str">
        <f t="shared" ref="CQ105:CR105" si="78">COUNTIF(#REF!,"=1")+COUNTIF(#REF!,"=1")+COUNTIF(#REF!,"=1")+COUNTIF(#REF!,"=1")+COUNTIF(#REF!,"=1")+COUNTIF(#REF!,"=1")+COUNTIF(#REF!,"=1")+COUNTIF(#REF!,"=1")+COUNTIF(#REF!,"=1")</f>
        <v>#REF!</v>
      </c>
      <c r="CR105" s="28" t="str">
        <f t="shared" si="78"/>
        <v>#REF!</v>
      </c>
      <c r="CS105" s="28">
        <f t="shared" ref="CS105:IQ105" si="79">COUNTIF(CS13,"=1")+COUNTIF(CS23,"=1")+COUNTIF(CS33,"=1")+COUNTIF(CS43,"=1")+COUNTIF(CS53,"=1")+COUNTIF(CS63,"=1")+COUNTIF(CS73,"=1")+COUNTIF(CS83,"=1")+COUNTIF(CS93,"=1")</f>
        <v>0</v>
      </c>
      <c r="CT105" s="28">
        <f t="shared" si="79"/>
        <v>0</v>
      </c>
      <c r="CU105" s="28">
        <f t="shared" si="79"/>
        <v>0</v>
      </c>
      <c r="CV105" s="28">
        <f t="shared" si="79"/>
        <v>0</v>
      </c>
      <c r="CW105" s="28">
        <f t="shared" si="79"/>
        <v>0</v>
      </c>
      <c r="CX105" s="28">
        <f t="shared" si="79"/>
        <v>0</v>
      </c>
      <c r="CY105" s="28">
        <f t="shared" si="79"/>
        <v>0</v>
      </c>
      <c r="CZ105" s="28">
        <f t="shared" si="79"/>
        <v>0</v>
      </c>
      <c r="DA105" s="28">
        <f t="shared" si="79"/>
        <v>0</v>
      </c>
      <c r="DB105" s="28">
        <f t="shared" si="79"/>
        <v>0</v>
      </c>
      <c r="DC105" s="28">
        <f t="shared" si="79"/>
        <v>0</v>
      </c>
      <c r="DD105" s="28">
        <f t="shared" si="79"/>
        <v>0</v>
      </c>
      <c r="DE105" s="28">
        <f t="shared" si="79"/>
        <v>0</v>
      </c>
      <c r="DF105" s="28">
        <f t="shared" si="79"/>
        <v>0</v>
      </c>
      <c r="DG105" s="28">
        <f t="shared" si="79"/>
        <v>0</v>
      </c>
      <c r="DH105" s="28">
        <f t="shared" si="79"/>
        <v>0</v>
      </c>
      <c r="DI105" s="28">
        <f t="shared" si="79"/>
        <v>0</v>
      </c>
      <c r="DJ105" s="28">
        <f t="shared" si="79"/>
        <v>0</v>
      </c>
      <c r="DK105" s="28">
        <f t="shared" si="79"/>
        <v>0</v>
      </c>
      <c r="DL105" s="28">
        <f t="shared" si="79"/>
        <v>0</v>
      </c>
      <c r="DM105" s="28">
        <f t="shared" si="79"/>
        <v>0</v>
      </c>
      <c r="DN105" s="28">
        <f t="shared" si="79"/>
        <v>0</v>
      </c>
      <c r="DO105" s="28">
        <f t="shared" si="79"/>
        <v>0</v>
      </c>
      <c r="DP105" s="28">
        <f t="shared" si="79"/>
        <v>0</v>
      </c>
      <c r="DQ105" s="28">
        <f t="shared" si="79"/>
        <v>0</v>
      </c>
      <c r="DR105" s="28">
        <f t="shared" si="79"/>
        <v>0</v>
      </c>
      <c r="DS105" s="28">
        <f t="shared" si="79"/>
        <v>0</v>
      </c>
      <c r="DT105" s="28">
        <f t="shared" si="79"/>
        <v>0</v>
      </c>
      <c r="DU105" s="28">
        <f t="shared" si="79"/>
        <v>0</v>
      </c>
      <c r="DV105" s="28">
        <f t="shared" si="79"/>
        <v>0</v>
      </c>
      <c r="DW105" s="28">
        <f t="shared" si="79"/>
        <v>0</v>
      </c>
      <c r="DX105" s="28">
        <f t="shared" si="79"/>
        <v>0</v>
      </c>
      <c r="DY105" s="28">
        <f t="shared" si="79"/>
        <v>0</v>
      </c>
      <c r="DZ105" s="28">
        <f t="shared" si="79"/>
        <v>0</v>
      </c>
      <c r="EA105" s="28">
        <f t="shared" si="79"/>
        <v>0</v>
      </c>
      <c r="EB105" s="28">
        <f t="shared" si="79"/>
        <v>0</v>
      </c>
      <c r="EC105" s="28">
        <f t="shared" si="79"/>
        <v>0</v>
      </c>
      <c r="ED105" s="28">
        <f t="shared" si="79"/>
        <v>0</v>
      </c>
      <c r="EE105" s="28">
        <f t="shared" si="79"/>
        <v>0</v>
      </c>
      <c r="EF105" s="28">
        <f t="shared" si="79"/>
        <v>0</v>
      </c>
      <c r="EG105" s="28">
        <f t="shared" si="79"/>
        <v>0</v>
      </c>
      <c r="EH105" s="28">
        <f t="shared" si="79"/>
        <v>0</v>
      </c>
      <c r="EI105" s="28">
        <f t="shared" si="79"/>
        <v>0</v>
      </c>
      <c r="EJ105" s="28">
        <f t="shared" si="79"/>
        <v>0</v>
      </c>
      <c r="EK105" s="28">
        <f t="shared" si="79"/>
        <v>0</v>
      </c>
      <c r="EL105" s="28">
        <f t="shared" si="79"/>
        <v>0</v>
      </c>
      <c r="EM105" s="28">
        <f t="shared" si="79"/>
        <v>0</v>
      </c>
      <c r="EN105" s="28">
        <f t="shared" si="79"/>
        <v>0</v>
      </c>
      <c r="EO105" s="28">
        <f t="shared" si="79"/>
        <v>0</v>
      </c>
      <c r="EP105" s="28">
        <f t="shared" si="79"/>
        <v>0</v>
      </c>
      <c r="EQ105" s="28">
        <f t="shared" si="79"/>
        <v>0</v>
      </c>
      <c r="ER105" s="28">
        <f t="shared" si="79"/>
        <v>0</v>
      </c>
      <c r="ES105" s="28">
        <f t="shared" si="79"/>
        <v>0</v>
      </c>
      <c r="ET105" s="28">
        <f t="shared" si="79"/>
        <v>0</v>
      </c>
      <c r="EU105" s="28">
        <f t="shared" si="79"/>
        <v>0</v>
      </c>
      <c r="EV105" s="28">
        <f t="shared" si="79"/>
        <v>0</v>
      </c>
      <c r="EW105" s="28">
        <f t="shared" si="79"/>
        <v>0</v>
      </c>
      <c r="EX105" s="28">
        <f t="shared" si="79"/>
        <v>0</v>
      </c>
      <c r="EY105" s="28">
        <f t="shared" si="79"/>
        <v>0</v>
      </c>
      <c r="EZ105" s="28">
        <f t="shared" si="79"/>
        <v>0</v>
      </c>
      <c r="FA105" s="28">
        <f t="shared" si="79"/>
        <v>0</v>
      </c>
      <c r="FB105" s="28">
        <f t="shared" si="79"/>
        <v>0</v>
      </c>
      <c r="FC105" s="28">
        <f t="shared" si="79"/>
        <v>0</v>
      </c>
      <c r="FD105" s="28">
        <f t="shared" si="79"/>
        <v>0</v>
      </c>
      <c r="FE105" s="28">
        <f t="shared" si="79"/>
        <v>0</v>
      </c>
      <c r="FF105" s="28">
        <f t="shared" si="79"/>
        <v>0</v>
      </c>
      <c r="FG105" s="28">
        <f t="shared" si="79"/>
        <v>0</v>
      </c>
      <c r="FH105" s="28">
        <f t="shared" si="79"/>
        <v>0</v>
      </c>
      <c r="FI105" s="28">
        <f t="shared" si="79"/>
        <v>0</v>
      </c>
      <c r="FJ105" s="28">
        <f t="shared" si="79"/>
        <v>0</v>
      </c>
      <c r="FK105" s="28">
        <f t="shared" si="79"/>
        <v>0</v>
      </c>
      <c r="FL105" s="28">
        <f t="shared" si="79"/>
        <v>0</v>
      </c>
      <c r="FM105" s="28">
        <f t="shared" si="79"/>
        <v>0</v>
      </c>
      <c r="FN105" s="28">
        <f t="shared" si="79"/>
        <v>0</v>
      </c>
      <c r="FO105" s="28">
        <f t="shared" si="79"/>
        <v>0</v>
      </c>
      <c r="FP105" s="28">
        <f t="shared" si="79"/>
        <v>0</v>
      </c>
      <c r="FQ105" s="28">
        <f t="shared" si="79"/>
        <v>0</v>
      </c>
      <c r="FR105" s="28">
        <f t="shared" si="79"/>
        <v>0</v>
      </c>
      <c r="FS105" s="28">
        <f t="shared" si="79"/>
        <v>0</v>
      </c>
      <c r="FT105" s="28">
        <f t="shared" si="79"/>
        <v>0</v>
      </c>
      <c r="FU105" s="28">
        <f t="shared" si="79"/>
        <v>0</v>
      </c>
      <c r="FV105" s="28">
        <f t="shared" si="79"/>
        <v>0</v>
      </c>
      <c r="FW105" s="28">
        <f t="shared" si="79"/>
        <v>0</v>
      </c>
      <c r="FX105" s="28">
        <f t="shared" si="79"/>
        <v>0</v>
      </c>
      <c r="FY105" s="28">
        <f t="shared" si="79"/>
        <v>0</v>
      </c>
      <c r="FZ105" s="28">
        <f t="shared" si="79"/>
        <v>0</v>
      </c>
      <c r="GA105" s="28">
        <f t="shared" si="79"/>
        <v>0</v>
      </c>
      <c r="GB105" s="28">
        <f t="shared" si="79"/>
        <v>0</v>
      </c>
      <c r="GC105" s="28">
        <f t="shared" si="79"/>
        <v>0</v>
      </c>
      <c r="GD105" s="28">
        <f t="shared" si="79"/>
        <v>0</v>
      </c>
      <c r="GE105" s="28">
        <f t="shared" si="79"/>
        <v>0</v>
      </c>
      <c r="GF105" s="28">
        <f t="shared" si="79"/>
        <v>0</v>
      </c>
      <c r="GG105" s="28">
        <f t="shared" si="79"/>
        <v>0</v>
      </c>
      <c r="GH105" s="28">
        <f t="shared" si="79"/>
        <v>0</v>
      </c>
      <c r="GI105" s="28">
        <f t="shared" si="79"/>
        <v>0</v>
      </c>
      <c r="GJ105" s="28">
        <f t="shared" si="79"/>
        <v>0</v>
      </c>
      <c r="GK105" s="28">
        <f t="shared" si="79"/>
        <v>0</v>
      </c>
      <c r="GL105" s="28">
        <f t="shared" si="79"/>
        <v>0</v>
      </c>
      <c r="GM105" s="28">
        <f t="shared" si="79"/>
        <v>0</v>
      </c>
      <c r="GN105" s="28">
        <f t="shared" si="79"/>
        <v>0</v>
      </c>
      <c r="GO105" s="28">
        <f t="shared" si="79"/>
        <v>0</v>
      </c>
      <c r="GP105" s="28">
        <f t="shared" si="79"/>
        <v>0</v>
      </c>
      <c r="GQ105" s="28">
        <f t="shared" si="79"/>
        <v>0</v>
      </c>
      <c r="GR105" s="28">
        <f t="shared" si="79"/>
        <v>0</v>
      </c>
      <c r="GS105" s="28">
        <f t="shared" si="79"/>
        <v>0</v>
      </c>
      <c r="GT105" s="28">
        <f t="shared" si="79"/>
        <v>0</v>
      </c>
      <c r="GU105" s="28">
        <f t="shared" si="79"/>
        <v>0</v>
      </c>
      <c r="GV105" s="28">
        <f t="shared" si="79"/>
        <v>0</v>
      </c>
      <c r="GW105" s="28">
        <f t="shared" si="79"/>
        <v>0</v>
      </c>
      <c r="GX105" s="28">
        <f t="shared" si="79"/>
        <v>0</v>
      </c>
      <c r="GY105" s="28">
        <f t="shared" si="79"/>
        <v>0</v>
      </c>
      <c r="GZ105" s="28">
        <f t="shared" si="79"/>
        <v>0</v>
      </c>
      <c r="HA105" s="28">
        <f t="shared" si="79"/>
        <v>0</v>
      </c>
      <c r="HB105" s="28">
        <f t="shared" si="79"/>
        <v>0</v>
      </c>
      <c r="HC105" s="28">
        <f t="shared" si="79"/>
        <v>0</v>
      </c>
      <c r="HD105" s="28">
        <f t="shared" si="79"/>
        <v>0</v>
      </c>
      <c r="HE105" s="28">
        <f t="shared" si="79"/>
        <v>0</v>
      </c>
      <c r="HF105" s="28">
        <f t="shared" si="79"/>
        <v>0</v>
      </c>
      <c r="HG105" s="28">
        <f t="shared" si="79"/>
        <v>0</v>
      </c>
      <c r="HH105" s="28">
        <f t="shared" si="79"/>
        <v>0</v>
      </c>
      <c r="HI105" s="28">
        <f t="shared" si="79"/>
        <v>0</v>
      </c>
      <c r="HJ105" s="28">
        <f t="shared" si="79"/>
        <v>0</v>
      </c>
      <c r="HK105" s="28">
        <f t="shared" si="79"/>
        <v>0</v>
      </c>
      <c r="HL105" s="28">
        <f t="shared" si="79"/>
        <v>0</v>
      </c>
      <c r="HM105" s="28">
        <f t="shared" si="79"/>
        <v>0</v>
      </c>
      <c r="HN105" s="28">
        <f t="shared" si="79"/>
        <v>0</v>
      </c>
      <c r="HO105" s="28">
        <f t="shared" si="79"/>
        <v>0</v>
      </c>
      <c r="HP105" s="28">
        <f t="shared" si="79"/>
        <v>0</v>
      </c>
      <c r="HQ105" s="28">
        <f t="shared" si="79"/>
        <v>0</v>
      </c>
      <c r="HR105" s="28">
        <f t="shared" si="79"/>
        <v>0</v>
      </c>
      <c r="HS105" s="28">
        <f t="shared" si="79"/>
        <v>0</v>
      </c>
      <c r="HT105" s="28">
        <f t="shared" si="79"/>
        <v>0</v>
      </c>
      <c r="HU105" s="28">
        <f t="shared" si="79"/>
        <v>0</v>
      </c>
      <c r="HV105" s="28">
        <f t="shared" si="79"/>
        <v>0</v>
      </c>
      <c r="HW105" s="28">
        <f t="shared" si="79"/>
        <v>0</v>
      </c>
      <c r="HX105" s="28">
        <f t="shared" si="79"/>
        <v>0</v>
      </c>
      <c r="HY105" s="28">
        <f t="shared" si="79"/>
        <v>0</v>
      </c>
      <c r="HZ105" s="28">
        <f t="shared" si="79"/>
        <v>0</v>
      </c>
      <c r="IA105" s="28">
        <f t="shared" si="79"/>
        <v>0</v>
      </c>
      <c r="IB105" s="28">
        <f t="shared" si="79"/>
        <v>0</v>
      </c>
      <c r="IC105" s="28">
        <f t="shared" si="79"/>
        <v>0</v>
      </c>
      <c r="ID105" s="28">
        <f t="shared" si="79"/>
        <v>0</v>
      </c>
      <c r="IE105" s="28">
        <f t="shared" si="79"/>
        <v>0</v>
      </c>
      <c r="IF105" s="28">
        <f t="shared" si="79"/>
        <v>0</v>
      </c>
      <c r="IG105" s="28">
        <f t="shared" si="79"/>
        <v>0</v>
      </c>
      <c r="IH105" s="28">
        <f t="shared" si="79"/>
        <v>0</v>
      </c>
      <c r="II105" s="28">
        <f t="shared" si="79"/>
        <v>0</v>
      </c>
      <c r="IJ105" s="28">
        <f t="shared" si="79"/>
        <v>0</v>
      </c>
      <c r="IK105" s="28">
        <f t="shared" si="79"/>
        <v>0</v>
      </c>
      <c r="IL105" s="28">
        <f t="shared" si="79"/>
        <v>0</v>
      </c>
      <c r="IM105" s="28">
        <f t="shared" si="79"/>
        <v>0</v>
      </c>
      <c r="IN105" s="28">
        <f t="shared" si="79"/>
        <v>0</v>
      </c>
      <c r="IO105" s="28">
        <f t="shared" si="79"/>
        <v>0</v>
      </c>
      <c r="IP105" s="28">
        <f t="shared" si="79"/>
        <v>0</v>
      </c>
      <c r="IQ105" s="28">
        <f t="shared" si="79"/>
        <v>0</v>
      </c>
      <c r="IR105" s="28"/>
      <c r="IS105" s="28"/>
      <c r="IT105" s="28"/>
      <c r="IU105" s="28"/>
      <c r="IV105" s="28"/>
    </row>
    <row r="106" ht="11.25" customHeight="1">
      <c r="A106" s="27" t="s">
        <v>128</v>
      </c>
      <c r="B106" s="28">
        <f t="shared" ref="B106:D106" si="80">COUNTIF(B12,"=1")+COUNTIF(B22,"=1")+COUNTIF(B32,"=1")+COUNTIF(B42,"=1")+COUNTIF(B52,"=1")+COUNTIF(B62,"=1")+COUNTIF(B72,"=1")+COUNTIF(B82,"=1")+COUNTIF(B13,"=2")</f>
        <v>5</v>
      </c>
      <c r="C106" s="28">
        <f t="shared" si="80"/>
        <v>5</v>
      </c>
      <c r="D106" s="28">
        <f t="shared" si="80"/>
        <v>5</v>
      </c>
      <c r="E106" s="28" t="str">
        <f>COUNTIF(#REF!,"=1")+COUNTIF(#REF!,"=1")+COUNTIF(#REF!,"=1")+COUNTIF(#REF!,"=1")+COUNTIF(#REF!,"=1")+COUNTIF(#REF!,"=1")+COUNTIF(#REF!,"=1")+COUNTIF(#REF!,"=1")+COUNTIF(#REF!,"=2")</f>
        <v>#REF!</v>
      </c>
      <c r="F106" s="28">
        <f t="shared" ref="F106:AW106" si="81">COUNTIF(F12,"=1")+COUNTIF(F22,"=1")+COUNTIF(F32,"=1")+COUNTIF(F42,"=1")+COUNTIF(F52,"=1")+COUNTIF(F62,"=1")+COUNTIF(F72,"=1")+COUNTIF(F82,"=1")+COUNTIF(F13,"=2")</f>
        <v>5</v>
      </c>
      <c r="G106" s="28">
        <f t="shared" si="81"/>
        <v>0</v>
      </c>
      <c r="H106" s="28">
        <f t="shared" si="81"/>
        <v>0</v>
      </c>
      <c r="I106" s="28">
        <f t="shared" si="81"/>
        <v>0</v>
      </c>
      <c r="J106" s="28">
        <f t="shared" si="81"/>
        <v>0</v>
      </c>
      <c r="K106" s="28">
        <f t="shared" si="81"/>
        <v>0</v>
      </c>
      <c r="L106" s="28">
        <f t="shared" si="81"/>
        <v>0</v>
      </c>
      <c r="M106" s="28">
        <f t="shared" si="81"/>
        <v>0</v>
      </c>
      <c r="N106" s="28">
        <f t="shared" si="81"/>
        <v>0</v>
      </c>
      <c r="O106" s="28">
        <f t="shared" si="81"/>
        <v>0</v>
      </c>
      <c r="P106" s="28">
        <f t="shared" si="81"/>
        <v>0</v>
      </c>
      <c r="Q106" s="28">
        <f t="shared" si="81"/>
        <v>0</v>
      </c>
      <c r="R106" s="28">
        <f t="shared" si="81"/>
        <v>0</v>
      </c>
      <c r="S106" s="28">
        <f t="shared" si="81"/>
        <v>0</v>
      </c>
      <c r="T106" s="28">
        <f t="shared" si="81"/>
        <v>0</v>
      </c>
      <c r="U106" s="28">
        <f t="shared" si="81"/>
        <v>0</v>
      </c>
      <c r="V106" s="28">
        <f t="shared" si="81"/>
        <v>0</v>
      </c>
      <c r="W106" s="28">
        <f t="shared" si="81"/>
        <v>0</v>
      </c>
      <c r="X106" s="28">
        <f t="shared" si="81"/>
        <v>0</v>
      </c>
      <c r="Y106" s="28">
        <f t="shared" si="81"/>
        <v>0</v>
      </c>
      <c r="Z106" s="28">
        <f t="shared" si="81"/>
        <v>0</v>
      </c>
      <c r="AA106" s="28">
        <f t="shared" si="81"/>
        <v>0</v>
      </c>
      <c r="AB106" s="28">
        <f t="shared" si="81"/>
        <v>0</v>
      </c>
      <c r="AC106" s="28">
        <f t="shared" si="81"/>
        <v>0</v>
      </c>
      <c r="AD106" s="28">
        <f t="shared" si="81"/>
        <v>0</v>
      </c>
      <c r="AE106" s="28">
        <f t="shared" si="81"/>
        <v>0</v>
      </c>
      <c r="AF106" s="28">
        <f t="shared" si="81"/>
        <v>0</v>
      </c>
      <c r="AG106" s="28">
        <f t="shared" si="81"/>
        <v>0</v>
      </c>
      <c r="AH106" s="28">
        <f t="shared" si="81"/>
        <v>0</v>
      </c>
      <c r="AI106" s="28">
        <f t="shared" si="81"/>
        <v>0</v>
      </c>
      <c r="AJ106" s="28">
        <f t="shared" si="81"/>
        <v>0</v>
      </c>
      <c r="AK106" s="28">
        <f t="shared" si="81"/>
        <v>0</v>
      </c>
      <c r="AL106" s="28">
        <f t="shared" si="81"/>
        <v>0</v>
      </c>
      <c r="AM106" s="28">
        <f t="shared" si="81"/>
        <v>0</v>
      </c>
      <c r="AN106" s="28">
        <f t="shared" si="81"/>
        <v>0</v>
      </c>
      <c r="AO106" s="28">
        <f t="shared" si="81"/>
        <v>0</v>
      </c>
      <c r="AP106" s="28">
        <f t="shared" si="81"/>
        <v>0</v>
      </c>
      <c r="AQ106" s="28">
        <f t="shared" si="81"/>
        <v>0</v>
      </c>
      <c r="AR106" s="28">
        <f t="shared" si="81"/>
        <v>0</v>
      </c>
      <c r="AS106" s="28">
        <f t="shared" si="81"/>
        <v>0</v>
      </c>
      <c r="AT106" s="28">
        <f t="shared" si="81"/>
        <v>0</v>
      </c>
      <c r="AU106" s="28">
        <f t="shared" si="81"/>
        <v>0</v>
      </c>
      <c r="AV106" s="28">
        <f t="shared" si="81"/>
        <v>0</v>
      </c>
      <c r="AW106" s="28">
        <f t="shared" si="81"/>
        <v>0</v>
      </c>
      <c r="AX106" s="28">
        <f t="shared" ref="AX106:AY106" si="82">COUNTIF(AZ12,"=1")+COUNTIF(AZ22,"=1")+COUNTIF(AZ32,"=1")+COUNTIF(AZ42,"=1")+COUNTIF(AZ52,"=1")+COUNTIF(AZ62,"=1")+COUNTIF(AZ72,"=1")+COUNTIF(AZ82,"=1")+COUNTIF(AZ13,"=2")</f>
        <v>0</v>
      </c>
      <c r="AY106" s="28">
        <f t="shared" si="82"/>
        <v>0</v>
      </c>
      <c r="AZ106" s="28" t="str">
        <f>COUNTIF(#REF!,"=1")+COUNTIF(#REF!,"=1")+COUNTIF(#REF!,"=1")+COUNTIF(#REF!,"=1")+COUNTIF(#REF!,"=1")+COUNTIF(#REF!,"=1")+COUNTIF(#REF!,"=1")+COUNTIF(#REF!,"=1")+COUNTIF(#REF!,"=2")</f>
        <v>#REF!</v>
      </c>
      <c r="BA106" s="28">
        <f t="shared" ref="BA106:BT106" si="83">COUNTIF(BC12,"=1")+COUNTIF(BC22,"=1")+COUNTIF(BC32,"=1")+COUNTIF(BC42,"=1")+COUNTIF(BC52,"=1")+COUNTIF(BC62,"=1")+COUNTIF(BC72,"=1")+COUNTIF(BC82,"=1")+COUNTIF(BC13,"=2")</f>
        <v>0</v>
      </c>
      <c r="BB106" s="28">
        <f t="shared" si="83"/>
        <v>0</v>
      </c>
      <c r="BC106" s="28">
        <f t="shared" si="83"/>
        <v>0</v>
      </c>
      <c r="BD106" s="28">
        <f t="shared" si="83"/>
        <v>0</v>
      </c>
      <c r="BE106" s="28">
        <f t="shared" si="83"/>
        <v>0</v>
      </c>
      <c r="BF106" s="28">
        <f t="shared" si="83"/>
        <v>0</v>
      </c>
      <c r="BG106" s="28">
        <f t="shared" si="83"/>
        <v>0</v>
      </c>
      <c r="BH106" s="28">
        <f t="shared" si="83"/>
        <v>0</v>
      </c>
      <c r="BI106" s="28">
        <f t="shared" si="83"/>
        <v>0</v>
      </c>
      <c r="BJ106" s="28">
        <f t="shared" si="83"/>
        <v>0</v>
      </c>
      <c r="BK106" s="28">
        <f t="shared" si="83"/>
        <v>0</v>
      </c>
      <c r="BL106" s="28">
        <f t="shared" si="83"/>
        <v>0</v>
      </c>
      <c r="BM106" s="28">
        <f t="shared" si="83"/>
        <v>0</v>
      </c>
      <c r="BN106" s="28">
        <f t="shared" si="83"/>
        <v>0</v>
      </c>
      <c r="BO106" s="28">
        <f t="shared" si="83"/>
        <v>0</v>
      </c>
      <c r="BP106" s="28">
        <f t="shared" si="83"/>
        <v>0</v>
      </c>
      <c r="BQ106" s="28">
        <f t="shared" si="83"/>
        <v>0</v>
      </c>
      <c r="BR106" s="28">
        <f t="shared" si="83"/>
        <v>0</v>
      </c>
      <c r="BS106" s="28">
        <f t="shared" si="83"/>
        <v>0</v>
      </c>
      <c r="BT106" s="28">
        <f t="shared" si="83"/>
        <v>0</v>
      </c>
      <c r="BU106" s="28">
        <f>COUNTIF(BB12,"=1")+COUNTIF(BB22,"=1")+COUNTIF(BB32,"=1")+COUNTIF(BB42,"=1")+COUNTIF(BB52,"=1")+COUNTIF(BB62,"=1")+COUNTIF(BB72,"=1")+COUNTIF(BB82,"=1")+COUNTIF(BB13,"=2")</f>
        <v>0</v>
      </c>
      <c r="BV106" s="28">
        <f t="shared" ref="BV106:CP106" si="84">COUNTIF(BX12,"=1")+COUNTIF(BX22,"=1")+COUNTIF(BX32,"=1")+COUNTIF(BX42,"=1")+COUNTIF(BX52,"=1")+COUNTIF(BX62,"=1")+COUNTIF(BX72,"=1")+COUNTIF(BX82,"=1")+COUNTIF(BX13,"=2")</f>
        <v>0</v>
      </c>
      <c r="BW106" s="28">
        <f t="shared" si="84"/>
        <v>0</v>
      </c>
      <c r="BX106" s="28">
        <f t="shared" si="84"/>
        <v>0</v>
      </c>
      <c r="BY106" s="28">
        <f t="shared" si="84"/>
        <v>0</v>
      </c>
      <c r="BZ106" s="28">
        <f t="shared" si="84"/>
        <v>0</v>
      </c>
      <c r="CA106" s="28">
        <f t="shared" si="84"/>
        <v>0</v>
      </c>
      <c r="CB106" s="28">
        <f t="shared" si="84"/>
        <v>0</v>
      </c>
      <c r="CC106" s="28">
        <f t="shared" si="84"/>
        <v>0</v>
      </c>
      <c r="CD106" s="28">
        <f t="shared" si="84"/>
        <v>0</v>
      </c>
      <c r="CE106" s="28">
        <f t="shared" si="84"/>
        <v>0</v>
      </c>
      <c r="CF106" s="28">
        <f t="shared" si="84"/>
        <v>0</v>
      </c>
      <c r="CG106" s="28">
        <f t="shared" si="84"/>
        <v>0</v>
      </c>
      <c r="CH106" s="28">
        <f t="shared" si="84"/>
        <v>0</v>
      </c>
      <c r="CI106" s="28">
        <f t="shared" si="84"/>
        <v>0</v>
      </c>
      <c r="CJ106" s="28">
        <f t="shared" si="84"/>
        <v>0</v>
      </c>
      <c r="CK106" s="28">
        <f t="shared" si="84"/>
        <v>0</v>
      </c>
      <c r="CL106" s="28">
        <f t="shared" si="84"/>
        <v>0</v>
      </c>
      <c r="CM106" s="28">
        <f t="shared" si="84"/>
        <v>0</v>
      </c>
      <c r="CN106" s="28">
        <f t="shared" si="84"/>
        <v>0</v>
      </c>
      <c r="CO106" s="28">
        <f t="shared" si="84"/>
        <v>0</v>
      </c>
      <c r="CP106" s="28">
        <f t="shared" si="84"/>
        <v>0</v>
      </c>
      <c r="CQ106" s="28" t="str">
        <f t="shared" ref="CQ106:CR106" si="85">COUNTIF(#REF!,"=1")+COUNTIF(#REF!,"=1")+COUNTIF(#REF!,"=1")+COUNTIF(#REF!,"=1")+COUNTIF(#REF!,"=1")+COUNTIF(#REF!,"=1")+COUNTIF(#REF!,"=1")+COUNTIF(#REF!,"=1")+COUNTIF(#REF!,"=2")</f>
        <v>#REF!</v>
      </c>
      <c r="CR106" s="28" t="str">
        <f t="shared" si="85"/>
        <v>#REF!</v>
      </c>
      <c r="CS106" s="28">
        <f t="shared" ref="CS106:IQ106" si="86">COUNTIF(CS12,"=1")+COUNTIF(CS22,"=1")+COUNTIF(CS32,"=1")+COUNTIF(CS42,"=1")+COUNTIF(CS52,"=1")+COUNTIF(CS62,"=1")+COUNTIF(CS72,"=1")+COUNTIF(CS82,"=1")+COUNTIF(CS13,"=2")</f>
        <v>0</v>
      </c>
      <c r="CT106" s="28">
        <f t="shared" si="86"/>
        <v>0</v>
      </c>
      <c r="CU106" s="28">
        <f t="shared" si="86"/>
        <v>0</v>
      </c>
      <c r="CV106" s="28">
        <f t="shared" si="86"/>
        <v>0</v>
      </c>
      <c r="CW106" s="28">
        <f t="shared" si="86"/>
        <v>0</v>
      </c>
      <c r="CX106" s="28">
        <f t="shared" si="86"/>
        <v>0</v>
      </c>
      <c r="CY106" s="28">
        <f t="shared" si="86"/>
        <v>0</v>
      </c>
      <c r="CZ106" s="28">
        <f t="shared" si="86"/>
        <v>0</v>
      </c>
      <c r="DA106" s="28">
        <f t="shared" si="86"/>
        <v>0</v>
      </c>
      <c r="DB106" s="28">
        <f t="shared" si="86"/>
        <v>0</v>
      </c>
      <c r="DC106" s="28">
        <f t="shared" si="86"/>
        <v>0</v>
      </c>
      <c r="DD106" s="28">
        <f t="shared" si="86"/>
        <v>0</v>
      </c>
      <c r="DE106" s="28">
        <f t="shared" si="86"/>
        <v>0</v>
      </c>
      <c r="DF106" s="28">
        <f t="shared" si="86"/>
        <v>0</v>
      </c>
      <c r="DG106" s="28">
        <f t="shared" si="86"/>
        <v>0</v>
      </c>
      <c r="DH106" s="28">
        <f t="shared" si="86"/>
        <v>0</v>
      </c>
      <c r="DI106" s="28">
        <f t="shared" si="86"/>
        <v>0</v>
      </c>
      <c r="DJ106" s="28">
        <f t="shared" si="86"/>
        <v>0</v>
      </c>
      <c r="DK106" s="28">
        <f t="shared" si="86"/>
        <v>0</v>
      </c>
      <c r="DL106" s="28">
        <f t="shared" si="86"/>
        <v>0</v>
      </c>
      <c r="DM106" s="28">
        <f t="shared" si="86"/>
        <v>0</v>
      </c>
      <c r="DN106" s="28">
        <f t="shared" si="86"/>
        <v>0</v>
      </c>
      <c r="DO106" s="28">
        <f t="shared" si="86"/>
        <v>0</v>
      </c>
      <c r="DP106" s="28">
        <f t="shared" si="86"/>
        <v>0</v>
      </c>
      <c r="DQ106" s="28">
        <f t="shared" si="86"/>
        <v>0</v>
      </c>
      <c r="DR106" s="28">
        <f t="shared" si="86"/>
        <v>0</v>
      </c>
      <c r="DS106" s="28">
        <f t="shared" si="86"/>
        <v>0</v>
      </c>
      <c r="DT106" s="28">
        <f t="shared" si="86"/>
        <v>0</v>
      </c>
      <c r="DU106" s="28">
        <f t="shared" si="86"/>
        <v>0</v>
      </c>
      <c r="DV106" s="28">
        <f t="shared" si="86"/>
        <v>0</v>
      </c>
      <c r="DW106" s="28">
        <f t="shared" si="86"/>
        <v>0</v>
      </c>
      <c r="DX106" s="28">
        <f t="shared" si="86"/>
        <v>0</v>
      </c>
      <c r="DY106" s="28">
        <f t="shared" si="86"/>
        <v>0</v>
      </c>
      <c r="DZ106" s="28">
        <f t="shared" si="86"/>
        <v>0</v>
      </c>
      <c r="EA106" s="28">
        <f t="shared" si="86"/>
        <v>0</v>
      </c>
      <c r="EB106" s="28">
        <f t="shared" si="86"/>
        <v>0</v>
      </c>
      <c r="EC106" s="28">
        <f t="shared" si="86"/>
        <v>0</v>
      </c>
      <c r="ED106" s="28">
        <f t="shared" si="86"/>
        <v>0</v>
      </c>
      <c r="EE106" s="28">
        <f t="shared" si="86"/>
        <v>0</v>
      </c>
      <c r="EF106" s="28">
        <f t="shared" si="86"/>
        <v>0</v>
      </c>
      <c r="EG106" s="28">
        <f t="shared" si="86"/>
        <v>0</v>
      </c>
      <c r="EH106" s="28">
        <f t="shared" si="86"/>
        <v>0</v>
      </c>
      <c r="EI106" s="28">
        <f t="shared" si="86"/>
        <v>0</v>
      </c>
      <c r="EJ106" s="28">
        <f t="shared" si="86"/>
        <v>0</v>
      </c>
      <c r="EK106" s="28">
        <f t="shared" si="86"/>
        <v>0</v>
      </c>
      <c r="EL106" s="28">
        <f t="shared" si="86"/>
        <v>0</v>
      </c>
      <c r="EM106" s="28">
        <f t="shared" si="86"/>
        <v>0</v>
      </c>
      <c r="EN106" s="28">
        <f t="shared" si="86"/>
        <v>0</v>
      </c>
      <c r="EO106" s="28">
        <f t="shared" si="86"/>
        <v>0</v>
      </c>
      <c r="EP106" s="28">
        <f t="shared" si="86"/>
        <v>0</v>
      </c>
      <c r="EQ106" s="28">
        <f t="shared" si="86"/>
        <v>0</v>
      </c>
      <c r="ER106" s="28">
        <f t="shared" si="86"/>
        <v>0</v>
      </c>
      <c r="ES106" s="28">
        <f t="shared" si="86"/>
        <v>0</v>
      </c>
      <c r="ET106" s="28">
        <f t="shared" si="86"/>
        <v>0</v>
      </c>
      <c r="EU106" s="28">
        <f t="shared" si="86"/>
        <v>0</v>
      </c>
      <c r="EV106" s="28">
        <f t="shared" si="86"/>
        <v>0</v>
      </c>
      <c r="EW106" s="28">
        <f t="shared" si="86"/>
        <v>0</v>
      </c>
      <c r="EX106" s="28">
        <f t="shared" si="86"/>
        <v>0</v>
      </c>
      <c r="EY106" s="28">
        <f t="shared" si="86"/>
        <v>0</v>
      </c>
      <c r="EZ106" s="28">
        <f t="shared" si="86"/>
        <v>0</v>
      </c>
      <c r="FA106" s="28">
        <f t="shared" si="86"/>
        <v>0</v>
      </c>
      <c r="FB106" s="28">
        <f t="shared" si="86"/>
        <v>0</v>
      </c>
      <c r="FC106" s="28">
        <f t="shared" si="86"/>
        <v>0</v>
      </c>
      <c r="FD106" s="28">
        <f t="shared" si="86"/>
        <v>0</v>
      </c>
      <c r="FE106" s="28">
        <f t="shared" si="86"/>
        <v>0</v>
      </c>
      <c r="FF106" s="28">
        <f t="shared" si="86"/>
        <v>0</v>
      </c>
      <c r="FG106" s="28">
        <f t="shared" si="86"/>
        <v>0</v>
      </c>
      <c r="FH106" s="28">
        <f t="shared" si="86"/>
        <v>0</v>
      </c>
      <c r="FI106" s="28">
        <f t="shared" si="86"/>
        <v>0</v>
      </c>
      <c r="FJ106" s="28">
        <f t="shared" si="86"/>
        <v>0</v>
      </c>
      <c r="FK106" s="28">
        <f t="shared" si="86"/>
        <v>0</v>
      </c>
      <c r="FL106" s="28">
        <f t="shared" si="86"/>
        <v>0</v>
      </c>
      <c r="FM106" s="28">
        <f t="shared" si="86"/>
        <v>0</v>
      </c>
      <c r="FN106" s="28">
        <f t="shared" si="86"/>
        <v>0</v>
      </c>
      <c r="FO106" s="28">
        <f t="shared" si="86"/>
        <v>0</v>
      </c>
      <c r="FP106" s="28">
        <f t="shared" si="86"/>
        <v>0</v>
      </c>
      <c r="FQ106" s="28">
        <f t="shared" si="86"/>
        <v>0</v>
      </c>
      <c r="FR106" s="28">
        <f t="shared" si="86"/>
        <v>0</v>
      </c>
      <c r="FS106" s="28">
        <f t="shared" si="86"/>
        <v>0</v>
      </c>
      <c r="FT106" s="28">
        <f t="shared" si="86"/>
        <v>0</v>
      </c>
      <c r="FU106" s="28">
        <f t="shared" si="86"/>
        <v>0</v>
      </c>
      <c r="FV106" s="28">
        <f t="shared" si="86"/>
        <v>0</v>
      </c>
      <c r="FW106" s="28">
        <f t="shared" si="86"/>
        <v>0</v>
      </c>
      <c r="FX106" s="28">
        <f t="shared" si="86"/>
        <v>0</v>
      </c>
      <c r="FY106" s="28">
        <f t="shared" si="86"/>
        <v>0</v>
      </c>
      <c r="FZ106" s="28">
        <f t="shared" si="86"/>
        <v>0</v>
      </c>
      <c r="GA106" s="28">
        <f t="shared" si="86"/>
        <v>0</v>
      </c>
      <c r="GB106" s="28">
        <f t="shared" si="86"/>
        <v>0</v>
      </c>
      <c r="GC106" s="28">
        <f t="shared" si="86"/>
        <v>0</v>
      </c>
      <c r="GD106" s="28">
        <f t="shared" si="86"/>
        <v>0</v>
      </c>
      <c r="GE106" s="28">
        <f t="shared" si="86"/>
        <v>0</v>
      </c>
      <c r="GF106" s="28">
        <f t="shared" si="86"/>
        <v>0</v>
      </c>
      <c r="GG106" s="28">
        <f t="shared" si="86"/>
        <v>0</v>
      </c>
      <c r="GH106" s="28">
        <f t="shared" si="86"/>
        <v>0</v>
      </c>
      <c r="GI106" s="28">
        <f t="shared" si="86"/>
        <v>0</v>
      </c>
      <c r="GJ106" s="28">
        <f t="shared" si="86"/>
        <v>0</v>
      </c>
      <c r="GK106" s="28">
        <f t="shared" si="86"/>
        <v>0</v>
      </c>
      <c r="GL106" s="28">
        <f t="shared" si="86"/>
        <v>0</v>
      </c>
      <c r="GM106" s="28">
        <f t="shared" si="86"/>
        <v>0</v>
      </c>
      <c r="GN106" s="28">
        <f t="shared" si="86"/>
        <v>0</v>
      </c>
      <c r="GO106" s="28">
        <f t="shared" si="86"/>
        <v>0</v>
      </c>
      <c r="GP106" s="28">
        <f t="shared" si="86"/>
        <v>0</v>
      </c>
      <c r="GQ106" s="28">
        <f t="shared" si="86"/>
        <v>0</v>
      </c>
      <c r="GR106" s="28">
        <f t="shared" si="86"/>
        <v>0</v>
      </c>
      <c r="GS106" s="28">
        <f t="shared" si="86"/>
        <v>0</v>
      </c>
      <c r="GT106" s="28">
        <f t="shared" si="86"/>
        <v>0</v>
      </c>
      <c r="GU106" s="28">
        <f t="shared" si="86"/>
        <v>0</v>
      </c>
      <c r="GV106" s="28">
        <f t="shared" si="86"/>
        <v>0</v>
      </c>
      <c r="GW106" s="28">
        <f t="shared" si="86"/>
        <v>0</v>
      </c>
      <c r="GX106" s="28">
        <f t="shared" si="86"/>
        <v>0</v>
      </c>
      <c r="GY106" s="28">
        <f t="shared" si="86"/>
        <v>0</v>
      </c>
      <c r="GZ106" s="28">
        <f t="shared" si="86"/>
        <v>0</v>
      </c>
      <c r="HA106" s="28">
        <f t="shared" si="86"/>
        <v>0</v>
      </c>
      <c r="HB106" s="28">
        <f t="shared" si="86"/>
        <v>0</v>
      </c>
      <c r="HC106" s="28">
        <f t="shared" si="86"/>
        <v>0</v>
      </c>
      <c r="HD106" s="28">
        <f t="shared" si="86"/>
        <v>0</v>
      </c>
      <c r="HE106" s="28">
        <f t="shared" si="86"/>
        <v>0</v>
      </c>
      <c r="HF106" s="28">
        <f t="shared" si="86"/>
        <v>0</v>
      </c>
      <c r="HG106" s="28">
        <f t="shared" si="86"/>
        <v>0</v>
      </c>
      <c r="HH106" s="28">
        <f t="shared" si="86"/>
        <v>0</v>
      </c>
      <c r="HI106" s="28">
        <f t="shared" si="86"/>
        <v>0</v>
      </c>
      <c r="HJ106" s="28">
        <f t="shared" si="86"/>
        <v>0</v>
      </c>
      <c r="HK106" s="28">
        <f t="shared" si="86"/>
        <v>0</v>
      </c>
      <c r="HL106" s="28">
        <f t="shared" si="86"/>
        <v>0</v>
      </c>
      <c r="HM106" s="28">
        <f t="shared" si="86"/>
        <v>0</v>
      </c>
      <c r="HN106" s="28">
        <f t="shared" si="86"/>
        <v>0</v>
      </c>
      <c r="HO106" s="28">
        <f t="shared" si="86"/>
        <v>0</v>
      </c>
      <c r="HP106" s="28">
        <f t="shared" si="86"/>
        <v>0</v>
      </c>
      <c r="HQ106" s="28">
        <f t="shared" si="86"/>
        <v>0</v>
      </c>
      <c r="HR106" s="28">
        <f t="shared" si="86"/>
        <v>0</v>
      </c>
      <c r="HS106" s="28">
        <f t="shared" si="86"/>
        <v>0</v>
      </c>
      <c r="HT106" s="28">
        <f t="shared" si="86"/>
        <v>0</v>
      </c>
      <c r="HU106" s="28">
        <f t="shared" si="86"/>
        <v>0</v>
      </c>
      <c r="HV106" s="28">
        <f t="shared" si="86"/>
        <v>0</v>
      </c>
      <c r="HW106" s="28">
        <f t="shared" si="86"/>
        <v>0</v>
      </c>
      <c r="HX106" s="28">
        <f t="shared" si="86"/>
        <v>0</v>
      </c>
      <c r="HY106" s="28">
        <f t="shared" si="86"/>
        <v>0</v>
      </c>
      <c r="HZ106" s="28">
        <f t="shared" si="86"/>
        <v>0</v>
      </c>
      <c r="IA106" s="28">
        <f t="shared" si="86"/>
        <v>0</v>
      </c>
      <c r="IB106" s="28">
        <f t="shared" si="86"/>
        <v>0</v>
      </c>
      <c r="IC106" s="28">
        <f t="shared" si="86"/>
        <v>0</v>
      </c>
      <c r="ID106" s="28">
        <f t="shared" si="86"/>
        <v>0</v>
      </c>
      <c r="IE106" s="28">
        <f t="shared" si="86"/>
        <v>0</v>
      </c>
      <c r="IF106" s="28">
        <f t="shared" si="86"/>
        <v>0</v>
      </c>
      <c r="IG106" s="28">
        <f t="shared" si="86"/>
        <v>0</v>
      </c>
      <c r="IH106" s="28">
        <f t="shared" si="86"/>
        <v>0</v>
      </c>
      <c r="II106" s="28">
        <f t="shared" si="86"/>
        <v>0</v>
      </c>
      <c r="IJ106" s="28">
        <f t="shared" si="86"/>
        <v>0</v>
      </c>
      <c r="IK106" s="28">
        <f t="shared" si="86"/>
        <v>0</v>
      </c>
      <c r="IL106" s="28">
        <f t="shared" si="86"/>
        <v>0</v>
      </c>
      <c r="IM106" s="28">
        <f t="shared" si="86"/>
        <v>0</v>
      </c>
      <c r="IN106" s="28">
        <f t="shared" si="86"/>
        <v>0</v>
      </c>
      <c r="IO106" s="28">
        <f t="shared" si="86"/>
        <v>0</v>
      </c>
      <c r="IP106" s="28">
        <f t="shared" si="86"/>
        <v>0</v>
      </c>
      <c r="IQ106" s="28">
        <f t="shared" si="86"/>
        <v>0</v>
      </c>
      <c r="IR106" s="28"/>
      <c r="IS106" s="28"/>
      <c r="IT106" s="28"/>
      <c r="IU106" s="28"/>
      <c r="IV106" s="28"/>
    </row>
    <row r="107" ht="11.25" customHeight="1">
      <c r="A107" s="27" t="s">
        <v>129</v>
      </c>
      <c r="B107" s="28">
        <f t="shared" ref="B107:D107" si="87">COUNTIF(B11,"=1")+COUNTIF(B21,"=1")+COUNTIF(B31,"=1")+COUNTIF(B41,"=1")+COUNTIF(B51,"=1")+COUNTIF(B61,"=1")+COUNTIF(B71,"=1")+COUNTIF(B12,"=2")+COUNTIF(B23,"=2")</f>
        <v>4</v>
      </c>
      <c r="C107" s="28">
        <f t="shared" si="87"/>
        <v>4</v>
      </c>
      <c r="D107" s="28">
        <f t="shared" si="87"/>
        <v>4</v>
      </c>
      <c r="E107" s="28" t="str">
        <f>COUNTIF(#REF!,"=1")+COUNTIF(#REF!,"=1")+COUNTIF(#REF!,"=1")+COUNTIF(#REF!,"=1")+COUNTIF(#REF!,"=1")+COUNTIF(#REF!,"=1")+COUNTIF(#REF!,"=1")+COUNTIF(#REF!,"=2")+COUNTIF(#REF!,"=2")</f>
        <v>#REF!</v>
      </c>
      <c r="F107" s="28">
        <f t="shared" ref="F107:AW107" si="88">COUNTIF(F11,"=1")+COUNTIF(F21,"=1")+COUNTIF(F31,"=1")+COUNTIF(F41,"=1")+COUNTIF(F51,"=1")+COUNTIF(F61,"=1")+COUNTIF(F71,"=1")+COUNTIF(F12,"=2")+COUNTIF(F23,"=2")</f>
        <v>4</v>
      </c>
      <c r="G107" s="28">
        <f t="shared" si="88"/>
        <v>0</v>
      </c>
      <c r="H107" s="28">
        <f t="shared" si="88"/>
        <v>0</v>
      </c>
      <c r="I107" s="28">
        <f t="shared" si="88"/>
        <v>0</v>
      </c>
      <c r="J107" s="28">
        <f t="shared" si="88"/>
        <v>0</v>
      </c>
      <c r="K107" s="28">
        <f t="shared" si="88"/>
        <v>0</v>
      </c>
      <c r="L107" s="28">
        <f t="shared" si="88"/>
        <v>0</v>
      </c>
      <c r="M107" s="28">
        <f t="shared" si="88"/>
        <v>0</v>
      </c>
      <c r="N107" s="28">
        <f t="shared" si="88"/>
        <v>0</v>
      </c>
      <c r="O107" s="28">
        <f t="shared" si="88"/>
        <v>0</v>
      </c>
      <c r="P107" s="28">
        <f t="shared" si="88"/>
        <v>0</v>
      </c>
      <c r="Q107" s="28">
        <f t="shared" si="88"/>
        <v>0</v>
      </c>
      <c r="R107" s="28">
        <f t="shared" si="88"/>
        <v>0</v>
      </c>
      <c r="S107" s="28">
        <f t="shared" si="88"/>
        <v>0</v>
      </c>
      <c r="T107" s="28">
        <f t="shared" si="88"/>
        <v>0</v>
      </c>
      <c r="U107" s="28">
        <f t="shared" si="88"/>
        <v>0</v>
      </c>
      <c r="V107" s="28">
        <f t="shared" si="88"/>
        <v>0</v>
      </c>
      <c r="W107" s="28">
        <f t="shared" si="88"/>
        <v>0</v>
      </c>
      <c r="X107" s="28">
        <f t="shared" si="88"/>
        <v>0</v>
      </c>
      <c r="Y107" s="28">
        <f t="shared" si="88"/>
        <v>0</v>
      </c>
      <c r="Z107" s="28">
        <f t="shared" si="88"/>
        <v>0</v>
      </c>
      <c r="AA107" s="28">
        <f t="shared" si="88"/>
        <v>0</v>
      </c>
      <c r="AB107" s="28">
        <f t="shared" si="88"/>
        <v>0</v>
      </c>
      <c r="AC107" s="28">
        <f t="shared" si="88"/>
        <v>0</v>
      </c>
      <c r="AD107" s="28">
        <f t="shared" si="88"/>
        <v>0</v>
      </c>
      <c r="AE107" s="28">
        <f t="shared" si="88"/>
        <v>0</v>
      </c>
      <c r="AF107" s="28">
        <f t="shared" si="88"/>
        <v>0</v>
      </c>
      <c r="AG107" s="28">
        <f t="shared" si="88"/>
        <v>0</v>
      </c>
      <c r="AH107" s="28">
        <f t="shared" si="88"/>
        <v>0</v>
      </c>
      <c r="AI107" s="28">
        <f t="shared" si="88"/>
        <v>0</v>
      </c>
      <c r="AJ107" s="28">
        <f t="shared" si="88"/>
        <v>0</v>
      </c>
      <c r="AK107" s="28">
        <f t="shared" si="88"/>
        <v>0</v>
      </c>
      <c r="AL107" s="28">
        <f t="shared" si="88"/>
        <v>0</v>
      </c>
      <c r="AM107" s="28">
        <f t="shared" si="88"/>
        <v>0</v>
      </c>
      <c r="AN107" s="28">
        <f t="shared" si="88"/>
        <v>0</v>
      </c>
      <c r="AO107" s="28">
        <f t="shared" si="88"/>
        <v>0</v>
      </c>
      <c r="AP107" s="28">
        <f t="shared" si="88"/>
        <v>0</v>
      </c>
      <c r="AQ107" s="28">
        <f t="shared" si="88"/>
        <v>0</v>
      </c>
      <c r="AR107" s="28">
        <f t="shared" si="88"/>
        <v>0</v>
      </c>
      <c r="AS107" s="28">
        <f t="shared" si="88"/>
        <v>0</v>
      </c>
      <c r="AT107" s="28">
        <f t="shared" si="88"/>
        <v>0</v>
      </c>
      <c r="AU107" s="28">
        <f t="shared" si="88"/>
        <v>0</v>
      </c>
      <c r="AV107" s="28">
        <f t="shared" si="88"/>
        <v>0</v>
      </c>
      <c r="AW107" s="28">
        <f t="shared" si="88"/>
        <v>0</v>
      </c>
      <c r="AX107" s="28">
        <f t="shared" ref="AX107:AY107" si="89">COUNTIF(AZ11,"=1")+COUNTIF(AZ21,"=1")+COUNTIF(AZ31,"=1")+COUNTIF(AZ41,"=1")+COUNTIF(AZ51,"=1")+COUNTIF(AZ61,"=1")+COUNTIF(AZ71,"=1")+COUNTIF(AZ12,"=2")+COUNTIF(AZ23,"=2")</f>
        <v>0</v>
      </c>
      <c r="AY107" s="28">
        <f t="shared" si="89"/>
        <v>0</v>
      </c>
      <c r="AZ107" s="28" t="str">
        <f>COUNTIF(#REF!,"=1")+COUNTIF(#REF!,"=1")+COUNTIF(#REF!,"=1")+COUNTIF(#REF!,"=1")+COUNTIF(#REF!,"=1")+COUNTIF(#REF!,"=1")+COUNTIF(#REF!,"=1")+COUNTIF(#REF!,"=2")+COUNTIF(#REF!,"=2")</f>
        <v>#REF!</v>
      </c>
      <c r="BA107" s="28">
        <f t="shared" ref="BA107:BT107" si="90">COUNTIF(BC11,"=1")+COUNTIF(BC21,"=1")+COUNTIF(BC31,"=1")+COUNTIF(BC41,"=1")+COUNTIF(BC51,"=1")+COUNTIF(BC61,"=1")+COUNTIF(BC71,"=1")+COUNTIF(BC12,"=2")+COUNTIF(BC23,"=2")</f>
        <v>0</v>
      </c>
      <c r="BB107" s="28">
        <f t="shared" si="90"/>
        <v>0</v>
      </c>
      <c r="BC107" s="28">
        <f t="shared" si="90"/>
        <v>0</v>
      </c>
      <c r="BD107" s="28">
        <f t="shared" si="90"/>
        <v>0</v>
      </c>
      <c r="BE107" s="28">
        <f t="shared" si="90"/>
        <v>0</v>
      </c>
      <c r="BF107" s="28">
        <f t="shared" si="90"/>
        <v>0</v>
      </c>
      <c r="BG107" s="28">
        <f t="shared" si="90"/>
        <v>0</v>
      </c>
      <c r="BH107" s="28">
        <f t="shared" si="90"/>
        <v>0</v>
      </c>
      <c r="BI107" s="28">
        <f t="shared" si="90"/>
        <v>0</v>
      </c>
      <c r="BJ107" s="28">
        <f t="shared" si="90"/>
        <v>0</v>
      </c>
      <c r="BK107" s="28">
        <f t="shared" si="90"/>
        <v>0</v>
      </c>
      <c r="BL107" s="28">
        <f t="shared" si="90"/>
        <v>0</v>
      </c>
      <c r="BM107" s="28">
        <f t="shared" si="90"/>
        <v>0</v>
      </c>
      <c r="BN107" s="28">
        <f t="shared" si="90"/>
        <v>0</v>
      </c>
      <c r="BO107" s="28">
        <f t="shared" si="90"/>
        <v>0</v>
      </c>
      <c r="BP107" s="28">
        <f t="shared" si="90"/>
        <v>0</v>
      </c>
      <c r="BQ107" s="28">
        <f t="shared" si="90"/>
        <v>0</v>
      </c>
      <c r="BR107" s="28">
        <f t="shared" si="90"/>
        <v>0</v>
      </c>
      <c r="BS107" s="28">
        <f t="shared" si="90"/>
        <v>0</v>
      </c>
      <c r="BT107" s="28">
        <f t="shared" si="90"/>
        <v>0</v>
      </c>
      <c r="BU107" s="28">
        <f>COUNTIF(BB11,"=1")+COUNTIF(BB21,"=1")+COUNTIF(BB31,"=1")+COUNTIF(BB41,"=1")+COUNTIF(BB51,"=1")+COUNTIF(BB61,"=1")+COUNTIF(BB71,"=1")+COUNTIF(BB12,"=2")+COUNTIF(BB23,"=2")</f>
        <v>0</v>
      </c>
      <c r="BV107" s="28">
        <f t="shared" ref="BV107:CP107" si="91">COUNTIF(BX11,"=1")+COUNTIF(BX21,"=1")+COUNTIF(BX31,"=1")+COUNTIF(BX41,"=1")+COUNTIF(BX51,"=1")+COUNTIF(BX61,"=1")+COUNTIF(BX71,"=1")+COUNTIF(BX12,"=2")+COUNTIF(BX23,"=2")</f>
        <v>0</v>
      </c>
      <c r="BW107" s="28">
        <f t="shared" si="91"/>
        <v>0</v>
      </c>
      <c r="BX107" s="28">
        <f t="shared" si="91"/>
        <v>0</v>
      </c>
      <c r="BY107" s="28">
        <f t="shared" si="91"/>
        <v>0</v>
      </c>
      <c r="BZ107" s="28">
        <f t="shared" si="91"/>
        <v>0</v>
      </c>
      <c r="CA107" s="28">
        <f t="shared" si="91"/>
        <v>0</v>
      </c>
      <c r="CB107" s="28">
        <f t="shared" si="91"/>
        <v>0</v>
      </c>
      <c r="CC107" s="28">
        <f t="shared" si="91"/>
        <v>0</v>
      </c>
      <c r="CD107" s="28">
        <f t="shared" si="91"/>
        <v>0</v>
      </c>
      <c r="CE107" s="28">
        <f t="shared" si="91"/>
        <v>0</v>
      </c>
      <c r="CF107" s="28">
        <f t="shared" si="91"/>
        <v>0</v>
      </c>
      <c r="CG107" s="28">
        <f t="shared" si="91"/>
        <v>0</v>
      </c>
      <c r="CH107" s="28">
        <f t="shared" si="91"/>
        <v>0</v>
      </c>
      <c r="CI107" s="28">
        <f t="shared" si="91"/>
        <v>0</v>
      </c>
      <c r="CJ107" s="28">
        <f t="shared" si="91"/>
        <v>0</v>
      </c>
      <c r="CK107" s="28">
        <f t="shared" si="91"/>
        <v>0</v>
      </c>
      <c r="CL107" s="28">
        <f t="shared" si="91"/>
        <v>0</v>
      </c>
      <c r="CM107" s="28">
        <f t="shared" si="91"/>
        <v>0</v>
      </c>
      <c r="CN107" s="28">
        <f t="shared" si="91"/>
        <v>0</v>
      </c>
      <c r="CO107" s="28">
        <f t="shared" si="91"/>
        <v>0</v>
      </c>
      <c r="CP107" s="28">
        <f t="shared" si="91"/>
        <v>0</v>
      </c>
      <c r="CQ107" s="28" t="str">
        <f t="shared" ref="CQ107:CR107" si="92">COUNTIF(#REF!,"=1")+COUNTIF(#REF!,"=1")+COUNTIF(#REF!,"=1")+COUNTIF(#REF!,"=1")+COUNTIF(#REF!,"=1")+COUNTIF(#REF!,"=1")+COUNTIF(#REF!,"=1")+COUNTIF(#REF!,"=2")+COUNTIF(#REF!,"=2")</f>
        <v>#REF!</v>
      </c>
      <c r="CR107" s="28" t="str">
        <f t="shared" si="92"/>
        <v>#REF!</v>
      </c>
      <c r="CS107" s="28">
        <f t="shared" ref="CS107:IQ107" si="93">COUNTIF(CS11,"=1")+COUNTIF(CS21,"=1")+COUNTIF(CS31,"=1")+COUNTIF(CS41,"=1")+COUNTIF(CS51,"=1")+COUNTIF(CS61,"=1")+COUNTIF(CS71,"=1")+COUNTIF(CS12,"=2")+COUNTIF(CS23,"=2")</f>
        <v>0</v>
      </c>
      <c r="CT107" s="28">
        <f t="shared" si="93"/>
        <v>0</v>
      </c>
      <c r="CU107" s="28">
        <f t="shared" si="93"/>
        <v>0</v>
      </c>
      <c r="CV107" s="28">
        <f t="shared" si="93"/>
        <v>0</v>
      </c>
      <c r="CW107" s="28">
        <f t="shared" si="93"/>
        <v>0</v>
      </c>
      <c r="CX107" s="28">
        <f t="shared" si="93"/>
        <v>0</v>
      </c>
      <c r="CY107" s="28">
        <f t="shared" si="93"/>
        <v>0</v>
      </c>
      <c r="CZ107" s="28">
        <f t="shared" si="93"/>
        <v>0</v>
      </c>
      <c r="DA107" s="28">
        <f t="shared" si="93"/>
        <v>0</v>
      </c>
      <c r="DB107" s="28">
        <f t="shared" si="93"/>
        <v>0</v>
      </c>
      <c r="DC107" s="28">
        <f t="shared" si="93"/>
        <v>0</v>
      </c>
      <c r="DD107" s="28">
        <f t="shared" si="93"/>
        <v>0</v>
      </c>
      <c r="DE107" s="28">
        <f t="shared" si="93"/>
        <v>0</v>
      </c>
      <c r="DF107" s="28">
        <f t="shared" si="93"/>
        <v>0</v>
      </c>
      <c r="DG107" s="28">
        <f t="shared" si="93"/>
        <v>0</v>
      </c>
      <c r="DH107" s="28">
        <f t="shared" si="93"/>
        <v>0</v>
      </c>
      <c r="DI107" s="28">
        <f t="shared" si="93"/>
        <v>0</v>
      </c>
      <c r="DJ107" s="28">
        <f t="shared" si="93"/>
        <v>0</v>
      </c>
      <c r="DK107" s="28">
        <f t="shared" si="93"/>
        <v>0</v>
      </c>
      <c r="DL107" s="28">
        <f t="shared" si="93"/>
        <v>0</v>
      </c>
      <c r="DM107" s="28">
        <f t="shared" si="93"/>
        <v>0</v>
      </c>
      <c r="DN107" s="28">
        <f t="shared" si="93"/>
        <v>0</v>
      </c>
      <c r="DO107" s="28">
        <f t="shared" si="93"/>
        <v>0</v>
      </c>
      <c r="DP107" s="28">
        <f t="shared" si="93"/>
        <v>0</v>
      </c>
      <c r="DQ107" s="28">
        <f t="shared" si="93"/>
        <v>0</v>
      </c>
      <c r="DR107" s="28">
        <f t="shared" si="93"/>
        <v>0</v>
      </c>
      <c r="DS107" s="28">
        <f t="shared" si="93"/>
        <v>0</v>
      </c>
      <c r="DT107" s="28">
        <f t="shared" si="93"/>
        <v>0</v>
      </c>
      <c r="DU107" s="28">
        <f t="shared" si="93"/>
        <v>0</v>
      </c>
      <c r="DV107" s="28">
        <f t="shared" si="93"/>
        <v>0</v>
      </c>
      <c r="DW107" s="28">
        <f t="shared" si="93"/>
        <v>0</v>
      </c>
      <c r="DX107" s="28">
        <f t="shared" si="93"/>
        <v>0</v>
      </c>
      <c r="DY107" s="28">
        <f t="shared" si="93"/>
        <v>0</v>
      </c>
      <c r="DZ107" s="28">
        <f t="shared" si="93"/>
        <v>0</v>
      </c>
      <c r="EA107" s="28">
        <f t="shared" si="93"/>
        <v>0</v>
      </c>
      <c r="EB107" s="28">
        <f t="shared" si="93"/>
        <v>0</v>
      </c>
      <c r="EC107" s="28">
        <f t="shared" si="93"/>
        <v>0</v>
      </c>
      <c r="ED107" s="28">
        <f t="shared" si="93"/>
        <v>0</v>
      </c>
      <c r="EE107" s="28">
        <f t="shared" si="93"/>
        <v>0</v>
      </c>
      <c r="EF107" s="28">
        <f t="shared" si="93"/>
        <v>0</v>
      </c>
      <c r="EG107" s="28">
        <f t="shared" si="93"/>
        <v>0</v>
      </c>
      <c r="EH107" s="28">
        <f t="shared" si="93"/>
        <v>0</v>
      </c>
      <c r="EI107" s="28">
        <f t="shared" si="93"/>
        <v>0</v>
      </c>
      <c r="EJ107" s="28">
        <f t="shared" si="93"/>
        <v>0</v>
      </c>
      <c r="EK107" s="28">
        <f t="shared" si="93"/>
        <v>0</v>
      </c>
      <c r="EL107" s="28">
        <f t="shared" si="93"/>
        <v>0</v>
      </c>
      <c r="EM107" s="28">
        <f t="shared" si="93"/>
        <v>0</v>
      </c>
      <c r="EN107" s="28">
        <f t="shared" si="93"/>
        <v>0</v>
      </c>
      <c r="EO107" s="28">
        <f t="shared" si="93"/>
        <v>0</v>
      </c>
      <c r="EP107" s="28">
        <f t="shared" si="93"/>
        <v>0</v>
      </c>
      <c r="EQ107" s="28">
        <f t="shared" si="93"/>
        <v>0</v>
      </c>
      <c r="ER107" s="28">
        <f t="shared" si="93"/>
        <v>0</v>
      </c>
      <c r="ES107" s="28">
        <f t="shared" si="93"/>
        <v>0</v>
      </c>
      <c r="ET107" s="28">
        <f t="shared" si="93"/>
        <v>0</v>
      </c>
      <c r="EU107" s="28">
        <f t="shared" si="93"/>
        <v>0</v>
      </c>
      <c r="EV107" s="28">
        <f t="shared" si="93"/>
        <v>0</v>
      </c>
      <c r="EW107" s="28">
        <f t="shared" si="93"/>
        <v>0</v>
      </c>
      <c r="EX107" s="28">
        <f t="shared" si="93"/>
        <v>0</v>
      </c>
      <c r="EY107" s="28">
        <f t="shared" si="93"/>
        <v>0</v>
      </c>
      <c r="EZ107" s="28">
        <f t="shared" si="93"/>
        <v>0</v>
      </c>
      <c r="FA107" s="28">
        <f t="shared" si="93"/>
        <v>0</v>
      </c>
      <c r="FB107" s="28">
        <f t="shared" si="93"/>
        <v>0</v>
      </c>
      <c r="FC107" s="28">
        <f t="shared" si="93"/>
        <v>0</v>
      </c>
      <c r="FD107" s="28">
        <f t="shared" si="93"/>
        <v>0</v>
      </c>
      <c r="FE107" s="28">
        <f t="shared" si="93"/>
        <v>0</v>
      </c>
      <c r="FF107" s="28">
        <f t="shared" si="93"/>
        <v>0</v>
      </c>
      <c r="FG107" s="28">
        <f t="shared" si="93"/>
        <v>0</v>
      </c>
      <c r="FH107" s="28">
        <f t="shared" si="93"/>
        <v>0</v>
      </c>
      <c r="FI107" s="28">
        <f t="shared" si="93"/>
        <v>0</v>
      </c>
      <c r="FJ107" s="28">
        <f t="shared" si="93"/>
        <v>0</v>
      </c>
      <c r="FK107" s="28">
        <f t="shared" si="93"/>
        <v>0</v>
      </c>
      <c r="FL107" s="28">
        <f t="shared" si="93"/>
        <v>0</v>
      </c>
      <c r="FM107" s="28">
        <f t="shared" si="93"/>
        <v>0</v>
      </c>
      <c r="FN107" s="28">
        <f t="shared" si="93"/>
        <v>0</v>
      </c>
      <c r="FO107" s="28">
        <f t="shared" si="93"/>
        <v>0</v>
      </c>
      <c r="FP107" s="28">
        <f t="shared" si="93"/>
        <v>0</v>
      </c>
      <c r="FQ107" s="28">
        <f t="shared" si="93"/>
        <v>0</v>
      </c>
      <c r="FR107" s="28">
        <f t="shared" si="93"/>
        <v>0</v>
      </c>
      <c r="FS107" s="28">
        <f t="shared" si="93"/>
        <v>0</v>
      </c>
      <c r="FT107" s="28">
        <f t="shared" si="93"/>
        <v>0</v>
      </c>
      <c r="FU107" s="28">
        <f t="shared" si="93"/>
        <v>0</v>
      </c>
      <c r="FV107" s="28">
        <f t="shared" si="93"/>
        <v>0</v>
      </c>
      <c r="FW107" s="28">
        <f t="shared" si="93"/>
        <v>0</v>
      </c>
      <c r="FX107" s="28">
        <f t="shared" si="93"/>
        <v>0</v>
      </c>
      <c r="FY107" s="28">
        <f t="shared" si="93"/>
        <v>0</v>
      </c>
      <c r="FZ107" s="28">
        <f t="shared" si="93"/>
        <v>0</v>
      </c>
      <c r="GA107" s="28">
        <f t="shared" si="93"/>
        <v>0</v>
      </c>
      <c r="GB107" s="28">
        <f t="shared" si="93"/>
        <v>0</v>
      </c>
      <c r="GC107" s="28">
        <f t="shared" si="93"/>
        <v>0</v>
      </c>
      <c r="GD107" s="28">
        <f t="shared" si="93"/>
        <v>0</v>
      </c>
      <c r="GE107" s="28">
        <f t="shared" si="93"/>
        <v>0</v>
      </c>
      <c r="GF107" s="28">
        <f t="shared" si="93"/>
        <v>0</v>
      </c>
      <c r="GG107" s="28">
        <f t="shared" si="93"/>
        <v>0</v>
      </c>
      <c r="GH107" s="28">
        <f t="shared" si="93"/>
        <v>0</v>
      </c>
      <c r="GI107" s="28">
        <f t="shared" si="93"/>
        <v>0</v>
      </c>
      <c r="GJ107" s="28">
        <f t="shared" si="93"/>
        <v>0</v>
      </c>
      <c r="GK107" s="28">
        <f t="shared" si="93"/>
        <v>0</v>
      </c>
      <c r="GL107" s="28">
        <f t="shared" si="93"/>
        <v>0</v>
      </c>
      <c r="GM107" s="28">
        <f t="shared" si="93"/>
        <v>0</v>
      </c>
      <c r="GN107" s="28">
        <f t="shared" si="93"/>
        <v>0</v>
      </c>
      <c r="GO107" s="28">
        <f t="shared" si="93"/>
        <v>0</v>
      </c>
      <c r="GP107" s="28">
        <f t="shared" si="93"/>
        <v>0</v>
      </c>
      <c r="GQ107" s="28">
        <f t="shared" si="93"/>
        <v>0</v>
      </c>
      <c r="GR107" s="28">
        <f t="shared" si="93"/>
        <v>0</v>
      </c>
      <c r="GS107" s="28">
        <f t="shared" si="93"/>
        <v>0</v>
      </c>
      <c r="GT107" s="28">
        <f t="shared" si="93"/>
        <v>0</v>
      </c>
      <c r="GU107" s="28">
        <f t="shared" si="93"/>
        <v>0</v>
      </c>
      <c r="GV107" s="28">
        <f t="shared" si="93"/>
        <v>0</v>
      </c>
      <c r="GW107" s="28">
        <f t="shared" si="93"/>
        <v>0</v>
      </c>
      <c r="GX107" s="28">
        <f t="shared" si="93"/>
        <v>0</v>
      </c>
      <c r="GY107" s="28">
        <f t="shared" si="93"/>
        <v>0</v>
      </c>
      <c r="GZ107" s="28">
        <f t="shared" si="93"/>
        <v>0</v>
      </c>
      <c r="HA107" s="28">
        <f t="shared" si="93"/>
        <v>0</v>
      </c>
      <c r="HB107" s="28">
        <f t="shared" si="93"/>
        <v>0</v>
      </c>
      <c r="HC107" s="28">
        <f t="shared" si="93"/>
        <v>0</v>
      </c>
      <c r="HD107" s="28">
        <f t="shared" si="93"/>
        <v>0</v>
      </c>
      <c r="HE107" s="28">
        <f t="shared" si="93"/>
        <v>0</v>
      </c>
      <c r="HF107" s="28">
        <f t="shared" si="93"/>
        <v>0</v>
      </c>
      <c r="HG107" s="28">
        <f t="shared" si="93"/>
        <v>0</v>
      </c>
      <c r="HH107" s="28">
        <f t="shared" si="93"/>
        <v>0</v>
      </c>
      <c r="HI107" s="28">
        <f t="shared" si="93"/>
        <v>0</v>
      </c>
      <c r="HJ107" s="28">
        <f t="shared" si="93"/>
        <v>0</v>
      </c>
      <c r="HK107" s="28">
        <f t="shared" si="93"/>
        <v>0</v>
      </c>
      <c r="HL107" s="28">
        <f t="shared" si="93"/>
        <v>0</v>
      </c>
      <c r="HM107" s="28">
        <f t="shared" si="93"/>
        <v>0</v>
      </c>
      <c r="HN107" s="28">
        <f t="shared" si="93"/>
        <v>0</v>
      </c>
      <c r="HO107" s="28">
        <f t="shared" si="93"/>
        <v>0</v>
      </c>
      <c r="HP107" s="28">
        <f t="shared" si="93"/>
        <v>0</v>
      </c>
      <c r="HQ107" s="28">
        <f t="shared" si="93"/>
        <v>0</v>
      </c>
      <c r="HR107" s="28">
        <f t="shared" si="93"/>
        <v>0</v>
      </c>
      <c r="HS107" s="28">
        <f t="shared" si="93"/>
        <v>0</v>
      </c>
      <c r="HT107" s="28">
        <f t="shared" si="93"/>
        <v>0</v>
      </c>
      <c r="HU107" s="28">
        <f t="shared" si="93"/>
        <v>0</v>
      </c>
      <c r="HV107" s="28">
        <f t="shared" si="93"/>
        <v>0</v>
      </c>
      <c r="HW107" s="28">
        <f t="shared" si="93"/>
        <v>0</v>
      </c>
      <c r="HX107" s="28">
        <f t="shared" si="93"/>
        <v>0</v>
      </c>
      <c r="HY107" s="28">
        <f t="shared" si="93"/>
        <v>0</v>
      </c>
      <c r="HZ107" s="28">
        <f t="shared" si="93"/>
        <v>0</v>
      </c>
      <c r="IA107" s="28">
        <f t="shared" si="93"/>
        <v>0</v>
      </c>
      <c r="IB107" s="28">
        <f t="shared" si="93"/>
        <v>0</v>
      </c>
      <c r="IC107" s="28">
        <f t="shared" si="93"/>
        <v>0</v>
      </c>
      <c r="ID107" s="28">
        <f t="shared" si="93"/>
        <v>0</v>
      </c>
      <c r="IE107" s="28">
        <f t="shared" si="93"/>
        <v>0</v>
      </c>
      <c r="IF107" s="28">
        <f t="shared" si="93"/>
        <v>0</v>
      </c>
      <c r="IG107" s="28">
        <f t="shared" si="93"/>
        <v>0</v>
      </c>
      <c r="IH107" s="28">
        <f t="shared" si="93"/>
        <v>0</v>
      </c>
      <c r="II107" s="28">
        <f t="shared" si="93"/>
        <v>0</v>
      </c>
      <c r="IJ107" s="28">
        <f t="shared" si="93"/>
        <v>0</v>
      </c>
      <c r="IK107" s="28">
        <f t="shared" si="93"/>
        <v>0</v>
      </c>
      <c r="IL107" s="28">
        <f t="shared" si="93"/>
        <v>0</v>
      </c>
      <c r="IM107" s="28">
        <f t="shared" si="93"/>
        <v>0</v>
      </c>
      <c r="IN107" s="28">
        <f t="shared" si="93"/>
        <v>0</v>
      </c>
      <c r="IO107" s="28">
        <f t="shared" si="93"/>
        <v>0</v>
      </c>
      <c r="IP107" s="28">
        <f t="shared" si="93"/>
        <v>0</v>
      </c>
      <c r="IQ107" s="28">
        <f t="shared" si="93"/>
        <v>0</v>
      </c>
      <c r="IR107" s="28"/>
      <c r="IS107" s="28"/>
      <c r="IT107" s="28"/>
      <c r="IU107" s="28"/>
      <c r="IV107" s="28"/>
    </row>
    <row r="108" ht="11.25" customHeight="1">
      <c r="A108" s="27" t="s">
        <v>130</v>
      </c>
      <c r="B108" s="28">
        <f t="shared" ref="B108:D108" si="94">COUNTIF(B10,"=1")+COUNTIF(B20,"=1")+COUNTIF(B30,"=1")+COUNTIF(B40,"=1")+COUNTIF(B50,"=1")+COUNTIF(B60,"=1")+COUNTIF(B11,"=2")+COUNTIF(B22,"=2")+COUNTIF(B33,"=2")</f>
        <v>3</v>
      </c>
      <c r="C108" s="28">
        <f t="shared" si="94"/>
        <v>3</v>
      </c>
      <c r="D108" s="28">
        <f t="shared" si="94"/>
        <v>3</v>
      </c>
      <c r="E108" s="28" t="str">
        <f>COUNTIF(#REF!,"=1")+COUNTIF(#REF!,"=1")+COUNTIF(#REF!,"=1")+COUNTIF(#REF!,"=1")+COUNTIF(#REF!,"=1")+COUNTIF(#REF!,"=1")+COUNTIF(#REF!,"=2")+COUNTIF(#REF!,"=2")+COUNTIF(#REF!,"=2")</f>
        <v>#REF!</v>
      </c>
      <c r="F108" s="28">
        <f t="shared" ref="F108:AW108" si="95">COUNTIF(F10,"=1")+COUNTIF(F20,"=1")+COUNTIF(F30,"=1")+COUNTIF(F40,"=1")+COUNTIF(F50,"=1")+COUNTIF(F60,"=1")+COUNTIF(F11,"=2")+COUNTIF(F22,"=2")+COUNTIF(F33,"=2")</f>
        <v>3</v>
      </c>
      <c r="G108" s="28">
        <f t="shared" si="95"/>
        <v>0</v>
      </c>
      <c r="H108" s="28">
        <f t="shared" si="95"/>
        <v>0</v>
      </c>
      <c r="I108" s="28">
        <f t="shared" si="95"/>
        <v>0</v>
      </c>
      <c r="J108" s="28">
        <f t="shared" si="95"/>
        <v>0</v>
      </c>
      <c r="K108" s="28">
        <f t="shared" si="95"/>
        <v>0</v>
      </c>
      <c r="L108" s="28">
        <f t="shared" si="95"/>
        <v>0</v>
      </c>
      <c r="M108" s="28">
        <f t="shared" si="95"/>
        <v>0</v>
      </c>
      <c r="N108" s="28">
        <f t="shared" si="95"/>
        <v>0</v>
      </c>
      <c r="O108" s="28">
        <f t="shared" si="95"/>
        <v>0</v>
      </c>
      <c r="P108" s="28">
        <f t="shared" si="95"/>
        <v>0</v>
      </c>
      <c r="Q108" s="28">
        <f t="shared" si="95"/>
        <v>0</v>
      </c>
      <c r="R108" s="28">
        <f t="shared" si="95"/>
        <v>0</v>
      </c>
      <c r="S108" s="28">
        <f t="shared" si="95"/>
        <v>0</v>
      </c>
      <c r="T108" s="28">
        <f t="shared" si="95"/>
        <v>0</v>
      </c>
      <c r="U108" s="28">
        <f t="shared" si="95"/>
        <v>0</v>
      </c>
      <c r="V108" s="28">
        <f t="shared" si="95"/>
        <v>0</v>
      </c>
      <c r="W108" s="28">
        <f t="shared" si="95"/>
        <v>0</v>
      </c>
      <c r="X108" s="28">
        <f t="shared" si="95"/>
        <v>0</v>
      </c>
      <c r="Y108" s="28">
        <f t="shared" si="95"/>
        <v>0</v>
      </c>
      <c r="Z108" s="28">
        <f t="shared" si="95"/>
        <v>0</v>
      </c>
      <c r="AA108" s="28">
        <f t="shared" si="95"/>
        <v>0</v>
      </c>
      <c r="AB108" s="28">
        <f t="shared" si="95"/>
        <v>0</v>
      </c>
      <c r="AC108" s="28">
        <f t="shared" si="95"/>
        <v>0</v>
      </c>
      <c r="AD108" s="28">
        <f t="shared" si="95"/>
        <v>0</v>
      </c>
      <c r="AE108" s="28">
        <f t="shared" si="95"/>
        <v>0</v>
      </c>
      <c r="AF108" s="28">
        <f t="shared" si="95"/>
        <v>0</v>
      </c>
      <c r="AG108" s="28">
        <f t="shared" si="95"/>
        <v>0</v>
      </c>
      <c r="AH108" s="28">
        <f t="shared" si="95"/>
        <v>0</v>
      </c>
      <c r="AI108" s="28">
        <f t="shared" si="95"/>
        <v>0</v>
      </c>
      <c r="AJ108" s="28">
        <f t="shared" si="95"/>
        <v>0</v>
      </c>
      <c r="AK108" s="28">
        <f t="shared" si="95"/>
        <v>0</v>
      </c>
      <c r="AL108" s="28">
        <f t="shared" si="95"/>
        <v>0</v>
      </c>
      <c r="AM108" s="28">
        <f t="shared" si="95"/>
        <v>0</v>
      </c>
      <c r="AN108" s="28">
        <f t="shared" si="95"/>
        <v>0</v>
      </c>
      <c r="AO108" s="28">
        <f t="shared" si="95"/>
        <v>0</v>
      </c>
      <c r="AP108" s="28">
        <f t="shared" si="95"/>
        <v>0</v>
      </c>
      <c r="AQ108" s="28">
        <f t="shared" si="95"/>
        <v>0</v>
      </c>
      <c r="AR108" s="28">
        <f t="shared" si="95"/>
        <v>0</v>
      </c>
      <c r="AS108" s="28">
        <f t="shared" si="95"/>
        <v>0</v>
      </c>
      <c r="AT108" s="28">
        <f t="shared" si="95"/>
        <v>0</v>
      </c>
      <c r="AU108" s="28">
        <f t="shared" si="95"/>
        <v>0</v>
      </c>
      <c r="AV108" s="28">
        <f t="shared" si="95"/>
        <v>0</v>
      </c>
      <c r="AW108" s="28">
        <f t="shared" si="95"/>
        <v>0</v>
      </c>
      <c r="AX108" s="28">
        <f t="shared" ref="AX108:AY108" si="96">COUNTIF(AZ10,"=1")+COUNTIF(AZ20,"=1")+COUNTIF(AZ30,"=1")+COUNTIF(AZ40,"=1")+COUNTIF(AZ50,"=1")+COUNTIF(AZ60,"=1")+COUNTIF(AZ11,"=2")+COUNTIF(AZ22,"=2")+COUNTIF(AZ33,"=2")</f>
        <v>0</v>
      </c>
      <c r="AY108" s="28">
        <f t="shared" si="96"/>
        <v>0</v>
      </c>
      <c r="AZ108" s="28" t="str">
        <f>COUNTIF(#REF!,"=1")+COUNTIF(#REF!,"=1")+COUNTIF(#REF!,"=1")+COUNTIF(#REF!,"=1")+COUNTIF(#REF!,"=1")+COUNTIF(#REF!,"=1")+COUNTIF(#REF!,"=2")+COUNTIF(#REF!,"=2")+COUNTIF(#REF!,"=2")</f>
        <v>#REF!</v>
      </c>
      <c r="BA108" s="28">
        <f t="shared" ref="BA108:BT108" si="97">COUNTIF(BC10,"=1")+COUNTIF(BC20,"=1")+COUNTIF(BC30,"=1")+COUNTIF(BC40,"=1")+COUNTIF(BC50,"=1")+COUNTIF(BC60,"=1")+COUNTIF(BC11,"=2")+COUNTIF(BC22,"=2")+COUNTIF(BC33,"=2")</f>
        <v>0</v>
      </c>
      <c r="BB108" s="28">
        <f t="shared" si="97"/>
        <v>0</v>
      </c>
      <c r="BC108" s="28">
        <f t="shared" si="97"/>
        <v>0</v>
      </c>
      <c r="BD108" s="28">
        <f t="shared" si="97"/>
        <v>0</v>
      </c>
      <c r="BE108" s="28">
        <f t="shared" si="97"/>
        <v>0</v>
      </c>
      <c r="BF108" s="28">
        <f t="shared" si="97"/>
        <v>0</v>
      </c>
      <c r="BG108" s="28">
        <f t="shared" si="97"/>
        <v>0</v>
      </c>
      <c r="BH108" s="28">
        <f t="shared" si="97"/>
        <v>0</v>
      </c>
      <c r="BI108" s="28">
        <f t="shared" si="97"/>
        <v>0</v>
      </c>
      <c r="BJ108" s="28">
        <f t="shared" si="97"/>
        <v>0</v>
      </c>
      <c r="BK108" s="28">
        <f t="shared" si="97"/>
        <v>0</v>
      </c>
      <c r="BL108" s="28">
        <f t="shared" si="97"/>
        <v>0</v>
      </c>
      <c r="BM108" s="28">
        <f t="shared" si="97"/>
        <v>0</v>
      </c>
      <c r="BN108" s="28">
        <f t="shared" si="97"/>
        <v>0</v>
      </c>
      <c r="BO108" s="28">
        <f t="shared" si="97"/>
        <v>0</v>
      </c>
      <c r="BP108" s="28">
        <f t="shared" si="97"/>
        <v>0</v>
      </c>
      <c r="BQ108" s="28">
        <f t="shared" si="97"/>
        <v>0</v>
      </c>
      <c r="BR108" s="28">
        <f t="shared" si="97"/>
        <v>0</v>
      </c>
      <c r="BS108" s="28">
        <f t="shared" si="97"/>
        <v>0</v>
      </c>
      <c r="BT108" s="28">
        <f t="shared" si="97"/>
        <v>0</v>
      </c>
      <c r="BU108" s="28">
        <f>COUNTIF(BB10,"=1")+COUNTIF(BB20,"=1")+COUNTIF(BB30,"=1")+COUNTIF(BB40,"=1")+COUNTIF(BB50,"=1")+COUNTIF(BB60,"=1")+COUNTIF(BB11,"=2")+COUNTIF(BB22,"=2")+COUNTIF(BB33,"=2")</f>
        <v>0</v>
      </c>
      <c r="BV108" s="28">
        <f t="shared" ref="BV108:CP108" si="98">COUNTIF(BX10,"=1")+COUNTIF(BX20,"=1")+COUNTIF(BX30,"=1")+COUNTIF(BX40,"=1")+COUNTIF(BX50,"=1")+COUNTIF(BX60,"=1")+COUNTIF(BX11,"=2")+COUNTIF(BX22,"=2")+COUNTIF(BX33,"=2")</f>
        <v>0</v>
      </c>
      <c r="BW108" s="28">
        <f t="shared" si="98"/>
        <v>0</v>
      </c>
      <c r="BX108" s="28">
        <f t="shared" si="98"/>
        <v>0</v>
      </c>
      <c r="BY108" s="28">
        <f t="shared" si="98"/>
        <v>0</v>
      </c>
      <c r="BZ108" s="28">
        <f t="shared" si="98"/>
        <v>0</v>
      </c>
      <c r="CA108" s="28">
        <f t="shared" si="98"/>
        <v>0</v>
      </c>
      <c r="CB108" s="28">
        <f t="shared" si="98"/>
        <v>0</v>
      </c>
      <c r="CC108" s="28">
        <f t="shared" si="98"/>
        <v>0</v>
      </c>
      <c r="CD108" s="28">
        <f t="shared" si="98"/>
        <v>0</v>
      </c>
      <c r="CE108" s="28">
        <f t="shared" si="98"/>
        <v>0</v>
      </c>
      <c r="CF108" s="28">
        <f t="shared" si="98"/>
        <v>0</v>
      </c>
      <c r="CG108" s="28">
        <f t="shared" si="98"/>
        <v>0</v>
      </c>
      <c r="CH108" s="28">
        <f t="shared" si="98"/>
        <v>0</v>
      </c>
      <c r="CI108" s="28">
        <f t="shared" si="98"/>
        <v>0</v>
      </c>
      <c r="CJ108" s="28">
        <f t="shared" si="98"/>
        <v>0</v>
      </c>
      <c r="CK108" s="28">
        <f t="shared" si="98"/>
        <v>0</v>
      </c>
      <c r="CL108" s="28">
        <f t="shared" si="98"/>
        <v>0</v>
      </c>
      <c r="CM108" s="28">
        <f t="shared" si="98"/>
        <v>0</v>
      </c>
      <c r="CN108" s="28">
        <f t="shared" si="98"/>
        <v>0</v>
      </c>
      <c r="CO108" s="28">
        <f t="shared" si="98"/>
        <v>0</v>
      </c>
      <c r="CP108" s="28">
        <f t="shared" si="98"/>
        <v>0</v>
      </c>
      <c r="CQ108" s="28" t="str">
        <f t="shared" ref="CQ108:CR108" si="99">COUNTIF(#REF!,"=1")+COUNTIF(#REF!,"=1")+COUNTIF(#REF!,"=1")+COUNTIF(#REF!,"=1")+COUNTIF(#REF!,"=1")+COUNTIF(#REF!,"=1")+COUNTIF(#REF!,"=2")+COUNTIF(#REF!,"=2")+COUNTIF(#REF!,"=2")</f>
        <v>#REF!</v>
      </c>
      <c r="CR108" s="28" t="str">
        <f t="shared" si="99"/>
        <v>#REF!</v>
      </c>
      <c r="CS108" s="28">
        <f t="shared" ref="CS108:IQ108" si="100">COUNTIF(CS10,"=1")+COUNTIF(CS20,"=1")+COUNTIF(CS30,"=1")+COUNTIF(CS40,"=1")+COUNTIF(CS50,"=1")+COUNTIF(CS60,"=1")+COUNTIF(CS11,"=2")+COUNTIF(CS22,"=2")+COUNTIF(CS33,"=2")</f>
        <v>0</v>
      </c>
      <c r="CT108" s="28">
        <f t="shared" si="100"/>
        <v>0</v>
      </c>
      <c r="CU108" s="28">
        <f t="shared" si="100"/>
        <v>0</v>
      </c>
      <c r="CV108" s="28">
        <f t="shared" si="100"/>
        <v>0</v>
      </c>
      <c r="CW108" s="28">
        <f t="shared" si="100"/>
        <v>0</v>
      </c>
      <c r="CX108" s="28">
        <f t="shared" si="100"/>
        <v>0</v>
      </c>
      <c r="CY108" s="28">
        <f t="shared" si="100"/>
        <v>0</v>
      </c>
      <c r="CZ108" s="28">
        <f t="shared" si="100"/>
        <v>0</v>
      </c>
      <c r="DA108" s="28">
        <f t="shared" si="100"/>
        <v>0</v>
      </c>
      <c r="DB108" s="28">
        <f t="shared" si="100"/>
        <v>0</v>
      </c>
      <c r="DC108" s="28">
        <f t="shared" si="100"/>
        <v>0</v>
      </c>
      <c r="DD108" s="28">
        <f t="shared" si="100"/>
        <v>0</v>
      </c>
      <c r="DE108" s="28">
        <f t="shared" si="100"/>
        <v>0</v>
      </c>
      <c r="DF108" s="28">
        <f t="shared" si="100"/>
        <v>0</v>
      </c>
      <c r="DG108" s="28">
        <f t="shared" si="100"/>
        <v>0</v>
      </c>
      <c r="DH108" s="28">
        <f t="shared" si="100"/>
        <v>0</v>
      </c>
      <c r="DI108" s="28">
        <f t="shared" si="100"/>
        <v>0</v>
      </c>
      <c r="DJ108" s="28">
        <f t="shared" si="100"/>
        <v>0</v>
      </c>
      <c r="DK108" s="28">
        <f t="shared" si="100"/>
        <v>0</v>
      </c>
      <c r="DL108" s="28">
        <f t="shared" si="100"/>
        <v>0</v>
      </c>
      <c r="DM108" s="28">
        <f t="shared" si="100"/>
        <v>0</v>
      </c>
      <c r="DN108" s="28">
        <f t="shared" si="100"/>
        <v>0</v>
      </c>
      <c r="DO108" s="28">
        <f t="shared" si="100"/>
        <v>0</v>
      </c>
      <c r="DP108" s="28">
        <f t="shared" si="100"/>
        <v>0</v>
      </c>
      <c r="DQ108" s="28">
        <f t="shared" si="100"/>
        <v>0</v>
      </c>
      <c r="DR108" s="28">
        <f t="shared" si="100"/>
        <v>0</v>
      </c>
      <c r="DS108" s="28">
        <f t="shared" si="100"/>
        <v>0</v>
      </c>
      <c r="DT108" s="28">
        <f t="shared" si="100"/>
        <v>0</v>
      </c>
      <c r="DU108" s="28">
        <f t="shared" si="100"/>
        <v>0</v>
      </c>
      <c r="DV108" s="28">
        <f t="shared" si="100"/>
        <v>0</v>
      </c>
      <c r="DW108" s="28">
        <f t="shared" si="100"/>
        <v>0</v>
      </c>
      <c r="DX108" s="28">
        <f t="shared" si="100"/>
        <v>0</v>
      </c>
      <c r="DY108" s="28">
        <f t="shared" si="100"/>
        <v>0</v>
      </c>
      <c r="DZ108" s="28">
        <f t="shared" si="100"/>
        <v>0</v>
      </c>
      <c r="EA108" s="28">
        <f t="shared" si="100"/>
        <v>0</v>
      </c>
      <c r="EB108" s="28">
        <f t="shared" si="100"/>
        <v>0</v>
      </c>
      <c r="EC108" s="28">
        <f t="shared" si="100"/>
        <v>0</v>
      </c>
      <c r="ED108" s="28">
        <f t="shared" si="100"/>
        <v>0</v>
      </c>
      <c r="EE108" s="28">
        <f t="shared" si="100"/>
        <v>0</v>
      </c>
      <c r="EF108" s="28">
        <f t="shared" si="100"/>
        <v>0</v>
      </c>
      <c r="EG108" s="28">
        <f t="shared" si="100"/>
        <v>0</v>
      </c>
      <c r="EH108" s="28">
        <f t="shared" si="100"/>
        <v>0</v>
      </c>
      <c r="EI108" s="28">
        <f t="shared" si="100"/>
        <v>0</v>
      </c>
      <c r="EJ108" s="28">
        <f t="shared" si="100"/>
        <v>0</v>
      </c>
      <c r="EK108" s="28">
        <f t="shared" si="100"/>
        <v>0</v>
      </c>
      <c r="EL108" s="28">
        <f t="shared" si="100"/>
        <v>0</v>
      </c>
      <c r="EM108" s="28">
        <f t="shared" si="100"/>
        <v>0</v>
      </c>
      <c r="EN108" s="28">
        <f t="shared" si="100"/>
        <v>0</v>
      </c>
      <c r="EO108" s="28">
        <f t="shared" si="100"/>
        <v>0</v>
      </c>
      <c r="EP108" s="28">
        <f t="shared" si="100"/>
        <v>0</v>
      </c>
      <c r="EQ108" s="28">
        <f t="shared" si="100"/>
        <v>0</v>
      </c>
      <c r="ER108" s="28">
        <f t="shared" si="100"/>
        <v>0</v>
      </c>
      <c r="ES108" s="28">
        <f t="shared" si="100"/>
        <v>0</v>
      </c>
      <c r="ET108" s="28">
        <f t="shared" si="100"/>
        <v>0</v>
      </c>
      <c r="EU108" s="28">
        <f t="shared" si="100"/>
        <v>0</v>
      </c>
      <c r="EV108" s="28">
        <f t="shared" si="100"/>
        <v>0</v>
      </c>
      <c r="EW108" s="28">
        <f t="shared" si="100"/>
        <v>0</v>
      </c>
      <c r="EX108" s="28">
        <f t="shared" si="100"/>
        <v>0</v>
      </c>
      <c r="EY108" s="28">
        <f t="shared" si="100"/>
        <v>0</v>
      </c>
      <c r="EZ108" s="28">
        <f t="shared" si="100"/>
        <v>0</v>
      </c>
      <c r="FA108" s="28">
        <f t="shared" si="100"/>
        <v>0</v>
      </c>
      <c r="FB108" s="28">
        <f t="shared" si="100"/>
        <v>0</v>
      </c>
      <c r="FC108" s="28">
        <f t="shared" si="100"/>
        <v>0</v>
      </c>
      <c r="FD108" s="28">
        <f t="shared" si="100"/>
        <v>0</v>
      </c>
      <c r="FE108" s="28">
        <f t="shared" si="100"/>
        <v>0</v>
      </c>
      <c r="FF108" s="28">
        <f t="shared" si="100"/>
        <v>0</v>
      </c>
      <c r="FG108" s="28">
        <f t="shared" si="100"/>
        <v>0</v>
      </c>
      <c r="FH108" s="28">
        <f t="shared" si="100"/>
        <v>0</v>
      </c>
      <c r="FI108" s="28">
        <f t="shared" si="100"/>
        <v>0</v>
      </c>
      <c r="FJ108" s="28">
        <f t="shared" si="100"/>
        <v>0</v>
      </c>
      <c r="FK108" s="28">
        <f t="shared" si="100"/>
        <v>0</v>
      </c>
      <c r="FL108" s="28">
        <f t="shared" si="100"/>
        <v>0</v>
      </c>
      <c r="FM108" s="28">
        <f t="shared" si="100"/>
        <v>0</v>
      </c>
      <c r="FN108" s="28">
        <f t="shared" si="100"/>
        <v>0</v>
      </c>
      <c r="FO108" s="28">
        <f t="shared" si="100"/>
        <v>0</v>
      </c>
      <c r="FP108" s="28">
        <f t="shared" si="100"/>
        <v>0</v>
      </c>
      <c r="FQ108" s="28">
        <f t="shared" si="100"/>
        <v>0</v>
      </c>
      <c r="FR108" s="28">
        <f t="shared" si="100"/>
        <v>0</v>
      </c>
      <c r="FS108" s="28">
        <f t="shared" si="100"/>
        <v>0</v>
      </c>
      <c r="FT108" s="28">
        <f t="shared" si="100"/>
        <v>0</v>
      </c>
      <c r="FU108" s="28">
        <f t="shared" si="100"/>
        <v>0</v>
      </c>
      <c r="FV108" s="28">
        <f t="shared" si="100"/>
        <v>0</v>
      </c>
      <c r="FW108" s="28">
        <f t="shared" si="100"/>
        <v>0</v>
      </c>
      <c r="FX108" s="28">
        <f t="shared" si="100"/>
        <v>0</v>
      </c>
      <c r="FY108" s="28">
        <f t="shared" si="100"/>
        <v>0</v>
      </c>
      <c r="FZ108" s="28">
        <f t="shared" si="100"/>
        <v>0</v>
      </c>
      <c r="GA108" s="28">
        <f t="shared" si="100"/>
        <v>0</v>
      </c>
      <c r="GB108" s="28">
        <f t="shared" si="100"/>
        <v>0</v>
      </c>
      <c r="GC108" s="28">
        <f t="shared" si="100"/>
        <v>0</v>
      </c>
      <c r="GD108" s="28">
        <f t="shared" si="100"/>
        <v>0</v>
      </c>
      <c r="GE108" s="28">
        <f t="shared" si="100"/>
        <v>0</v>
      </c>
      <c r="GF108" s="28">
        <f t="shared" si="100"/>
        <v>0</v>
      </c>
      <c r="GG108" s="28">
        <f t="shared" si="100"/>
        <v>0</v>
      </c>
      <c r="GH108" s="28">
        <f t="shared" si="100"/>
        <v>0</v>
      </c>
      <c r="GI108" s="28">
        <f t="shared" si="100"/>
        <v>0</v>
      </c>
      <c r="GJ108" s="28">
        <f t="shared" si="100"/>
        <v>0</v>
      </c>
      <c r="GK108" s="28">
        <f t="shared" si="100"/>
        <v>0</v>
      </c>
      <c r="GL108" s="28">
        <f t="shared" si="100"/>
        <v>0</v>
      </c>
      <c r="GM108" s="28">
        <f t="shared" si="100"/>
        <v>0</v>
      </c>
      <c r="GN108" s="28">
        <f t="shared" si="100"/>
        <v>0</v>
      </c>
      <c r="GO108" s="28">
        <f t="shared" si="100"/>
        <v>0</v>
      </c>
      <c r="GP108" s="28">
        <f t="shared" si="100"/>
        <v>0</v>
      </c>
      <c r="GQ108" s="28">
        <f t="shared" si="100"/>
        <v>0</v>
      </c>
      <c r="GR108" s="28">
        <f t="shared" si="100"/>
        <v>0</v>
      </c>
      <c r="GS108" s="28">
        <f t="shared" si="100"/>
        <v>0</v>
      </c>
      <c r="GT108" s="28">
        <f t="shared" si="100"/>
        <v>0</v>
      </c>
      <c r="GU108" s="28">
        <f t="shared" si="100"/>
        <v>0</v>
      </c>
      <c r="GV108" s="28">
        <f t="shared" si="100"/>
        <v>0</v>
      </c>
      <c r="GW108" s="28">
        <f t="shared" si="100"/>
        <v>0</v>
      </c>
      <c r="GX108" s="28">
        <f t="shared" si="100"/>
        <v>0</v>
      </c>
      <c r="GY108" s="28">
        <f t="shared" si="100"/>
        <v>0</v>
      </c>
      <c r="GZ108" s="28">
        <f t="shared" si="100"/>
        <v>0</v>
      </c>
      <c r="HA108" s="28">
        <f t="shared" si="100"/>
        <v>0</v>
      </c>
      <c r="HB108" s="28">
        <f t="shared" si="100"/>
        <v>0</v>
      </c>
      <c r="HC108" s="28">
        <f t="shared" si="100"/>
        <v>0</v>
      </c>
      <c r="HD108" s="28">
        <f t="shared" si="100"/>
        <v>0</v>
      </c>
      <c r="HE108" s="28">
        <f t="shared" si="100"/>
        <v>0</v>
      </c>
      <c r="HF108" s="28">
        <f t="shared" si="100"/>
        <v>0</v>
      </c>
      <c r="HG108" s="28">
        <f t="shared" si="100"/>
        <v>0</v>
      </c>
      <c r="HH108" s="28">
        <f t="shared" si="100"/>
        <v>0</v>
      </c>
      <c r="HI108" s="28">
        <f t="shared" si="100"/>
        <v>0</v>
      </c>
      <c r="HJ108" s="28">
        <f t="shared" si="100"/>
        <v>0</v>
      </c>
      <c r="HK108" s="28">
        <f t="shared" si="100"/>
        <v>0</v>
      </c>
      <c r="HL108" s="28">
        <f t="shared" si="100"/>
        <v>0</v>
      </c>
      <c r="HM108" s="28">
        <f t="shared" si="100"/>
        <v>0</v>
      </c>
      <c r="HN108" s="28">
        <f t="shared" si="100"/>
        <v>0</v>
      </c>
      <c r="HO108" s="28">
        <f t="shared" si="100"/>
        <v>0</v>
      </c>
      <c r="HP108" s="28">
        <f t="shared" si="100"/>
        <v>0</v>
      </c>
      <c r="HQ108" s="28">
        <f t="shared" si="100"/>
        <v>0</v>
      </c>
      <c r="HR108" s="28">
        <f t="shared" si="100"/>
        <v>0</v>
      </c>
      <c r="HS108" s="28">
        <f t="shared" si="100"/>
        <v>0</v>
      </c>
      <c r="HT108" s="28">
        <f t="shared" si="100"/>
        <v>0</v>
      </c>
      <c r="HU108" s="28">
        <f t="shared" si="100"/>
        <v>0</v>
      </c>
      <c r="HV108" s="28">
        <f t="shared" si="100"/>
        <v>0</v>
      </c>
      <c r="HW108" s="28">
        <f t="shared" si="100"/>
        <v>0</v>
      </c>
      <c r="HX108" s="28">
        <f t="shared" si="100"/>
        <v>0</v>
      </c>
      <c r="HY108" s="28">
        <f t="shared" si="100"/>
        <v>0</v>
      </c>
      <c r="HZ108" s="28">
        <f t="shared" si="100"/>
        <v>0</v>
      </c>
      <c r="IA108" s="28">
        <f t="shared" si="100"/>
        <v>0</v>
      </c>
      <c r="IB108" s="28">
        <f t="shared" si="100"/>
        <v>0</v>
      </c>
      <c r="IC108" s="28">
        <f t="shared" si="100"/>
        <v>0</v>
      </c>
      <c r="ID108" s="28">
        <f t="shared" si="100"/>
        <v>0</v>
      </c>
      <c r="IE108" s="28">
        <f t="shared" si="100"/>
        <v>0</v>
      </c>
      <c r="IF108" s="28">
        <f t="shared" si="100"/>
        <v>0</v>
      </c>
      <c r="IG108" s="28">
        <f t="shared" si="100"/>
        <v>0</v>
      </c>
      <c r="IH108" s="28">
        <f t="shared" si="100"/>
        <v>0</v>
      </c>
      <c r="II108" s="28">
        <f t="shared" si="100"/>
        <v>0</v>
      </c>
      <c r="IJ108" s="28">
        <f t="shared" si="100"/>
        <v>0</v>
      </c>
      <c r="IK108" s="28">
        <f t="shared" si="100"/>
        <v>0</v>
      </c>
      <c r="IL108" s="28">
        <f t="shared" si="100"/>
        <v>0</v>
      </c>
      <c r="IM108" s="28">
        <f t="shared" si="100"/>
        <v>0</v>
      </c>
      <c r="IN108" s="28">
        <f t="shared" si="100"/>
        <v>0</v>
      </c>
      <c r="IO108" s="28">
        <f t="shared" si="100"/>
        <v>0</v>
      </c>
      <c r="IP108" s="28">
        <f t="shared" si="100"/>
        <v>0</v>
      </c>
      <c r="IQ108" s="28">
        <f t="shared" si="100"/>
        <v>0</v>
      </c>
      <c r="IR108" s="28"/>
      <c r="IS108" s="28"/>
      <c r="IT108" s="28"/>
      <c r="IU108" s="28"/>
      <c r="IV108" s="28"/>
    </row>
    <row r="109" ht="11.25" customHeight="1">
      <c r="A109" s="27" t="s">
        <v>131</v>
      </c>
      <c r="B109" s="28">
        <f t="shared" ref="B109:D109" si="101">COUNTIF(B9,"=1")+COUNTIF(B19,"=1")+COUNTIF(B29,"=1")+COUNTIF(B39,"=1")+COUNTIF(B49,"=1")+COUNTIF(B10,"=2")+COUNTIF(B21,"=2")+COUNTIF(B32,"=2")+COUNTIF(B43,"=2")</f>
        <v>2</v>
      </c>
      <c r="C109" s="28">
        <f t="shared" si="101"/>
        <v>2</v>
      </c>
      <c r="D109" s="28">
        <f t="shared" si="101"/>
        <v>2</v>
      </c>
      <c r="E109" s="28" t="str">
        <f>COUNTIF(#REF!,"=1")+COUNTIF(#REF!,"=1")+COUNTIF(#REF!,"=1")+COUNTIF(#REF!,"=1")+COUNTIF(#REF!,"=1")+COUNTIF(#REF!,"=2")+COUNTIF(#REF!,"=2")+COUNTIF(#REF!,"=2")+COUNTIF(#REF!,"=2")</f>
        <v>#REF!</v>
      </c>
      <c r="F109" s="28">
        <f t="shared" ref="F109:AW109" si="102">COUNTIF(F9,"=1")+COUNTIF(F19,"=1")+COUNTIF(F29,"=1")+COUNTIF(F39,"=1")+COUNTIF(F49,"=1")+COUNTIF(F10,"=2")+COUNTIF(F21,"=2")+COUNTIF(F32,"=2")+COUNTIF(F43,"=2")</f>
        <v>2</v>
      </c>
      <c r="G109" s="28">
        <f t="shared" si="102"/>
        <v>0</v>
      </c>
      <c r="H109" s="28">
        <f t="shared" si="102"/>
        <v>0</v>
      </c>
      <c r="I109" s="28">
        <f t="shared" si="102"/>
        <v>0</v>
      </c>
      <c r="J109" s="28">
        <f t="shared" si="102"/>
        <v>0</v>
      </c>
      <c r="K109" s="28">
        <f t="shared" si="102"/>
        <v>0</v>
      </c>
      <c r="L109" s="28">
        <f t="shared" si="102"/>
        <v>0</v>
      </c>
      <c r="M109" s="28">
        <f t="shared" si="102"/>
        <v>0</v>
      </c>
      <c r="N109" s="28">
        <f t="shared" si="102"/>
        <v>0</v>
      </c>
      <c r="O109" s="28">
        <f t="shared" si="102"/>
        <v>0</v>
      </c>
      <c r="P109" s="28">
        <f t="shared" si="102"/>
        <v>0</v>
      </c>
      <c r="Q109" s="28">
        <f t="shared" si="102"/>
        <v>0</v>
      </c>
      <c r="R109" s="28">
        <f t="shared" si="102"/>
        <v>0</v>
      </c>
      <c r="S109" s="28">
        <f t="shared" si="102"/>
        <v>0</v>
      </c>
      <c r="T109" s="28">
        <f t="shared" si="102"/>
        <v>0</v>
      </c>
      <c r="U109" s="28">
        <f t="shared" si="102"/>
        <v>0</v>
      </c>
      <c r="V109" s="28">
        <f t="shared" si="102"/>
        <v>0</v>
      </c>
      <c r="W109" s="28">
        <f t="shared" si="102"/>
        <v>0</v>
      </c>
      <c r="X109" s="28">
        <f t="shared" si="102"/>
        <v>0</v>
      </c>
      <c r="Y109" s="28">
        <f t="shared" si="102"/>
        <v>0</v>
      </c>
      <c r="Z109" s="28">
        <f t="shared" si="102"/>
        <v>0</v>
      </c>
      <c r="AA109" s="28">
        <f t="shared" si="102"/>
        <v>0</v>
      </c>
      <c r="AB109" s="28">
        <f t="shared" si="102"/>
        <v>0</v>
      </c>
      <c r="AC109" s="28">
        <f t="shared" si="102"/>
        <v>0</v>
      </c>
      <c r="AD109" s="28">
        <f t="shared" si="102"/>
        <v>0</v>
      </c>
      <c r="AE109" s="28">
        <f t="shared" si="102"/>
        <v>0</v>
      </c>
      <c r="AF109" s="28">
        <f t="shared" si="102"/>
        <v>0</v>
      </c>
      <c r="AG109" s="28">
        <f t="shared" si="102"/>
        <v>0</v>
      </c>
      <c r="AH109" s="28">
        <f t="shared" si="102"/>
        <v>0</v>
      </c>
      <c r="AI109" s="28">
        <f t="shared" si="102"/>
        <v>0</v>
      </c>
      <c r="AJ109" s="28">
        <f t="shared" si="102"/>
        <v>0</v>
      </c>
      <c r="AK109" s="28">
        <f t="shared" si="102"/>
        <v>0</v>
      </c>
      <c r="AL109" s="28">
        <f t="shared" si="102"/>
        <v>0</v>
      </c>
      <c r="AM109" s="28">
        <f t="shared" si="102"/>
        <v>0</v>
      </c>
      <c r="AN109" s="28">
        <f t="shared" si="102"/>
        <v>0</v>
      </c>
      <c r="AO109" s="28">
        <f t="shared" si="102"/>
        <v>0</v>
      </c>
      <c r="AP109" s="28">
        <f t="shared" si="102"/>
        <v>0</v>
      </c>
      <c r="AQ109" s="28">
        <f t="shared" si="102"/>
        <v>0</v>
      </c>
      <c r="AR109" s="28">
        <f t="shared" si="102"/>
        <v>0</v>
      </c>
      <c r="AS109" s="28">
        <f t="shared" si="102"/>
        <v>0</v>
      </c>
      <c r="AT109" s="28">
        <f t="shared" si="102"/>
        <v>0</v>
      </c>
      <c r="AU109" s="28">
        <f t="shared" si="102"/>
        <v>0</v>
      </c>
      <c r="AV109" s="28">
        <f t="shared" si="102"/>
        <v>0</v>
      </c>
      <c r="AW109" s="28">
        <f t="shared" si="102"/>
        <v>0</v>
      </c>
      <c r="AX109" s="28">
        <f t="shared" ref="AX109:AY109" si="103">COUNTIF(AZ9,"=1")+COUNTIF(AZ19,"=1")+COUNTIF(AZ29,"=1")+COUNTIF(AZ39,"=1")+COUNTIF(AZ49,"=1")+COUNTIF(AZ10,"=2")+COUNTIF(AZ21,"=2")+COUNTIF(AZ32,"=2")+COUNTIF(AZ43,"=2")</f>
        <v>0</v>
      </c>
      <c r="AY109" s="28">
        <f t="shared" si="103"/>
        <v>0</v>
      </c>
      <c r="AZ109" s="28" t="str">
        <f>COUNTIF(#REF!,"=1")+COUNTIF(#REF!,"=1")+COUNTIF(#REF!,"=1")+COUNTIF(#REF!,"=1")+COUNTIF(#REF!,"=1")+COUNTIF(#REF!,"=2")+COUNTIF(#REF!,"=2")+COUNTIF(#REF!,"=2")+COUNTIF(#REF!,"=2")</f>
        <v>#REF!</v>
      </c>
      <c r="BA109" s="28">
        <f t="shared" ref="BA109:BT109" si="104">COUNTIF(BC9,"=1")+COUNTIF(BC19,"=1")+COUNTIF(BC29,"=1")+COUNTIF(BC39,"=1")+COUNTIF(BC49,"=1")+COUNTIF(BC10,"=2")+COUNTIF(BC21,"=2")+COUNTIF(BC32,"=2")+COUNTIF(BC43,"=2")</f>
        <v>0</v>
      </c>
      <c r="BB109" s="28">
        <f t="shared" si="104"/>
        <v>0</v>
      </c>
      <c r="BC109" s="28">
        <f t="shared" si="104"/>
        <v>0</v>
      </c>
      <c r="BD109" s="28">
        <f t="shared" si="104"/>
        <v>0</v>
      </c>
      <c r="BE109" s="28">
        <f t="shared" si="104"/>
        <v>0</v>
      </c>
      <c r="BF109" s="28">
        <f t="shared" si="104"/>
        <v>0</v>
      </c>
      <c r="BG109" s="28">
        <f t="shared" si="104"/>
        <v>0</v>
      </c>
      <c r="BH109" s="28">
        <f t="shared" si="104"/>
        <v>0</v>
      </c>
      <c r="BI109" s="28">
        <f t="shared" si="104"/>
        <v>0</v>
      </c>
      <c r="BJ109" s="28">
        <f t="shared" si="104"/>
        <v>0</v>
      </c>
      <c r="BK109" s="28">
        <f t="shared" si="104"/>
        <v>0</v>
      </c>
      <c r="BL109" s="28">
        <f t="shared" si="104"/>
        <v>0</v>
      </c>
      <c r="BM109" s="28">
        <f t="shared" si="104"/>
        <v>0</v>
      </c>
      <c r="BN109" s="28">
        <f t="shared" si="104"/>
        <v>0</v>
      </c>
      <c r="BO109" s="28">
        <f t="shared" si="104"/>
        <v>0</v>
      </c>
      <c r="BP109" s="28">
        <f t="shared" si="104"/>
        <v>0</v>
      </c>
      <c r="BQ109" s="28">
        <f t="shared" si="104"/>
        <v>0</v>
      </c>
      <c r="BR109" s="28">
        <f t="shared" si="104"/>
        <v>0</v>
      </c>
      <c r="BS109" s="28">
        <f t="shared" si="104"/>
        <v>0</v>
      </c>
      <c r="BT109" s="28">
        <f t="shared" si="104"/>
        <v>0</v>
      </c>
      <c r="BU109" s="28">
        <f>COUNTIF(BB9,"=1")+COUNTIF(BB19,"=1")+COUNTIF(BB29,"=1")+COUNTIF(BB39,"=1")+COUNTIF(BB49,"=1")+COUNTIF(BB10,"=2")+COUNTIF(BB21,"=2")+COUNTIF(BB32,"=2")+COUNTIF(BB43,"=2")</f>
        <v>0</v>
      </c>
      <c r="BV109" s="28">
        <f t="shared" ref="BV109:CP109" si="105">COUNTIF(BX9,"=1")+COUNTIF(BX19,"=1")+COUNTIF(BX29,"=1")+COUNTIF(BX39,"=1")+COUNTIF(BX49,"=1")+COUNTIF(BX10,"=2")+COUNTIF(BX21,"=2")+COUNTIF(BX32,"=2")+COUNTIF(BX43,"=2")</f>
        <v>0</v>
      </c>
      <c r="BW109" s="28">
        <f t="shared" si="105"/>
        <v>0</v>
      </c>
      <c r="BX109" s="28">
        <f t="shared" si="105"/>
        <v>0</v>
      </c>
      <c r="BY109" s="28">
        <f t="shared" si="105"/>
        <v>0</v>
      </c>
      <c r="BZ109" s="28">
        <f t="shared" si="105"/>
        <v>0</v>
      </c>
      <c r="CA109" s="28">
        <f t="shared" si="105"/>
        <v>0</v>
      </c>
      <c r="CB109" s="28">
        <f t="shared" si="105"/>
        <v>0</v>
      </c>
      <c r="CC109" s="28">
        <f t="shared" si="105"/>
        <v>0</v>
      </c>
      <c r="CD109" s="28">
        <f t="shared" si="105"/>
        <v>0</v>
      </c>
      <c r="CE109" s="28">
        <f t="shared" si="105"/>
        <v>0</v>
      </c>
      <c r="CF109" s="28">
        <f t="shared" si="105"/>
        <v>0</v>
      </c>
      <c r="CG109" s="28">
        <f t="shared" si="105"/>
        <v>0</v>
      </c>
      <c r="CH109" s="28">
        <f t="shared" si="105"/>
        <v>0</v>
      </c>
      <c r="CI109" s="28">
        <f t="shared" si="105"/>
        <v>0</v>
      </c>
      <c r="CJ109" s="28">
        <f t="shared" si="105"/>
        <v>0</v>
      </c>
      <c r="CK109" s="28">
        <f t="shared" si="105"/>
        <v>0</v>
      </c>
      <c r="CL109" s="28">
        <f t="shared" si="105"/>
        <v>0</v>
      </c>
      <c r="CM109" s="28">
        <f t="shared" si="105"/>
        <v>0</v>
      </c>
      <c r="CN109" s="28">
        <f t="shared" si="105"/>
        <v>0</v>
      </c>
      <c r="CO109" s="28">
        <f t="shared" si="105"/>
        <v>0</v>
      </c>
      <c r="CP109" s="28">
        <f t="shared" si="105"/>
        <v>0</v>
      </c>
      <c r="CQ109" s="28" t="str">
        <f t="shared" ref="CQ109:CR109" si="106">COUNTIF(#REF!,"=1")+COUNTIF(#REF!,"=1")+COUNTIF(#REF!,"=1")+COUNTIF(#REF!,"=1")+COUNTIF(#REF!,"=1")+COUNTIF(#REF!,"=2")+COUNTIF(#REF!,"=2")+COUNTIF(#REF!,"=2")+COUNTIF(#REF!,"=2")</f>
        <v>#REF!</v>
      </c>
      <c r="CR109" s="28" t="str">
        <f t="shared" si="106"/>
        <v>#REF!</v>
      </c>
      <c r="CS109" s="28">
        <f t="shared" ref="CS109:IQ109" si="107">COUNTIF(CS9,"=1")+COUNTIF(CS19,"=1")+COUNTIF(CS29,"=1")+COUNTIF(CS39,"=1")+COUNTIF(CS49,"=1")+COUNTIF(CS10,"=2")+COUNTIF(CS21,"=2")+COUNTIF(CS32,"=2")+COUNTIF(CS43,"=2")</f>
        <v>0</v>
      </c>
      <c r="CT109" s="28">
        <f t="shared" si="107"/>
        <v>0</v>
      </c>
      <c r="CU109" s="28">
        <f t="shared" si="107"/>
        <v>0</v>
      </c>
      <c r="CV109" s="28">
        <f t="shared" si="107"/>
        <v>0</v>
      </c>
      <c r="CW109" s="28">
        <f t="shared" si="107"/>
        <v>0</v>
      </c>
      <c r="CX109" s="28">
        <f t="shared" si="107"/>
        <v>0</v>
      </c>
      <c r="CY109" s="28">
        <f t="shared" si="107"/>
        <v>0</v>
      </c>
      <c r="CZ109" s="28">
        <f t="shared" si="107"/>
        <v>0</v>
      </c>
      <c r="DA109" s="28">
        <f t="shared" si="107"/>
        <v>0</v>
      </c>
      <c r="DB109" s="28">
        <f t="shared" si="107"/>
        <v>0</v>
      </c>
      <c r="DC109" s="28">
        <f t="shared" si="107"/>
        <v>0</v>
      </c>
      <c r="DD109" s="28">
        <f t="shared" si="107"/>
        <v>0</v>
      </c>
      <c r="DE109" s="28">
        <f t="shared" si="107"/>
        <v>0</v>
      </c>
      <c r="DF109" s="28">
        <f t="shared" si="107"/>
        <v>0</v>
      </c>
      <c r="DG109" s="28">
        <f t="shared" si="107"/>
        <v>0</v>
      </c>
      <c r="DH109" s="28">
        <f t="shared" si="107"/>
        <v>0</v>
      </c>
      <c r="DI109" s="28">
        <f t="shared" si="107"/>
        <v>0</v>
      </c>
      <c r="DJ109" s="28">
        <f t="shared" si="107"/>
        <v>0</v>
      </c>
      <c r="DK109" s="28">
        <f t="shared" si="107"/>
        <v>0</v>
      </c>
      <c r="DL109" s="28">
        <f t="shared" si="107"/>
        <v>0</v>
      </c>
      <c r="DM109" s="28">
        <f t="shared" si="107"/>
        <v>0</v>
      </c>
      <c r="DN109" s="28">
        <f t="shared" si="107"/>
        <v>0</v>
      </c>
      <c r="DO109" s="28">
        <f t="shared" si="107"/>
        <v>0</v>
      </c>
      <c r="DP109" s="28">
        <f t="shared" si="107"/>
        <v>0</v>
      </c>
      <c r="DQ109" s="28">
        <f t="shared" si="107"/>
        <v>0</v>
      </c>
      <c r="DR109" s="28">
        <f t="shared" si="107"/>
        <v>0</v>
      </c>
      <c r="DS109" s="28">
        <f t="shared" si="107"/>
        <v>0</v>
      </c>
      <c r="DT109" s="28">
        <f t="shared" si="107"/>
        <v>0</v>
      </c>
      <c r="DU109" s="28">
        <f t="shared" si="107"/>
        <v>0</v>
      </c>
      <c r="DV109" s="28">
        <f t="shared" si="107"/>
        <v>0</v>
      </c>
      <c r="DW109" s="28">
        <f t="shared" si="107"/>
        <v>0</v>
      </c>
      <c r="DX109" s="28">
        <f t="shared" si="107"/>
        <v>0</v>
      </c>
      <c r="DY109" s="28">
        <f t="shared" si="107"/>
        <v>0</v>
      </c>
      <c r="DZ109" s="28">
        <f t="shared" si="107"/>
        <v>0</v>
      </c>
      <c r="EA109" s="28">
        <f t="shared" si="107"/>
        <v>0</v>
      </c>
      <c r="EB109" s="28">
        <f t="shared" si="107"/>
        <v>0</v>
      </c>
      <c r="EC109" s="28">
        <f t="shared" si="107"/>
        <v>0</v>
      </c>
      <c r="ED109" s="28">
        <f t="shared" si="107"/>
        <v>0</v>
      </c>
      <c r="EE109" s="28">
        <f t="shared" si="107"/>
        <v>0</v>
      </c>
      <c r="EF109" s="28">
        <f t="shared" si="107"/>
        <v>0</v>
      </c>
      <c r="EG109" s="28">
        <f t="shared" si="107"/>
        <v>0</v>
      </c>
      <c r="EH109" s="28">
        <f t="shared" si="107"/>
        <v>0</v>
      </c>
      <c r="EI109" s="28">
        <f t="shared" si="107"/>
        <v>0</v>
      </c>
      <c r="EJ109" s="28">
        <f t="shared" si="107"/>
        <v>0</v>
      </c>
      <c r="EK109" s="28">
        <f t="shared" si="107"/>
        <v>0</v>
      </c>
      <c r="EL109" s="28">
        <f t="shared" si="107"/>
        <v>0</v>
      </c>
      <c r="EM109" s="28">
        <f t="shared" si="107"/>
        <v>0</v>
      </c>
      <c r="EN109" s="28">
        <f t="shared" si="107"/>
        <v>0</v>
      </c>
      <c r="EO109" s="28">
        <f t="shared" si="107"/>
        <v>0</v>
      </c>
      <c r="EP109" s="28">
        <f t="shared" si="107"/>
        <v>0</v>
      </c>
      <c r="EQ109" s="28">
        <f t="shared" si="107"/>
        <v>0</v>
      </c>
      <c r="ER109" s="28">
        <f t="shared" si="107"/>
        <v>0</v>
      </c>
      <c r="ES109" s="28">
        <f t="shared" si="107"/>
        <v>0</v>
      </c>
      <c r="ET109" s="28">
        <f t="shared" si="107"/>
        <v>0</v>
      </c>
      <c r="EU109" s="28">
        <f t="shared" si="107"/>
        <v>0</v>
      </c>
      <c r="EV109" s="28">
        <f t="shared" si="107"/>
        <v>0</v>
      </c>
      <c r="EW109" s="28">
        <f t="shared" si="107"/>
        <v>0</v>
      </c>
      <c r="EX109" s="28">
        <f t="shared" si="107"/>
        <v>0</v>
      </c>
      <c r="EY109" s="28">
        <f t="shared" si="107"/>
        <v>0</v>
      </c>
      <c r="EZ109" s="28">
        <f t="shared" si="107"/>
        <v>0</v>
      </c>
      <c r="FA109" s="28">
        <f t="shared" si="107"/>
        <v>0</v>
      </c>
      <c r="FB109" s="28">
        <f t="shared" si="107"/>
        <v>0</v>
      </c>
      <c r="FC109" s="28">
        <f t="shared" si="107"/>
        <v>0</v>
      </c>
      <c r="FD109" s="28">
        <f t="shared" si="107"/>
        <v>0</v>
      </c>
      <c r="FE109" s="28">
        <f t="shared" si="107"/>
        <v>0</v>
      </c>
      <c r="FF109" s="28">
        <f t="shared" si="107"/>
        <v>0</v>
      </c>
      <c r="FG109" s="28">
        <f t="shared" si="107"/>
        <v>0</v>
      </c>
      <c r="FH109" s="28">
        <f t="shared" si="107"/>
        <v>0</v>
      </c>
      <c r="FI109" s="28">
        <f t="shared" si="107"/>
        <v>0</v>
      </c>
      <c r="FJ109" s="28">
        <f t="shared" si="107"/>
        <v>0</v>
      </c>
      <c r="FK109" s="28">
        <f t="shared" si="107"/>
        <v>0</v>
      </c>
      <c r="FL109" s="28">
        <f t="shared" si="107"/>
        <v>0</v>
      </c>
      <c r="FM109" s="28">
        <f t="shared" si="107"/>
        <v>0</v>
      </c>
      <c r="FN109" s="28">
        <f t="shared" si="107"/>
        <v>0</v>
      </c>
      <c r="FO109" s="28">
        <f t="shared" si="107"/>
        <v>0</v>
      </c>
      <c r="FP109" s="28">
        <f t="shared" si="107"/>
        <v>0</v>
      </c>
      <c r="FQ109" s="28">
        <f t="shared" si="107"/>
        <v>0</v>
      </c>
      <c r="FR109" s="28">
        <f t="shared" si="107"/>
        <v>0</v>
      </c>
      <c r="FS109" s="28">
        <f t="shared" si="107"/>
        <v>0</v>
      </c>
      <c r="FT109" s="28">
        <f t="shared" si="107"/>
        <v>0</v>
      </c>
      <c r="FU109" s="28">
        <f t="shared" si="107"/>
        <v>0</v>
      </c>
      <c r="FV109" s="28">
        <f t="shared" si="107"/>
        <v>0</v>
      </c>
      <c r="FW109" s="28">
        <f t="shared" si="107"/>
        <v>0</v>
      </c>
      <c r="FX109" s="28">
        <f t="shared" si="107"/>
        <v>0</v>
      </c>
      <c r="FY109" s="28">
        <f t="shared" si="107"/>
        <v>0</v>
      </c>
      <c r="FZ109" s="28">
        <f t="shared" si="107"/>
        <v>0</v>
      </c>
      <c r="GA109" s="28">
        <f t="shared" si="107"/>
        <v>0</v>
      </c>
      <c r="GB109" s="28">
        <f t="shared" si="107"/>
        <v>0</v>
      </c>
      <c r="GC109" s="28">
        <f t="shared" si="107"/>
        <v>0</v>
      </c>
      <c r="GD109" s="28">
        <f t="shared" si="107"/>
        <v>0</v>
      </c>
      <c r="GE109" s="28">
        <f t="shared" si="107"/>
        <v>0</v>
      </c>
      <c r="GF109" s="28">
        <f t="shared" si="107"/>
        <v>0</v>
      </c>
      <c r="GG109" s="28">
        <f t="shared" si="107"/>
        <v>0</v>
      </c>
      <c r="GH109" s="28">
        <f t="shared" si="107"/>
        <v>0</v>
      </c>
      <c r="GI109" s="28">
        <f t="shared" si="107"/>
        <v>0</v>
      </c>
      <c r="GJ109" s="28">
        <f t="shared" si="107"/>
        <v>0</v>
      </c>
      <c r="GK109" s="28">
        <f t="shared" si="107"/>
        <v>0</v>
      </c>
      <c r="GL109" s="28">
        <f t="shared" si="107"/>
        <v>0</v>
      </c>
      <c r="GM109" s="28">
        <f t="shared" si="107"/>
        <v>0</v>
      </c>
      <c r="GN109" s="28">
        <f t="shared" si="107"/>
        <v>0</v>
      </c>
      <c r="GO109" s="28">
        <f t="shared" si="107"/>
        <v>0</v>
      </c>
      <c r="GP109" s="28">
        <f t="shared" si="107"/>
        <v>0</v>
      </c>
      <c r="GQ109" s="28">
        <f t="shared" si="107"/>
        <v>0</v>
      </c>
      <c r="GR109" s="28">
        <f t="shared" si="107"/>
        <v>0</v>
      </c>
      <c r="GS109" s="28">
        <f t="shared" si="107"/>
        <v>0</v>
      </c>
      <c r="GT109" s="28">
        <f t="shared" si="107"/>
        <v>0</v>
      </c>
      <c r="GU109" s="28">
        <f t="shared" si="107"/>
        <v>0</v>
      </c>
      <c r="GV109" s="28">
        <f t="shared" si="107"/>
        <v>0</v>
      </c>
      <c r="GW109" s="28">
        <f t="shared" si="107"/>
        <v>0</v>
      </c>
      <c r="GX109" s="28">
        <f t="shared" si="107"/>
        <v>0</v>
      </c>
      <c r="GY109" s="28">
        <f t="shared" si="107"/>
        <v>0</v>
      </c>
      <c r="GZ109" s="28">
        <f t="shared" si="107"/>
        <v>0</v>
      </c>
      <c r="HA109" s="28">
        <f t="shared" si="107"/>
        <v>0</v>
      </c>
      <c r="HB109" s="28">
        <f t="shared" si="107"/>
        <v>0</v>
      </c>
      <c r="HC109" s="28">
        <f t="shared" si="107"/>
        <v>0</v>
      </c>
      <c r="HD109" s="28">
        <f t="shared" si="107"/>
        <v>0</v>
      </c>
      <c r="HE109" s="28">
        <f t="shared" si="107"/>
        <v>0</v>
      </c>
      <c r="HF109" s="28">
        <f t="shared" si="107"/>
        <v>0</v>
      </c>
      <c r="HG109" s="28">
        <f t="shared" si="107"/>
        <v>0</v>
      </c>
      <c r="HH109" s="28">
        <f t="shared" si="107"/>
        <v>0</v>
      </c>
      <c r="HI109" s="28">
        <f t="shared" si="107"/>
        <v>0</v>
      </c>
      <c r="HJ109" s="28">
        <f t="shared" si="107"/>
        <v>0</v>
      </c>
      <c r="HK109" s="28">
        <f t="shared" si="107"/>
        <v>0</v>
      </c>
      <c r="HL109" s="28">
        <f t="shared" si="107"/>
        <v>0</v>
      </c>
      <c r="HM109" s="28">
        <f t="shared" si="107"/>
        <v>0</v>
      </c>
      <c r="HN109" s="28">
        <f t="shared" si="107"/>
        <v>0</v>
      </c>
      <c r="HO109" s="28">
        <f t="shared" si="107"/>
        <v>0</v>
      </c>
      <c r="HP109" s="28">
        <f t="shared" si="107"/>
        <v>0</v>
      </c>
      <c r="HQ109" s="28">
        <f t="shared" si="107"/>
        <v>0</v>
      </c>
      <c r="HR109" s="28">
        <f t="shared" si="107"/>
        <v>0</v>
      </c>
      <c r="HS109" s="28">
        <f t="shared" si="107"/>
        <v>0</v>
      </c>
      <c r="HT109" s="28">
        <f t="shared" si="107"/>
        <v>0</v>
      </c>
      <c r="HU109" s="28">
        <f t="shared" si="107"/>
        <v>0</v>
      </c>
      <c r="HV109" s="28">
        <f t="shared" si="107"/>
        <v>0</v>
      </c>
      <c r="HW109" s="28">
        <f t="shared" si="107"/>
        <v>0</v>
      </c>
      <c r="HX109" s="28">
        <f t="shared" si="107"/>
        <v>0</v>
      </c>
      <c r="HY109" s="28">
        <f t="shared" si="107"/>
        <v>0</v>
      </c>
      <c r="HZ109" s="28">
        <f t="shared" si="107"/>
        <v>0</v>
      </c>
      <c r="IA109" s="28">
        <f t="shared" si="107"/>
        <v>0</v>
      </c>
      <c r="IB109" s="28">
        <f t="shared" si="107"/>
        <v>0</v>
      </c>
      <c r="IC109" s="28">
        <f t="shared" si="107"/>
        <v>0</v>
      </c>
      <c r="ID109" s="28">
        <f t="shared" si="107"/>
        <v>0</v>
      </c>
      <c r="IE109" s="28">
        <f t="shared" si="107"/>
        <v>0</v>
      </c>
      <c r="IF109" s="28">
        <f t="shared" si="107"/>
        <v>0</v>
      </c>
      <c r="IG109" s="28">
        <f t="shared" si="107"/>
        <v>0</v>
      </c>
      <c r="IH109" s="28">
        <f t="shared" si="107"/>
        <v>0</v>
      </c>
      <c r="II109" s="28">
        <f t="shared" si="107"/>
        <v>0</v>
      </c>
      <c r="IJ109" s="28">
        <f t="shared" si="107"/>
        <v>0</v>
      </c>
      <c r="IK109" s="28">
        <f t="shared" si="107"/>
        <v>0</v>
      </c>
      <c r="IL109" s="28">
        <f t="shared" si="107"/>
        <v>0</v>
      </c>
      <c r="IM109" s="28">
        <f t="shared" si="107"/>
        <v>0</v>
      </c>
      <c r="IN109" s="28">
        <f t="shared" si="107"/>
        <v>0</v>
      </c>
      <c r="IO109" s="28">
        <f t="shared" si="107"/>
        <v>0</v>
      </c>
      <c r="IP109" s="28">
        <f t="shared" si="107"/>
        <v>0</v>
      </c>
      <c r="IQ109" s="28">
        <f t="shared" si="107"/>
        <v>0</v>
      </c>
      <c r="IR109" s="28"/>
      <c r="IS109" s="28"/>
      <c r="IT109" s="28"/>
      <c r="IU109" s="28"/>
      <c r="IV109" s="28"/>
    </row>
    <row r="110" ht="11.25" customHeight="1">
      <c r="A110" s="27" t="s">
        <v>132</v>
      </c>
      <c r="B110" s="28">
        <f t="shared" ref="B110:D110" si="108">COUNTIF(B8,"=1")+COUNTIF(B18,"=1")+COUNTIF(B28,"=1")+COUNTIF(B38,"=1")+COUNTIF(B9,"=2")+COUNTIF(B20,"=2")+COUNTIF(B31,"=2")+COUNTIF(B42,"=2")+COUNTIF(B53,"=2")</f>
        <v>1</v>
      </c>
      <c r="C110" s="28">
        <f t="shared" si="108"/>
        <v>1</v>
      </c>
      <c r="D110" s="28">
        <f t="shared" si="108"/>
        <v>1</v>
      </c>
      <c r="E110" s="28" t="str">
        <f>COUNTIF(#REF!,"=1")+COUNTIF(#REF!,"=1")+COUNTIF(#REF!,"=1")+COUNTIF(#REF!,"=1")+COUNTIF(#REF!,"=2")+COUNTIF(#REF!,"=2")+COUNTIF(#REF!,"=2")+COUNTIF(#REF!,"=2")+COUNTIF(#REF!,"=2")</f>
        <v>#REF!</v>
      </c>
      <c r="F110" s="28">
        <f t="shared" ref="F110:AW110" si="109">COUNTIF(F8,"=1")+COUNTIF(F18,"=1")+COUNTIF(F28,"=1")+COUNTIF(F38,"=1")+COUNTIF(F9,"=2")+COUNTIF(F20,"=2")+COUNTIF(F31,"=2")+COUNTIF(F42,"=2")+COUNTIF(F53,"=2")</f>
        <v>1</v>
      </c>
      <c r="G110" s="28">
        <f t="shared" si="109"/>
        <v>0</v>
      </c>
      <c r="H110" s="28">
        <f t="shared" si="109"/>
        <v>0</v>
      </c>
      <c r="I110" s="28">
        <f t="shared" si="109"/>
        <v>0</v>
      </c>
      <c r="J110" s="28">
        <f t="shared" si="109"/>
        <v>0</v>
      </c>
      <c r="K110" s="28">
        <f t="shared" si="109"/>
        <v>0</v>
      </c>
      <c r="L110" s="28">
        <f t="shared" si="109"/>
        <v>0</v>
      </c>
      <c r="M110" s="28">
        <f t="shared" si="109"/>
        <v>0</v>
      </c>
      <c r="N110" s="28">
        <f t="shared" si="109"/>
        <v>0</v>
      </c>
      <c r="O110" s="28">
        <f t="shared" si="109"/>
        <v>0</v>
      </c>
      <c r="P110" s="28">
        <f t="shared" si="109"/>
        <v>0</v>
      </c>
      <c r="Q110" s="28">
        <f t="shared" si="109"/>
        <v>0</v>
      </c>
      <c r="R110" s="28">
        <f t="shared" si="109"/>
        <v>0</v>
      </c>
      <c r="S110" s="28">
        <f t="shared" si="109"/>
        <v>0</v>
      </c>
      <c r="T110" s="28">
        <f t="shared" si="109"/>
        <v>0</v>
      </c>
      <c r="U110" s="28">
        <f t="shared" si="109"/>
        <v>0</v>
      </c>
      <c r="V110" s="28">
        <f t="shared" si="109"/>
        <v>0</v>
      </c>
      <c r="W110" s="28">
        <f t="shared" si="109"/>
        <v>0</v>
      </c>
      <c r="X110" s="28">
        <f t="shared" si="109"/>
        <v>0</v>
      </c>
      <c r="Y110" s="28">
        <f t="shared" si="109"/>
        <v>0</v>
      </c>
      <c r="Z110" s="28">
        <f t="shared" si="109"/>
        <v>0</v>
      </c>
      <c r="AA110" s="28">
        <f t="shared" si="109"/>
        <v>0</v>
      </c>
      <c r="AB110" s="28">
        <f t="shared" si="109"/>
        <v>0</v>
      </c>
      <c r="AC110" s="28">
        <f t="shared" si="109"/>
        <v>0</v>
      </c>
      <c r="AD110" s="28">
        <f t="shared" si="109"/>
        <v>0</v>
      </c>
      <c r="AE110" s="28">
        <f t="shared" si="109"/>
        <v>0</v>
      </c>
      <c r="AF110" s="28">
        <f t="shared" si="109"/>
        <v>0</v>
      </c>
      <c r="AG110" s="28">
        <f t="shared" si="109"/>
        <v>0</v>
      </c>
      <c r="AH110" s="28">
        <f t="shared" si="109"/>
        <v>0</v>
      </c>
      <c r="AI110" s="28">
        <f t="shared" si="109"/>
        <v>0</v>
      </c>
      <c r="AJ110" s="28">
        <f t="shared" si="109"/>
        <v>0</v>
      </c>
      <c r="AK110" s="28">
        <f t="shared" si="109"/>
        <v>0</v>
      </c>
      <c r="AL110" s="28">
        <f t="shared" si="109"/>
        <v>0</v>
      </c>
      <c r="AM110" s="28">
        <f t="shared" si="109"/>
        <v>0</v>
      </c>
      <c r="AN110" s="28">
        <f t="shared" si="109"/>
        <v>0</v>
      </c>
      <c r="AO110" s="28">
        <f t="shared" si="109"/>
        <v>0</v>
      </c>
      <c r="AP110" s="28">
        <f t="shared" si="109"/>
        <v>0</v>
      </c>
      <c r="AQ110" s="28">
        <f t="shared" si="109"/>
        <v>0</v>
      </c>
      <c r="AR110" s="28">
        <f t="shared" si="109"/>
        <v>0</v>
      </c>
      <c r="AS110" s="28">
        <f t="shared" si="109"/>
        <v>0</v>
      </c>
      <c r="AT110" s="28">
        <f t="shared" si="109"/>
        <v>0</v>
      </c>
      <c r="AU110" s="28">
        <f t="shared" si="109"/>
        <v>0</v>
      </c>
      <c r="AV110" s="28">
        <f t="shared" si="109"/>
        <v>0</v>
      </c>
      <c r="AW110" s="28">
        <f t="shared" si="109"/>
        <v>0</v>
      </c>
      <c r="AX110" s="28">
        <f t="shared" ref="AX110:AY110" si="110">COUNTIF(AZ8,"=1")+COUNTIF(AZ18,"=1")+COUNTIF(AZ28,"=1")+COUNTIF(AZ38,"=1")+COUNTIF(AZ9,"=2")+COUNTIF(AZ20,"=2")+COUNTIF(AZ31,"=2")+COUNTIF(AZ42,"=2")+COUNTIF(AZ53,"=2")</f>
        <v>0</v>
      </c>
      <c r="AY110" s="28">
        <f t="shared" si="110"/>
        <v>0</v>
      </c>
      <c r="AZ110" s="28" t="str">
        <f>COUNTIF(#REF!,"=1")+COUNTIF(#REF!,"=1")+COUNTIF(#REF!,"=1")+COUNTIF(#REF!,"=1")+COUNTIF(#REF!,"=2")+COUNTIF(#REF!,"=2")+COUNTIF(#REF!,"=2")+COUNTIF(#REF!,"=2")+COUNTIF(#REF!,"=2")</f>
        <v>#REF!</v>
      </c>
      <c r="BA110" s="28">
        <f t="shared" ref="BA110:BT110" si="111">COUNTIF(BC8,"=1")+COUNTIF(BC18,"=1")+COUNTIF(BC28,"=1")+COUNTIF(BC38,"=1")+COUNTIF(BC9,"=2")+COUNTIF(BC20,"=2")+COUNTIF(BC31,"=2")+COUNTIF(BC42,"=2")+COUNTIF(BC53,"=2")</f>
        <v>0</v>
      </c>
      <c r="BB110" s="28">
        <f t="shared" si="111"/>
        <v>0</v>
      </c>
      <c r="BC110" s="28">
        <f t="shared" si="111"/>
        <v>0</v>
      </c>
      <c r="BD110" s="28">
        <f t="shared" si="111"/>
        <v>0</v>
      </c>
      <c r="BE110" s="28">
        <f t="shared" si="111"/>
        <v>0</v>
      </c>
      <c r="BF110" s="28">
        <f t="shared" si="111"/>
        <v>0</v>
      </c>
      <c r="BG110" s="28">
        <f t="shared" si="111"/>
        <v>0</v>
      </c>
      <c r="BH110" s="28">
        <f t="shared" si="111"/>
        <v>0</v>
      </c>
      <c r="BI110" s="28">
        <f t="shared" si="111"/>
        <v>0</v>
      </c>
      <c r="BJ110" s="28">
        <f t="shared" si="111"/>
        <v>0</v>
      </c>
      <c r="BK110" s="28">
        <f t="shared" si="111"/>
        <v>0</v>
      </c>
      <c r="BL110" s="28">
        <f t="shared" si="111"/>
        <v>0</v>
      </c>
      <c r="BM110" s="28">
        <f t="shared" si="111"/>
        <v>0</v>
      </c>
      <c r="BN110" s="28">
        <f t="shared" si="111"/>
        <v>0</v>
      </c>
      <c r="BO110" s="28">
        <f t="shared" si="111"/>
        <v>0</v>
      </c>
      <c r="BP110" s="28">
        <f t="shared" si="111"/>
        <v>0</v>
      </c>
      <c r="BQ110" s="28">
        <f t="shared" si="111"/>
        <v>0</v>
      </c>
      <c r="BR110" s="28">
        <f t="shared" si="111"/>
        <v>0</v>
      </c>
      <c r="BS110" s="28">
        <f t="shared" si="111"/>
        <v>0</v>
      </c>
      <c r="BT110" s="28">
        <f t="shared" si="111"/>
        <v>0</v>
      </c>
      <c r="BU110" s="28">
        <f>COUNTIF(BB8,"=1")+COUNTIF(BB18,"=1")+COUNTIF(BB28,"=1")+COUNTIF(BB38,"=1")+COUNTIF(BB9,"=2")+COUNTIF(BB20,"=2")+COUNTIF(BB31,"=2")+COUNTIF(BB42,"=2")+COUNTIF(BB53,"=2")</f>
        <v>0</v>
      </c>
      <c r="BV110" s="28">
        <f t="shared" ref="BV110:CP110" si="112">COUNTIF(BX8,"=1")+COUNTIF(BX18,"=1")+COUNTIF(BX28,"=1")+COUNTIF(BX38,"=1")+COUNTIF(BX9,"=2")+COUNTIF(BX20,"=2")+COUNTIF(BX31,"=2")+COUNTIF(BX42,"=2")+COUNTIF(BX53,"=2")</f>
        <v>0</v>
      </c>
      <c r="BW110" s="28">
        <f t="shared" si="112"/>
        <v>0</v>
      </c>
      <c r="BX110" s="28">
        <f t="shared" si="112"/>
        <v>0</v>
      </c>
      <c r="BY110" s="28">
        <f t="shared" si="112"/>
        <v>0</v>
      </c>
      <c r="BZ110" s="28">
        <f t="shared" si="112"/>
        <v>0</v>
      </c>
      <c r="CA110" s="28">
        <f t="shared" si="112"/>
        <v>0</v>
      </c>
      <c r="CB110" s="28">
        <f t="shared" si="112"/>
        <v>0</v>
      </c>
      <c r="CC110" s="28">
        <f t="shared" si="112"/>
        <v>0</v>
      </c>
      <c r="CD110" s="28">
        <f t="shared" si="112"/>
        <v>0</v>
      </c>
      <c r="CE110" s="28">
        <f t="shared" si="112"/>
        <v>0</v>
      </c>
      <c r="CF110" s="28">
        <f t="shared" si="112"/>
        <v>0</v>
      </c>
      <c r="CG110" s="28">
        <f t="shared" si="112"/>
        <v>0</v>
      </c>
      <c r="CH110" s="28">
        <f t="shared" si="112"/>
        <v>0</v>
      </c>
      <c r="CI110" s="28">
        <f t="shared" si="112"/>
        <v>0</v>
      </c>
      <c r="CJ110" s="28">
        <f t="shared" si="112"/>
        <v>0</v>
      </c>
      <c r="CK110" s="28">
        <f t="shared" si="112"/>
        <v>0</v>
      </c>
      <c r="CL110" s="28">
        <f t="shared" si="112"/>
        <v>0</v>
      </c>
      <c r="CM110" s="28">
        <f t="shared" si="112"/>
        <v>0</v>
      </c>
      <c r="CN110" s="28">
        <f t="shared" si="112"/>
        <v>0</v>
      </c>
      <c r="CO110" s="28">
        <f t="shared" si="112"/>
        <v>0</v>
      </c>
      <c r="CP110" s="28">
        <f t="shared" si="112"/>
        <v>0</v>
      </c>
      <c r="CQ110" s="28" t="str">
        <f t="shared" ref="CQ110:CR110" si="113">COUNTIF(#REF!,"=1")+COUNTIF(#REF!,"=1")+COUNTIF(#REF!,"=1")+COUNTIF(#REF!,"=1")+COUNTIF(#REF!,"=2")+COUNTIF(#REF!,"=2")+COUNTIF(#REF!,"=2")+COUNTIF(#REF!,"=2")+COUNTIF(#REF!,"=2")</f>
        <v>#REF!</v>
      </c>
      <c r="CR110" s="28" t="str">
        <f t="shared" si="113"/>
        <v>#REF!</v>
      </c>
      <c r="CS110" s="28">
        <f t="shared" ref="CS110:IQ110" si="114">COUNTIF(CS8,"=1")+COUNTIF(CS18,"=1")+COUNTIF(CS28,"=1")+COUNTIF(CS38,"=1")+COUNTIF(CS9,"=2")+COUNTIF(CS20,"=2")+COUNTIF(CS31,"=2")+COUNTIF(CS42,"=2")+COUNTIF(CS53,"=2")</f>
        <v>0</v>
      </c>
      <c r="CT110" s="28">
        <f t="shared" si="114"/>
        <v>0</v>
      </c>
      <c r="CU110" s="28">
        <f t="shared" si="114"/>
        <v>0</v>
      </c>
      <c r="CV110" s="28">
        <f t="shared" si="114"/>
        <v>0</v>
      </c>
      <c r="CW110" s="28">
        <f t="shared" si="114"/>
        <v>0</v>
      </c>
      <c r="CX110" s="28">
        <f t="shared" si="114"/>
        <v>0</v>
      </c>
      <c r="CY110" s="28">
        <f t="shared" si="114"/>
        <v>0</v>
      </c>
      <c r="CZ110" s="28">
        <f t="shared" si="114"/>
        <v>0</v>
      </c>
      <c r="DA110" s="28">
        <f t="shared" si="114"/>
        <v>0</v>
      </c>
      <c r="DB110" s="28">
        <f t="shared" si="114"/>
        <v>0</v>
      </c>
      <c r="DC110" s="28">
        <f t="shared" si="114"/>
        <v>0</v>
      </c>
      <c r="DD110" s="28">
        <f t="shared" si="114"/>
        <v>0</v>
      </c>
      <c r="DE110" s="28">
        <f t="shared" si="114"/>
        <v>0</v>
      </c>
      <c r="DF110" s="28">
        <f t="shared" si="114"/>
        <v>0</v>
      </c>
      <c r="DG110" s="28">
        <f t="shared" si="114"/>
        <v>0</v>
      </c>
      <c r="DH110" s="28">
        <f t="shared" si="114"/>
        <v>0</v>
      </c>
      <c r="DI110" s="28">
        <f t="shared" si="114"/>
        <v>0</v>
      </c>
      <c r="DJ110" s="28">
        <f t="shared" si="114"/>
        <v>0</v>
      </c>
      <c r="DK110" s="28">
        <f t="shared" si="114"/>
        <v>0</v>
      </c>
      <c r="DL110" s="28">
        <f t="shared" si="114"/>
        <v>0</v>
      </c>
      <c r="DM110" s="28">
        <f t="shared" si="114"/>
        <v>0</v>
      </c>
      <c r="DN110" s="28">
        <f t="shared" si="114"/>
        <v>0</v>
      </c>
      <c r="DO110" s="28">
        <f t="shared" si="114"/>
        <v>0</v>
      </c>
      <c r="DP110" s="28">
        <f t="shared" si="114"/>
        <v>0</v>
      </c>
      <c r="DQ110" s="28">
        <f t="shared" si="114"/>
        <v>0</v>
      </c>
      <c r="DR110" s="28">
        <f t="shared" si="114"/>
        <v>0</v>
      </c>
      <c r="DS110" s="28">
        <f t="shared" si="114"/>
        <v>0</v>
      </c>
      <c r="DT110" s="28">
        <f t="shared" si="114"/>
        <v>0</v>
      </c>
      <c r="DU110" s="28">
        <f t="shared" si="114"/>
        <v>0</v>
      </c>
      <c r="DV110" s="28">
        <f t="shared" si="114"/>
        <v>0</v>
      </c>
      <c r="DW110" s="28">
        <f t="shared" si="114"/>
        <v>0</v>
      </c>
      <c r="DX110" s="28">
        <f t="shared" si="114"/>
        <v>0</v>
      </c>
      <c r="DY110" s="28">
        <f t="shared" si="114"/>
        <v>0</v>
      </c>
      <c r="DZ110" s="28">
        <f t="shared" si="114"/>
        <v>0</v>
      </c>
      <c r="EA110" s="28">
        <f t="shared" si="114"/>
        <v>0</v>
      </c>
      <c r="EB110" s="28">
        <f t="shared" si="114"/>
        <v>0</v>
      </c>
      <c r="EC110" s="28">
        <f t="shared" si="114"/>
        <v>0</v>
      </c>
      <c r="ED110" s="28">
        <f t="shared" si="114"/>
        <v>0</v>
      </c>
      <c r="EE110" s="28">
        <f t="shared" si="114"/>
        <v>0</v>
      </c>
      <c r="EF110" s="28">
        <f t="shared" si="114"/>
        <v>0</v>
      </c>
      <c r="EG110" s="28">
        <f t="shared" si="114"/>
        <v>0</v>
      </c>
      <c r="EH110" s="28">
        <f t="shared" si="114"/>
        <v>0</v>
      </c>
      <c r="EI110" s="28">
        <f t="shared" si="114"/>
        <v>0</v>
      </c>
      <c r="EJ110" s="28">
        <f t="shared" si="114"/>
        <v>0</v>
      </c>
      <c r="EK110" s="28">
        <f t="shared" si="114"/>
        <v>0</v>
      </c>
      <c r="EL110" s="28">
        <f t="shared" si="114"/>
        <v>0</v>
      </c>
      <c r="EM110" s="28">
        <f t="shared" si="114"/>
        <v>0</v>
      </c>
      <c r="EN110" s="28">
        <f t="shared" si="114"/>
        <v>0</v>
      </c>
      <c r="EO110" s="28">
        <f t="shared" si="114"/>
        <v>0</v>
      </c>
      <c r="EP110" s="28">
        <f t="shared" si="114"/>
        <v>0</v>
      </c>
      <c r="EQ110" s="28">
        <f t="shared" si="114"/>
        <v>0</v>
      </c>
      <c r="ER110" s="28">
        <f t="shared" si="114"/>
        <v>0</v>
      </c>
      <c r="ES110" s="28">
        <f t="shared" si="114"/>
        <v>0</v>
      </c>
      <c r="ET110" s="28">
        <f t="shared" si="114"/>
        <v>0</v>
      </c>
      <c r="EU110" s="28">
        <f t="shared" si="114"/>
        <v>0</v>
      </c>
      <c r="EV110" s="28">
        <f t="shared" si="114"/>
        <v>0</v>
      </c>
      <c r="EW110" s="28">
        <f t="shared" si="114"/>
        <v>0</v>
      </c>
      <c r="EX110" s="28">
        <f t="shared" si="114"/>
        <v>0</v>
      </c>
      <c r="EY110" s="28">
        <f t="shared" si="114"/>
        <v>0</v>
      </c>
      <c r="EZ110" s="28">
        <f t="shared" si="114"/>
        <v>0</v>
      </c>
      <c r="FA110" s="28">
        <f t="shared" si="114"/>
        <v>0</v>
      </c>
      <c r="FB110" s="28">
        <f t="shared" si="114"/>
        <v>0</v>
      </c>
      <c r="FC110" s="28">
        <f t="shared" si="114"/>
        <v>0</v>
      </c>
      <c r="FD110" s="28">
        <f t="shared" si="114"/>
        <v>0</v>
      </c>
      <c r="FE110" s="28">
        <f t="shared" si="114"/>
        <v>0</v>
      </c>
      <c r="FF110" s="28">
        <f t="shared" si="114"/>
        <v>0</v>
      </c>
      <c r="FG110" s="28">
        <f t="shared" si="114"/>
        <v>0</v>
      </c>
      <c r="FH110" s="28">
        <f t="shared" si="114"/>
        <v>0</v>
      </c>
      <c r="FI110" s="28">
        <f t="shared" si="114"/>
        <v>0</v>
      </c>
      <c r="FJ110" s="28">
        <f t="shared" si="114"/>
        <v>0</v>
      </c>
      <c r="FK110" s="28">
        <f t="shared" si="114"/>
        <v>0</v>
      </c>
      <c r="FL110" s="28">
        <f t="shared" si="114"/>
        <v>0</v>
      </c>
      <c r="FM110" s="28">
        <f t="shared" si="114"/>
        <v>0</v>
      </c>
      <c r="FN110" s="28">
        <f t="shared" si="114"/>
        <v>0</v>
      </c>
      <c r="FO110" s="28">
        <f t="shared" si="114"/>
        <v>0</v>
      </c>
      <c r="FP110" s="28">
        <f t="shared" si="114"/>
        <v>0</v>
      </c>
      <c r="FQ110" s="28">
        <f t="shared" si="114"/>
        <v>0</v>
      </c>
      <c r="FR110" s="28">
        <f t="shared" si="114"/>
        <v>0</v>
      </c>
      <c r="FS110" s="28">
        <f t="shared" si="114"/>
        <v>0</v>
      </c>
      <c r="FT110" s="28">
        <f t="shared" si="114"/>
        <v>0</v>
      </c>
      <c r="FU110" s="28">
        <f t="shared" si="114"/>
        <v>0</v>
      </c>
      <c r="FV110" s="28">
        <f t="shared" si="114"/>
        <v>0</v>
      </c>
      <c r="FW110" s="28">
        <f t="shared" si="114"/>
        <v>0</v>
      </c>
      <c r="FX110" s="28">
        <f t="shared" si="114"/>
        <v>0</v>
      </c>
      <c r="FY110" s="28">
        <f t="shared" si="114"/>
        <v>0</v>
      </c>
      <c r="FZ110" s="28">
        <f t="shared" si="114"/>
        <v>0</v>
      </c>
      <c r="GA110" s="28">
        <f t="shared" si="114"/>
        <v>0</v>
      </c>
      <c r="GB110" s="28">
        <f t="shared" si="114"/>
        <v>0</v>
      </c>
      <c r="GC110" s="28">
        <f t="shared" si="114"/>
        <v>0</v>
      </c>
      <c r="GD110" s="28">
        <f t="shared" si="114"/>
        <v>0</v>
      </c>
      <c r="GE110" s="28">
        <f t="shared" si="114"/>
        <v>0</v>
      </c>
      <c r="GF110" s="28">
        <f t="shared" si="114"/>
        <v>0</v>
      </c>
      <c r="GG110" s="28">
        <f t="shared" si="114"/>
        <v>0</v>
      </c>
      <c r="GH110" s="28">
        <f t="shared" si="114"/>
        <v>0</v>
      </c>
      <c r="GI110" s="28">
        <f t="shared" si="114"/>
        <v>0</v>
      </c>
      <c r="GJ110" s="28">
        <f t="shared" si="114"/>
        <v>0</v>
      </c>
      <c r="GK110" s="28">
        <f t="shared" si="114"/>
        <v>0</v>
      </c>
      <c r="GL110" s="28">
        <f t="shared" si="114"/>
        <v>0</v>
      </c>
      <c r="GM110" s="28">
        <f t="shared" si="114"/>
        <v>0</v>
      </c>
      <c r="GN110" s="28">
        <f t="shared" si="114"/>
        <v>0</v>
      </c>
      <c r="GO110" s="28">
        <f t="shared" si="114"/>
        <v>0</v>
      </c>
      <c r="GP110" s="28">
        <f t="shared" si="114"/>
        <v>0</v>
      </c>
      <c r="GQ110" s="28">
        <f t="shared" si="114"/>
        <v>0</v>
      </c>
      <c r="GR110" s="28">
        <f t="shared" si="114"/>
        <v>0</v>
      </c>
      <c r="GS110" s="28">
        <f t="shared" si="114"/>
        <v>0</v>
      </c>
      <c r="GT110" s="28">
        <f t="shared" si="114"/>
        <v>0</v>
      </c>
      <c r="GU110" s="28">
        <f t="shared" si="114"/>
        <v>0</v>
      </c>
      <c r="GV110" s="28">
        <f t="shared" si="114"/>
        <v>0</v>
      </c>
      <c r="GW110" s="28">
        <f t="shared" si="114"/>
        <v>0</v>
      </c>
      <c r="GX110" s="28">
        <f t="shared" si="114"/>
        <v>0</v>
      </c>
      <c r="GY110" s="28">
        <f t="shared" si="114"/>
        <v>0</v>
      </c>
      <c r="GZ110" s="28">
        <f t="shared" si="114"/>
        <v>0</v>
      </c>
      <c r="HA110" s="28">
        <f t="shared" si="114"/>
        <v>0</v>
      </c>
      <c r="HB110" s="28">
        <f t="shared" si="114"/>
        <v>0</v>
      </c>
      <c r="HC110" s="28">
        <f t="shared" si="114"/>
        <v>0</v>
      </c>
      <c r="HD110" s="28">
        <f t="shared" si="114"/>
        <v>0</v>
      </c>
      <c r="HE110" s="28">
        <f t="shared" si="114"/>
        <v>0</v>
      </c>
      <c r="HF110" s="28">
        <f t="shared" si="114"/>
        <v>0</v>
      </c>
      <c r="HG110" s="28">
        <f t="shared" si="114"/>
        <v>0</v>
      </c>
      <c r="HH110" s="28">
        <f t="shared" si="114"/>
        <v>0</v>
      </c>
      <c r="HI110" s="28">
        <f t="shared" si="114"/>
        <v>0</v>
      </c>
      <c r="HJ110" s="28">
        <f t="shared" si="114"/>
        <v>0</v>
      </c>
      <c r="HK110" s="28">
        <f t="shared" si="114"/>
        <v>0</v>
      </c>
      <c r="HL110" s="28">
        <f t="shared" si="114"/>
        <v>0</v>
      </c>
      <c r="HM110" s="28">
        <f t="shared" si="114"/>
        <v>0</v>
      </c>
      <c r="HN110" s="28">
        <f t="shared" si="114"/>
        <v>0</v>
      </c>
      <c r="HO110" s="28">
        <f t="shared" si="114"/>
        <v>0</v>
      </c>
      <c r="HP110" s="28">
        <f t="shared" si="114"/>
        <v>0</v>
      </c>
      <c r="HQ110" s="28">
        <f t="shared" si="114"/>
        <v>0</v>
      </c>
      <c r="HR110" s="28">
        <f t="shared" si="114"/>
        <v>0</v>
      </c>
      <c r="HS110" s="28">
        <f t="shared" si="114"/>
        <v>0</v>
      </c>
      <c r="HT110" s="28">
        <f t="shared" si="114"/>
        <v>0</v>
      </c>
      <c r="HU110" s="28">
        <f t="shared" si="114"/>
        <v>0</v>
      </c>
      <c r="HV110" s="28">
        <f t="shared" si="114"/>
        <v>0</v>
      </c>
      <c r="HW110" s="28">
        <f t="shared" si="114"/>
        <v>0</v>
      </c>
      <c r="HX110" s="28">
        <f t="shared" si="114"/>
        <v>0</v>
      </c>
      <c r="HY110" s="28">
        <f t="shared" si="114"/>
        <v>0</v>
      </c>
      <c r="HZ110" s="28">
        <f t="shared" si="114"/>
        <v>0</v>
      </c>
      <c r="IA110" s="28">
        <f t="shared" si="114"/>
        <v>0</v>
      </c>
      <c r="IB110" s="28">
        <f t="shared" si="114"/>
        <v>0</v>
      </c>
      <c r="IC110" s="28">
        <f t="shared" si="114"/>
        <v>0</v>
      </c>
      <c r="ID110" s="28">
        <f t="shared" si="114"/>
        <v>0</v>
      </c>
      <c r="IE110" s="28">
        <f t="shared" si="114"/>
        <v>0</v>
      </c>
      <c r="IF110" s="28">
        <f t="shared" si="114"/>
        <v>0</v>
      </c>
      <c r="IG110" s="28">
        <f t="shared" si="114"/>
        <v>0</v>
      </c>
      <c r="IH110" s="28">
        <f t="shared" si="114"/>
        <v>0</v>
      </c>
      <c r="II110" s="28">
        <f t="shared" si="114"/>
        <v>0</v>
      </c>
      <c r="IJ110" s="28">
        <f t="shared" si="114"/>
        <v>0</v>
      </c>
      <c r="IK110" s="28">
        <f t="shared" si="114"/>
        <v>0</v>
      </c>
      <c r="IL110" s="28">
        <f t="shared" si="114"/>
        <v>0</v>
      </c>
      <c r="IM110" s="28">
        <f t="shared" si="114"/>
        <v>0</v>
      </c>
      <c r="IN110" s="28">
        <f t="shared" si="114"/>
        <v>0</v>
      </c>
      <c r="IO110" s="28">
        <f t="shared" si="114"/>
        <v>0</v>
      </c>
      <c r="IP110" s="28">
        <f t="shared" si="114"/>
        <v>0</v>
      </c>
      <c r="IQ110" s="28">
        <f t="shared" si="114"/>
        <v>0</v>
      </c>
      <c r="IR110" s="28"/>
      <c r="IS110" s="28"/>
      <c r="IT110" s="28"/>
      <c r="IU110" s="28"/>
      <c r="IV110" s="28"/>
    </row>
    <row r="111" ht="11.25" customHeight="1">
      <c r="A111" s="27" t="s">
        <v>133</v>
      </c>
      <c r="B111" s="28">
        <f t="shared" ref="B111:D111" si="115">COUNTIF(B7,"=1")+COUNTIF(B17,"=1")+COUNTIF(B27,"=1")+COUNTIF(B8,"=2")+COUNTIF(B19,"=2")+COUNTIF(B30,"=2")+COUNTIF(B41,"=2")+COUNTIF(B52,"=2")+COUNTIF(B63,"=2")</f>
        <v>7</v>
      </c>
      <c r="C111" s="28">
        <f t="shared" si="115"/>
        <v>7</v>
      </c>
      <c r="D111" s="28">
        <f t="shared" si="115"/>
        <v>7</v>
      </c>
      <c r="E111" s="28" t="str">
        <f>COUNTIF(#REF!,"=1")+COUNTIF(#REF!,"=1")+COUNTIF(#REF!,"=1")+COUNTIF(#REF!,"=2")+COUNTIF(#REF!,"=2")+COUNTIF(#REF!,"=2")+COUNTIF(#REF!,"=2")+COUNTIF(#REF!,"=2")+COUNTIF(#REF!,"=2")</f>
        <v>#REF!</v>
      </c>
      <c r="F111" s="28">
        <f t="shared" ref="F111:AW111" si="116">COUNTIF(F7,"=1")+COUNTIF(F17,"=1")+COUNTIF(F27,"=1")+COUNTIF(F8,"=2")+COUNTIF(F19,"=2")+COUNTIF(F30,"=2")+COUNTIF(F41,"=2")+COUNTIF(F52,"=2")+COUNTIF(F63,"=2")</f>
        <v>7</v>
      </c>
      <c r="G111" s="28">
        <f t="shared" si="116"/>
        <v>0</v>
      </c>
      <c r="H111" s="28">
        <f t="shared" si="116"/>
        <v>0</v>
      </c>
      <c r="I111" s="28">
        <f t="shared" si="116"/>
        <v>0</v>
      </c>
      <c r="J111" s="28">
        <f t="shared" si="116"/>
        <v>0</v>
      </c>
      <c r="K111" s="28">
        <f t="shared" si="116"/>
        <v>0</v>
      </c>
      <c r="L111" s="28">
        <f t="shared" si="116"/>
        <v>0</v>
      </c>
      <c r="M111" s="28">
        <f t="shared" si="116"/>
        <v>0</v>
      </c>
      <c r="N111" s="28">
        <f t="shared" si="116"/>
        <v>0</v>
      </c>
      <c r="O111" s="28">
        <f t="shared" si="116"/>
        <v>0</v>
      </c>
      <c r="P111" s="28">
        <f t="shared" si="116"/>
        <v>0</v>
      </c>
      <c r="Q111" s="28">
        <f t="shared" si="116"/>
        <v>0</v>
      </c>
      <c r="R111" s="28">
        <f t="shared" si="116"/>
        <v>0</v>
      </c>
      <c r="S111" s="28">
        <f t="shared" si="116"/>
        <v>0</v>
      </c>
      <c r="T111" s="28">
        <f t="shared" si="116"/>
        <v>0</v>
      </c>
      <c r="U111" s="28">
        <f t="shared" si="116"/>
        <v>0</v>
      </c>
      <c r="V111" s="28">
        <f t="shared" si="116"/>
        <v>0</v>
      </c>
      <c r="W111" s="28">
        <f t="shared" si="116"/>
        <v>0</v>
      </c>
      <c r="X111" s="28">
        <f t="shared" si="116"/>
        <v>0</v>
      </c>
      <c r="Y111" s="28">
        <f t="shared" si="116"/>
        <v>0</v>
      </c>
      <c r="Z111" s="28">
        <f t="shared" si="116"/>
        <v>0</v>
      </c>
      <c r="AA111" s="28">
        <f t="shared" si="116"/>
        <v>0</v>
      </c>
      <c r="AB111" s="28">
        <f t="shared" si="116"/>
        <v>0</v>
      </c>
      <c r="AC111" s="28">
        <f t="shared" si="116"/>
        <v>0</v>
      </c>
      <c r="AD111" s="28">
        <f t="shared" si="116"/>
        <v>0</v>
      </c>
      <c r="AE111" s="28">
        <f t="shared" si="116"/>
        <v>0</v>
      </c>
      <c r="AF111" s="28">
        <f t="shared" si="116"/>
        <v>0</v>
      </c>
      <c r="AG111" s="28">
        <f t="shared" si="116"/>
        <v>0</v>
      </c>
      <c r="AH111" s="28">
        <f t="shared" si="116"/>
        <v>0</v>
      </c>
      <c r="AI111" s="28">
        <f t="shared" si="116"/>
        <v>0</v>
      </c>
      <c r="AJ111" s="28">
        <f t="shared" si="116"/>
        <v>0</v>
      </c>
      <c r="AK111" s="28">
        <f t="shared" si="116"/>
        <v>0</v>
      </c>
      <c r="AL111" s="28">
        <f t="shared" si="116"/>
        <v>0</v>
      </c>
      <c r="AM111" s="28">
        <f t="shared" si="116"/>
        <v>0</v>
      </c>
      <c r="AN111" s="28">
        <f t="shared" si="116"/>
        <v>0</v>
      </c>
      <c r="AO111" s="28">
        <f t="shared" si="116"/>
        <v>0</v>
      </c>
      <c r="AP111" s="28">
        <f t="shared" si="116"/>
        <v>0</v>
      </c>
      <c r="AQ111" s="28">
        <f t="shared" si="116"/>
        <v>0</v>
      </c>
      <c r="AR111" s="28">
        <f t="shared" si="116"/>
        <v>0</v>
      </c>
      <c r="AS111" s="28">
        <f t="shared" si="116"/>
        <v>0</v>
      </c>
      <c r="AT111" s="28">
        <f t="shared" si="116"/>
        <v>0</v>
      </c>
      <c r="AU111" s="28">
        <f t="shared" si="116"/>
        <v>0</v>
      </c>
      <c r="AV111" s="28">
        <f t="shared" si="116"/>
        <v>0</v>
      </c>
      <c r="AW111" s="28">
        <f t="shared" si="116"/>
        <v>0</v>
      </c>
      <c r="AX111" s="28">
        <f t="shared" ref="AX111:AY111" si="117">COUNTIF(AZ7,"=1")+COUNTIF(AZ17,"=1")+COUNTIF(AZ27,"=1")+COUNTIF(AZ8,"=2")+COUNTIF(AZ19,"=2")+COUNTIF(AZ30,"=2")+COUNTIF(AZ41,"=2")+COUNTIF(AZ52,"=2")+COUNTIF(AZ63,"=2")</f>
        <v>0</v>
      </c>
      <c r="AY111" s="28">
        <f t="shared" si="117"/>
        <v>0</v>
      </c>
      <c r="AZ111" s="28" t="str">
        <f>COUNTIF(#REF!,"=1")+COUNTIF(#REF!,"=1")+COUNTIF(#REF!,"=1")+COUNTIF(#REF!,"=2")+COUNTIF(#REF!,"=2")+COUNTIF(#REF!,"=2")+COUNTIF(#REF!,"=2")+COUNTIF(#REF!,"=2")+COUNTIF(#REF!,"=2")</f>
        <v>#REF!</v>
      </c>
      <c r="BA111" s="28">
        <f t="shared" ref="BA111:BT111" si="118">COUNTIF(BC7,"=1")+COUNTIF(BC17,"=1")+COUNTIF(BC27,"=1")+COUNTIF(BC8,"=2")+COUNTIF(BC19,"=2")+COUNTIF(BC30,"=2")+COUNTIF(BC41,"=2")+COUNTIF(BC52,"=2")+COUNTIF(BC63,"=2")</f>
        <v>0</v>
      </c>
      <c r="BB111" s="28">
        <f t="shared" si="118"/>
        <v>0</v>
      </c>
      <c r="BC111" s="28">
        <f t="shared" si="118"/>
        <v>0</v>
      </c>
      <c r="BD111" s="28">
        <f t="shared" si="118"/>
        <v>0</v>
      </c>
      <c r="BE111" s="28">
        <f t="shared" si="118"/>
        <v>0</v>
      </c>
      <c r="BF111" s="28">
        <f t="shared" si="118"/>
        <v>0</v>
      </c>
      <c r="BG111" s="28">
        <f t="shared" si="118"/>
        <v>0</v>
      </c>
      <c r="BH111" s="28">
        <f t="shared" si="118"/>
        <v>0</v>
      </c>
      <c r="BI111" s="28">
        <f t="shared" si="118"/>
        <v>0</v>
      </c>
      <c r="BJ111" s="28">
        <f t="shared" si="118"/>
        <v>0</v>
      </c>
      <c r="BK111" s="28">
        <f t="shared" si="118"/>
        <v>0</v>
      </c>
      <c r="BL111" s="28">
        <f t="shared" si="118"/>
        <v>0</v>
      </c>
      <c r="BM111" s="28">
        <f t="shared" si="118"/>
        <v>0</v>
      </c>
      <c r="BN111" s="28">
        <f t="shared" si="118"/>
        <v>0</v>
      </c>
      <c r="BO111" s="28">
        <f t="shared" si="118"/>
        <v>0</v>
      </c>
      <c r="BP111" s="28">
        <f t="shared" si="118"/>
        <v>0</v>
      </c>
      <c r="BQ111" s="28">
        <f t="shared" si="118"/>
        <v>0</v>
      </c>
      <c r="BR111" s="28">
        <f t="shared" si="118"/>
        <v>0</v>
      </c>
      <c r="BS111" s="28">
        <f t="shared" si="118"/>
        <v>0</v>
      </c>
      <c r="BT111" s="28">
        <f t="shared" si="118"/>
        <v>0</v>
      </c>
      <c r="BU111" s="28">
        <f>COUNTIF(BB7,"=1")+COUNTIF(BB17,"=1")+COUNTIF(BB27,"=1")+COUNTIF(BB8,"=2")+COUNTIF(BB19,"=2")+COUNTIF(BB30,"=2")+COUNTIF(BB41,"=2")+COUNTIF(BB52,"=2")+COUNTIF(BB63,"=2")</f>
        <v>0</v>
      </c>
      <c r="BV111" s="28">
        <f t="shared" ref="BV111:CP111" si="119">COUNTIF(BX7,"=1")+COUNTIF(BX17,"=1")+COUNTIF(BX27,"=1")+COUNTIF(BX8,"=2")+COUNTIF(BX19,"=2")+COUNTIF(BX30,"=2")+COUNTIF(BX41,"=2")+COUNTIF(BX52,"=2")+COUNTIF(BX63,"=2")</f>
        <v>0</v>
      </c>
      <c r="BW111" s="28">
        <f t="shared" si="119"/>
        <v>0</v>
      </c>
      <c r="BX111" s="28">
        <f t="shared" si="119"/>
        <v>0</v>
      </c>
      <c r="BY111" s="28">
        <f t="shared" si="119"/>
        <v>0</v>
      </c>
      <c r="BZ111" s="28">
        <f t="shared" si="119"/>
        <v>0</v>
      </c>
      <c r="CA111" s="28">
        <f t="shared" si="119"/>
        <v>0</v>
      </c>
      <c r="CB111" s="28">
        <f t="shared" si="119"/>
        <v>0</v>
      </c>
      <c r="CC111" s="28">
        <f t="shared" si="119"/>
        <v>0</v>
      </c>
      <c r="CD111" s="28">
        <f t="shared" si="119"/>
        <v>0</v>
      </c>
      <c r="CE111" s="28">
        <f t="shared" si="119"/>
        <v>0</v>
      </c>
      <c r="CF111" s="28">
        <f t="shared" si="119"/>
        <v>0</v>
      </c>
      <c r="CG111" s="28">
        <f t="shared" si="119"/>
        <v>0</v>
      </c>
      <c r="CH111" s="28">
        <f t="shared" si="119"/>
        <v>0</v>
      </c>
      <c r="CI111" s="28">
        <f t="shared" si="119"/>
        <v>0</v>
      </c>
      <c r="CJ111" s="28">
        <f t="shared" si="119"/>
        <v>0</v>
      </c>
      <c r="CK111" s="28">
        <f t="shared" si="119"/>
        <v>0</v>
      </c>
      <c r="CL111" s="28">
        <f t="shared" si="119"/>
        <v>0</v>
      </c>
      <c r="CM111" s="28">
        <f t="shared" si="119"/>
        <v>0</v>
      </c>
      <c r="CN111" s="28">
        <f t="shared" si="119"/>
        <v>0</v>
      </c>
      <c r="CO111" s="28">
        <f t="shared" si="119"/>
        <v>0</v>
      </c>
      <c r="CP111" s="28">
        <f t="shared" si="119"/>
        <v>0</v>
      </c>
      <c r="CQ111" s="28" t="str">
        <f t="shared" ref="CQ111:CR111" si="120">COUNTIF(#REF!,"=1")+COUNTIF(#REF!,"=1")+COUNTIF(#REF!,"=1")+COUNTIF(#REF!,"=2")+COUNTIF(#REF!,"=2")+COUNTIF(#REF!,"=2")+COUNTIF(#REF!,"=2")+COUNTIF(#REF!,"=2")+COUNTIF(#REF!,"=2")</f>
        <v>#REF!</v>
      </c>
      <c r="CR111" s="28" t="str">
        <f t="shared" si="120"/>
        <v>#REF!</v>
      </c>
      <c r="CS111" s="28">
        <f t="shared" ref="CS111:IQ111" si="121">COUNTIF(CS7,"=1")+COUNTIF(CS17,"=1")+COUNTIF(CS27,"=1")+COUNTIF(CS8,"=2")+COUNTIF(CS19,"=2")+COUNTIF(CS30,"=2")+COUNTIF(CS41,"=2")+COUNTIF(CS52,"=2")+COUNTIF(CS63,"=2")</f>
        <v>0</v>
      </c>
      <c r="CT111" s="28">
        <f t="shared" si="121"/>
        <v>0</v>
      </c>
      <c r="CU111" s="28">
        <f t="shared" si="121"/>
        <v>0</v>
      </c>
      <c r="CV111" s="28">
        <f t="shared" si="121"/>
        <v>0</v>
      </c>
      <c r="CW111" s="28">
        <f t="shared" si="121"/>
        <v>0</v>
      </c>
      <c r="CX111" s="28">
        <f t="shared" si="121"/>
        <v>0</v>
      </c>
      <c r="CY111" s="28">
        <f t="shared" si="121"/>
        <v>0</v>
      </c>
      <c r="CZ111" s="28">
        <f t="shared" si="121"/>
        <v>0</v>
      </c>
      <c r="DA111" s="28">
        <f t="shared" si="121"/>
        <v>0</v>
      </c>
      <c r="DB111" s="28">
        <f t="shared" si="121"/>
        <v>0</v>
      </c>
      <c r="DC111" s="28">
        <f t="shared" si="121"/>
        <v>0</v>
      </c>
      <c r="DD111" s="28">
        <f t="shared" si="121"/>
        <v>0</v>
      </c>
      <c r="DE111" s="28">
        <f t="shared" si="121"/>
        <v>0</v>
      </c>
      <c r="DF111" s="28">
        <f t="shared" si="121"/>
        <v>0</v>
      </c>
      <c r="DG111" s="28">
        <f t="shared" si="121"/>
        <v>0</v>
      </c>
      <c r="DH111" s="28">
        <f t="shared" si="121"/>
        <v>0</v>
      </c>
      <c r="DI111" s="28">
        <f t="shared" si="121"/>
        <v>0</v>
      </c>
      <c r="DJ111" s="28">
        <f t="shared" si="121"/>
        <v>0</v>
      </c>
      <c r="DK111" s="28">
        <f t="shared" si="121"/>
        <v>0</v>
      </c>
      <c r="DL111" s="28">
        <f t="shared" si="121"/>
        <v>0</v>
      </c>
      <c r="DM111" s="28">
        <f t="shared" si="121"/>
        <v>0</v>
      </c>
      <c r="DN111" s="28">
        <f t="shared" si="121"/>
        <v>0</v>
      </c>
      <c r="DO111" s="28">
        <f t="shared" si="121"/>
        <v>0</v>
      </c>
      <c r="DP111" s="28">
        <f t="shared" si="121"/>
        <v>0</v>
      </c>
      <c r="DQ111" s="28">
        <f t="shared" si="121"/>
        <v>0</v>
      </c>
      <c r="DR111" s="28">
        <f t="shared" si="121"/>
        <v>0</v>
      </c>
      <c r="DS111" s="28">
        <f t="shared" si="121"/>
        <v>0</v>
      </c>
      <c r="DT111" s="28">
        <f t="shared" si="121"/>
        <v>0</v>
      </c>
      <c r="DU111" s="28">
        <f t="shared" si="121"/>
        <v>0</v>
      </c>
      <c r="DV111" s="28">
        <f t="shared" si="121"/>
        <v>0</v>
      </c>
      <c r="DW111" s="28">
        <f t="shared" si="121"/>
        <v>0</v>
      </c>
      <c r="DX111" s="28">
        <f t="shared" si="121"/>
        <v>0</v>
      </c>
      <c r="DY111" s="28">
        <f t="shared" si="121"/>
        <v>0</v>
      </c>
      <c r="DZ111" s="28">
        <f t="shared" si="121"/>
        <v>0</v>
      </c>
      <c r="EA111" s="28">
        <f t="shared" si="121"/>
        <v>0</v>
      </c>
      <c r="EB111" s="28">
        <f t="shared" si="121"/>
        <v>0</v>
      </c>
      <c r="EC111" s="28">
        <f t="shared" si="121"/>
        <v>0</v>
      </c>
      <c r="ED111" s="28">
        <f t="shared" si="121"/>
        <v>0</v>
      </c>
      <c r="EE111" s="28">
        <f t="shared" si="121"/>
        <v>0</v>
      </c>
      <c r="EF111" s="28">
        <f t="shared" si="121"/>
        <v>0</v>
      </c>
      <c r="EG111" s="28">
        <f t="shared" si="121"/>
        <v>0</v>
      </c>
      <c r="EH111" s="28">
        <f t="shared" si="121"/>
        <v>0</v>
      </c>
      <c r="EI111" s="28">
        <f t="shared" si="121"/>
        <v>0</v>
      </c>
      <c r="EJ111" s="28">
        <f t="shared" si="121"/>
        <v>0</v>
      </c>
      <c r="EK111" s="28">
        <f t="shared" si="121"/>
        <v>0</v>
      </c>
      <c r="EL111" s="28">
        <f t="shared" si="121"/>
        <v>0</v>
      </c>
      <c r="EM111" s="28">
        <f t="shared" si="121"/>
        <v>0</v>
      </c>
      <c r="EN111" s="28">
        <f t="shared" si="121"/>
        <v>0</v>
      </c>
      <c r="EO111" s="28">
        <f t="shared" si="121"/>
        <v>0</v>
      </c>
      <c r="EP111" s="28">
        <f t="shared" si="121"/>
        <v>0</v>
      </c>
      <c r="EQ111" s="28">
        <f t="shared" si="121"/>
        <v>0</v>
      </c>
      <c r="ER111" s="28">
        <f t="shared" si="121"/>
        <v>0</v>
      </c>
      <c r="ES111" s="28">
        <f t="shared" si="121"/>
        <v>0</v>
      </c>
      <c r="ET111" s="28">
        <f t="shared" si="121"/>
        <v>0</v>
      </c>
      <c r="EU111" s="28">
        <f t="shared" si="121"/>
        <v>0</v>
      </c>
      <c r="EV111" s="28">
        <f t="shared" si="121"/>
        <v>0</v>
      </c>
      <c r="EW111" s="28">
        <f t="shared" si="121"/>
        <v>0</v>
      </c>
      <c r="EX111" s="28">
        <f t="shared" si="121"/>
        <v>0</v>
      </c>
      <c r="EY111" s="28">
        <f t="shared" si="121"/>
        <v>0</v>
      </c>
      <c r="EZ111" s="28">
        <f t="shared" si="121"/>
        <v>0</v>
      </c>
      <c r="FA111" s="28">
        <f t="shared" si="121"/>
        <v>0</v>
      </c>
      <c r="FB111" s="28">
        <f t="shared" si="121"/>
        <v>0</v>
      </c>
      <c r="FC111" s="28">
        <f t="shared" si="121"/>
        <v>0</v>
      </c>
      <c r="FD111" s="28">
        <f t="shared" si="121"/>
        <v>0</v>
      </c>
      <c r="FE111" s="28">
        <f t="shared" si="121"/>
        <v>0</v>
      </c>
      <c r="FF111" s="28">
        <f t="shared" si="121"/>
        <v>0</v>
      </c>
      <c r="FG111" s="28">
        <f t="shared" si="121"/>
        <v>0</v>
      </c>
      <c r="FH111" s="28">
        <f t="shared" si="121"/>
        <v>0</v>
      </c>
      <c r="FI111" s="28">
        <f t="shared" si="121"/>
        <v>0</v>
      </c>
      <c r="FJ111" s="28">
        <f t="shared" si="121"/>
        <v>0</v>
      </c>
      <c r="FK111" s="28">
        <f t="shared" si="121"/>
        <v>0</v>
      </c>
      <c r="FL111" s="28">
        <f t="shared" si="121"/>
        <v>0</v>
      </c>
      <c r="FM111" s="28">
        <f t="shared" si="121"/>
        <v>0</v>
      </c>
      <c r="FN111" s="28">
        <f t="shared" si="121"/>
        <v>0</v>
      </c>
      <c r="FO111" s="28">
        <f t="shared" si="121"/>
        <v>0</v>
      </c>
      <c r="FP111" s="28">
        <f t="shared" si="121"/>
        <v>0</v>
      </c>
      <c r="FQ111" s="28">
        <f t="shared" si="121"/>
        <v>0</v>
      </c>
      <c r="FR111" s="28">
        <f t="shared" si="121"/>
        <v>0</v>
      </c>
      <c r="FS111" s="28">
        <f t="shared" si="121"/>
        <v>0</v>
      </c>
      <c r="FT111" s="28">
        <f t="shared" si="121"/>
        <v>0</v>
      </c>
      <c r="FU111" s="28">
        <f t="shared" si="121"/>
        <v>0</v>
      </c>
      <c r="FV111" s="28">
        <f t="shared" si="121"/>
        <v>0</v>
      </c>
      <c r="FW111" s="28">
        <f t="shared" si="121"/>
        <v>0</v>
      </c>
      <c r="FX111" s="28">
        <f t="shared" si="121"/>
        <v>0</v>
      </c>
      <c r="FY111" s="28">
        <f t="shared" si="121"/>
        <v>0</v>
      </c>
      <c r="FZ111" s="28">
        <f t="shared" si="121"/>
        <v>0</v>
      </c>
      <c r="GA111" s="28">
        <f t="shared" si="121"/>
        <v>0</v>
      </c>
      <c r="GB111" s="28">
        <f t="shared" si="121"/>
        <v>0</v>
      </c>
      <c r="GC111" s="28">
        <f t="shared" si="121"/>
        <v>0</v>
      </c>
      <c r="GD111" s="28">
        <f t="shared" si="121"/>
        <v>0</v>
      </c>
      <c r="GE111" s="28">
        <f t="shared" si="121"/>
        <v>0</v>
      </c>
      <c r="GF111" s="28">
        <f t="shared" si="121"/>
        <v>0</v>
      </c>
      <c r="GG111" s="28">
        <f t="shared" si="121"/>
        <v>0</v>
      </c>
      <c r="GH111" s="28">
        <f t="shared" si="121"/>
        <v>0</v>
      </c>
      <c r="GI111" s="28">
        <f t="shared" si="121"/>
        <v>0</v>
      </c>
      <c r="GJ111" s="28">
        <f t="shared" si="121"/>
        <v>0</v>
      </c>
      <c r="GK111" s="28">
        <f t="shared" si="121"/>
        <v>0</v>
      </c>
      <c r="GL111" s="28">
        <f t="shared" si="121"/>
        <v>0</v>
      </c>
      <c r="GM111" s="28">
        <f t="shared" si="121"/>
        <v>0</v>
      </c>
      <c r="GN111" s="28">
        <f t="shared" si="121"/>
        <v>0</v>
      </c>
      <c r="GO111" s="28">
        <f t="shared" si="121"/>
        <v>0</v>
      </c>
      <c r="GP111" s="28">
        <f t="shared" si="121"/>
        <v>0</v>
      </c>
      <c r="GQ111" s="28">
        <f t="shared" si="121"/>
        <v>0</v>
      </c>
      <c r="GR111" s="28">
        <f t="shared" si="121"/>
        <v>0</v>
      </c>
      <c r="GS111" s="28">
        <f t="shared" si="121"/>
        <v>0</v>
      </c>
      <c r="GT111" s="28">
        <f t="shared" si="121"/>
        <v>0</v>
      </c>
      <c r="GU111" s="28">
        <f t="shared" si="121"/>
        <v>0</v>
      </c>
      <c r="GV111" s="28">
        <f t="shared" si="121"/>
        <v>0</v>
      </c>
      <c r="GW111" s="28">
        <f t="shared" si="121"/>
        <v>0</v>
      </c>
      <c r="GX111" s="28">
        <f t="shared" si="121"/>
        <v>0</v>
      </c>
      <c r="GY111" s="28">
        <f t="shared" si="121"/>
        <v>0</v>
      </c>
      <c r="GZ111" s="28">
        <f t="shared" si="121"/>
        <v>0</v>
      </c>
      <c r="HA111" s="28">
        <f t="shared" si="121"/>
        <v>0</v>
      </c>
      <c r="HB111" s="28">
        <f t="shared" si="121"/>
        <v>0</v>
      </c>
      <c r="HC111" s="28">
        <f t="shared" si="121"/>
        <v>0</v>
      </c>
      <c r="HD111" s="28">
        <f t="shared" si="121"/>
        <v>0</v>
      </c>
      <c r="HE111" s="28">
        <f t="shared" si="121"/>
        <v>0</v>
      </c>
      <c r="HF111" s="28">
        <f t="shared" si="121"/>
        <v>0</v>
      </c>
      <c r="HG111" s="28">
        <f t="shared" si="121"/>
        <v>0</v>
      </c>
      <c r="HH111" s="28">
        <f t="shared" si="121"/>
        <v>0</v>
      </c>
      <c r="HI111" s="28">
        <f t="shared" si="121"/>
        <v>0</v>
      </c>
      <c r="HJ111" s="28">
        <f t="shared" si="121"/>
        <v>0</v>
      </c>
      <c r="HK111" s="28">
        <f t="shared" si="121"/>
        <v>0</v>
      </c>
      <c r="HL111" s="28">
        <f t="shared" si="121"/>
        <v>0</v>
      </c>
      <c r="HM111" s="28">
        <f t="shared" si="121"/>
        <v>0</v>
      </c>
      <c r="HN111" s="28">
        <f t="shared" si="121"/>
        <v>0</v>
      </c>
      <c r="HO111" s="28">
        <f t="shared" si="121"/>
        <v>0</v>
      </c>
      <c r="HP111" s="28">
        <f t="shared" si="121"/>
        <v>0</v>
      </c>
      <c r="HQ111" s="28">
        <f t="shared" si="121"/>
        <v>0</v>
      </c>
      <c r="HR111" s="28">
        <f t="shared" si="121"/>
        <v>0</v>
      </c>
      <c r="HS111" s="28">
        <f t="shared" si="121"/>
        <v>0</v>
      </c>
      <c r="HT111" s="28">
        <f t="shared" si="121"/>
        <v>0</v>
      </c>
      <c r="HU111" s="28">
        <f t="shared" si="121"/>
        <v>0</v>
      </c>
      <c r="HV111" s="28">
        <f t="shared" si="121"/>
        <v>0</v>
      </c>
      <c r="HW111" s="28">
        <f t="shared" si="121"/>
        <v>0</v>
      </c>
      <c r="HX111" s="28">
        <f t="shared" si="121"/>
        <v>0</v>
      </c>
      <c r="HY111" s="28">
        <f t="shared" si="121"/>
        <v>0</v>
      </c>
      <c r="HZ111" s="28">
        <f t="shared" si="121"/>
        <v>0</v>
      </c>
      <c r="IA111" s="28">
        <f t="shared" si="121"/>
        <v>0</v>
      </c>
      <c r="IB111" s="28">
        <f t="shared" si="121"/>
        <v>0</v>
      </c>
      <c r="IC111" s="28">
        <f t="shared" si="121"/>
        <v>0</v>
      </c>
      <c r="ID111" s="28">
        <f t="shared" si="121"/>
        <v>0</v>
      </c>
      <c r="IE111" s="28">
        <f t="shared" si="121"/>
        <v>0</v>
      </c>
      <c r="IF111" s="28">
        <f t="shared" si="121"/>
        <v>0</v>
      </c>
      <c r="IG111" s="28">
        <f t="shared" si="121"/>
        <v>0</v>
      </c>
      <c r="IH111" s="28">
        <f t="shared" si="121"/>
        <v>0</v>
      </c>
      <c r="II111" s="28">
        <f t="shared" si="121"/>
        <v>0</v>
      </c>
      <c r="IJ111" s="28">
        <f t="shared" si="121"/>
        <v>0</v>
      </c>
      <c r="IK111" s="28">
        <f t="shared" si="121"/>
        <v>0</v>
      </c>
      <c r="IL111" s="28">
        <f t="shared" si="121"/>
        <v>0</v>
      </c>
      <c r="IM111" s="28">
        <f t="shared" si="121"/>
        <v>0</v>
      </c>
      <c r="IN111" s="28">
        <f t="shared" si="121"/>
        <v>0</v>
      </c>
      <c r="IO111" s="28">
        <f t="shared" si="121"/>
        <v>0</v>
      </c>
      <c r="IP111" s="28">
        <f t="shared" si="121"/>
        <v>0</v>
      </c>
      <c r="IQ111" s="28">
        <f t="shared" si="121"/>
        <v>0</v>
      </c>
      <c r="IR111" s="28"/>
      <c r="IS111" s="28"/>
      <c r="IT111" s="28"/>
      <c r="IU111" s="28"/>
      <c r="IV111" s="28"/>
    </row>
    <row r="112" ht="11.25" customHeight="1">
      <c r="A112" s="27" t="s">
        <v>134</v>
      </c>
      <c r="B112" s="28">
        <f t="shared" ref="B112:D112" si="122">COUNTIF(B6,"=1")+COUNTIF(B16,"=1")+COUNTIF(B7,"=2")+COUNTIF(B18,"=2")+COUNTIF(B29,"=2")+COUNTIF(B40,"=2")+COUNTIF(B51,"=2")+COUNTIF(B62,"=2")+COUNTIF(B73,"=2")</f>
        <v>8</v>
      </c>
      <c r="C112" s="28">
        <f t="shared" si="122"/>
        <v>8</v>
      </c>
      <c r="D112" s="28">
        <f t="shared" si="122"/>
        <v>8</v>
      </c>
      <c r="E112" s="28" t="str">
        <f>COUNTIF(#REF!,"=1")+COUNTIF(#REF!,"=1")+COUNTIF(#REF!,"=2")+COUNTIF(#REF!,"=2")+COUNTIF(#REF!,"=2")+COUNTIF(#REF!,"=2")+COUNTIF(#REF!,"=2")+COUNTIF(#REF!,"=2")+COUNTIF(#REF!,"=2")</f>
        <v>#REF!</v>
      </c>
      <c r="F112" s="28">
        <f t="shared" ref="F112:AW112" si="123">COUNTIF(F6,"=1")+COUNTIF(F16,"=1")+COUNTIF(F7,"=2")+COUNTIF(F18,"=2")+COUNTIF(F29,"=2")+COUNTIF(F40,"=2")+COUNTIF(F51,"=2")+COUNTIF(F62,"=2")+COUNTIF(F73,"=2")</f>
        <v>8</v>
      </c>
      <c r="G112" s="28">
        <f t="shared" si="123"/>
        <v>0</v>
      </c>
      <c r="H112" s="28">
        <f t="shared" si="123"/>
        <v>0</v>
      </c>
      <c r="I112" s="28">
        <f t="shared" si="123"/>
        <v>0</v>
      </c>
      <c r="J112" s="28">
        <f t="shared" si="123"/>
        <v>0</v>
      </c>
      <c r="K112" s="28">
        <f t="shared" si="123"/>
        <v>0</v>
      </c>
      <c r="L112" s="28">
        <f t="shared" si="123"/>
        <v>0</v>
      </c>
      <c r="M112" s="28">
        <f t="shared" si="123"/>
        <v>0</v>
      </c>
      <c r="N112" s="28">
        <f t="shared" si="123"/>
        <v>0</v>
      </c>
      <c r="O112" s="28">
        <f t="shared" si="123"/>
        <v>0</v>
      </c>
      <c r="P112" s="28">
        <f t="shared" si="123"/>
        <v>0</v>
      </c>
      <c r="Q112" s="28">
        <f t="shared" si="123"/>
        <v>0</v>
      </c>
      <c r="R112" s="28">
        <f t="shared" si="123"/>
        <v>0</v>
      </c>
      <c r="S112" s="28">
        <f t="shared" si="123"/>
        <v>0</v>
      </c>
      <c r="T112" s="28">
        <f t="shared" si="123"/>
        <v>0</v>
      </c>
      <c r="U112" s="28">
        <f t="shared" si="123"/>
        <v>0</v>
      </c>
      <c r="V112" s="28">
        <f t="shared" si="123"/>
        <v>0</v>
      </c>
      <c r="W112" s="28">
        <f t="shared" si="123"/>
        <v>0</v>
      </c>
      <c r="X112" s="28">
        <f t="shared" si="123"/>
        <v>0</v>
      </c>
      <c r="Y112" s="28">
        <f t="shared" si="123"/>
        <v>0</v>
      </c>
      <c r="Z112" s="28">
        <f t="shared" si="123"/>
        <v>0</v>
      </c>
      <c r="AA112" s="28">
        <f t="shared" si="123"/>
        <v>0</v>
      </c>
      <c r="AB112" s="28">
        <f t="shared" si="123"/>
        <v>0</v>
      </c>
      <c r="AC112" s="28">
        <f t="shared" si="123"/>
        <v>0</v>
      </c>
      <c r="AD112" s="28">
        <f t="shared" si="123"/>
        <v>0</v>
      </c>
      <c r="AE112" s="28">
        <f t="shared" si="123"/>
        <v>0</v>
      </c>
      <c r="AF112" s="28">
        <f t="shared" si="123"/>
        <v>0</v>
      </c>
      <c r="AG112" s="28">
        <f t="shared" si="123"/>
        <v>0</v>
      </c>
      <c r="AH112" s="28">
        <f t="shared" si="123"/>
        <v>0</v>
      </c>
      <c r="AI112" s="28">
        <f t="shared" si="123"/>
        <v>0</v>
      </c>
      <c r="AJ112" s="28">
        <f t="shared" si="123"/>
        <v>0</v>
      </c>
      <c r="AK112" s="28">
        <f t="shared" si="123"/>
        <v>0</v>
      </c>
      <c r="AL112" s="28">
        <f t="shared" si="123"/>
        <v>0</v>
      </c>
      <c r="AM112" s="28">
        <f t="shared" si="123"/>
        <v>0</v>
      </c>
      <c r="AN112" s="28">
        <f t="shared" si="123"/>
        <v>0</v>
      </c>
      <c r="AO112" s="28">
        <f t="shared" si="123"/>
        <v>0</v>
      </c>
      <c r="AP112" s="28">
        <f t="shared" si="123"/>
        <v>0</v>
      </c>
      <c r="AQ112" s="28">
        <f t="shared" si="123"/>
        <v>0</v>
      </c>
      <c r="AR112" s="28">
        <f t="shared" si="123"/>
        <v>0</v>
      </c>
      <c r="AS112" s="28">
        <f t="shared" si="123"/>
        <v>0</v>
      </c>
      <c r="AT112" s="28">
        <f t="shared" si="123"/>
        <v>0</v>
      </c>
      <c r="AU112" s="28">
        <f t="shared" si="123"/>
        <v>0</v>
      </c>
      <c r="AV112" s="28">
        <f t="shared" si="123"/>
        <v>0</v>
      </c>
      <c r="AW112" s="28">
        <f t="shared" si="123"/>
        <v>0</v>
      </c>
      <c r="AX112" s="28">
        <f t="shared" ref="AX112:AY112" si="124">COUNTIF(AZ6,"=1")+COUNTIF(AZ16,"=1")+COUNTIF(AZ7,"=2")+COUNTIF(AZ18,"=2")+COUNTIF(AZ29,"=2")+COUNTIF(AZ40,"=2")+COUNTIF(AZ51,"=2")+COUNTIF(AZ62,"=2")+COUNTIF(AZ73,"=2")</f>
        <v>0</v>
      </c>
      <c r="AY112" s="28">
        <f t="shared" si="124"/>
        <v>0</v>
      </c>
      <c r="AZ112" s="28" t="str">
        <f>COUNTIF(#REF!,"=1")+COUNTIF(#REF!,"=1")+COUNTIF(#REF!,"=2")+COUNTIF(#REF!,"=2")+COUNTIF(#REF!,"=2")+COUNTIF(#REF!,"=2")+COUNTIF(#REF!,"=2")+COUNTIF(#REF!,"=2")+COUNTIF(#REF!,"=2")</f>
        <v>#REF!</v>
      </c>
      <c r="BA112" s="28">
        <f t="shared" ref="BA112:BT112" si="125">COUNTIF(BC6,"=1")+COUNTIF(BC16,"=1")+COUNTIF(BC7,"=2")+COUNTIF(BC18,"=2")+COUNTIF(BC29,"=2")+COUNTIF(BC40,"=2")+COUNTIF(BC51,"=2")+COUNTIF(BC62,"=2")+COUNTIF(BC73,"=2")</f>
        <v>0</v>
      </c>
      <c r="BB112" s="28">
        <f t="shared" si="125"/>
        <v>0</v>
      </c>
      <c r="BC112" s="28">
        <f t="shared" si="125"/>
        <v>0</v>
      </c>
      <c r="BD112" s="28">
        <f t="shared" si="125"/>
        <v>0</v>
      </c>
      <c r="BE112" s="28">
        <f t="shared" si="125"/>
        <v>0</v>
      </c>
      <c r="BF112" s="28">
        <f t="shared" si="125"/>
        <v>0</v>
      </c>
      <c r="BG112" s="28">
        <f t="shared" si="125"/>
        <v>0</v>
      </c>
      <c r="BH112" s="28">
        <f t="shared" si="125"/>
        <v>0</v>
      </c>
      <c r="BI112" s="28">
        <f t="shared" si="125"/>
        <v>0</v>
      </c>
      <c r="BJ112" s="28">
        <f t="shared" si="125"/>
        <v>0</v>
      </c>
      <c r="BK112" s="28">
        <f t="shared" si="125"/>
        <v>0</v>
      </c>
      <c r="BL112" s="28">
        <f t="shared" si="125"/>
        <v>0</v>
      </c>
      <c r="BM112" s="28">
        <f t="shared" si="125"/>
        <v>0</v>
      </c>
      <c r="BN112" s="28">
        <f t="shared" si="125"/>
        <v>0</v>
      </c>
      <c r="BO112" s="28">
        <f t="shared" si="125"/>
        <v>0</v>
      </c>
      <c r="BP112" s="28">
        <f t="shared" si="125"/>
        <v>0</v>
      </c>
      <c r="BQ112" s="28">
        <f t="shared" si="125"/>
        <v>0</v>
      </c>
      <c r="BR112" s="28">
        <f t="shared" si="125"/>
        <v>0</v>
      </c>
      <c r="BS112" s="28">
        <f t="shared" si="125"/>
        <v>0</v>
      </c>
      <c r="BT112" s="28">
        <f t="shared" si="125"/>
        <v>0</v>
      </c>
      <c r="BU112" s="28">
        <f>COUNTIF(BB6,"=1")+COUNTIF(BB16,"=1")+COUNTIF(BB7,"=2")+COUNTIF(BB18,"=2")+COUNTIF(BB29,"=2")+COUNTIF(BB40,"=2")+COUNTIF(BB51,"=2")+COUNTIF(BB62,"=2")+COUNTIF(BB73,"=2")</f>
        <v>0</v>
      </c>
      <c r="BV112" s="28">
        <f t="shared" ref="BV112:CP112" si="126">COUNTIF(BX6,"=1")+COUNTIF(BX16,"=1")+COUNTIF(BX7,"=2")+COUNTIF(BX18,"=2")+COUNTIF(BX29,"=2")+COUNTIF(BX40,"=2")+COUNTIF(BX51,"=2")+COUNTIF(BX62,"=2")+COUNTIF(BX73,"=2")</f>
        <v>0</v>
      </c>
      <c r="BW112" s="28">
        <f t="shared" si="126"/>
        <v>0</v>
      </c>
      <c r="BX112" s="28">
        <f t="shared" si="126"/>
        <v>0</v>
      </c>
      <c r="BY112" s="28">
        <f t="shared" si="126"/>
        <v>0</v>
      </c>
      <c r="BZ112" s="28">
        <f t="shared" si="126"/>
        <v>0</v>
      </c>
      <c r="CA112" s="28">
        <f t="shared" si="126"/>
        <v>0</v>
      </c>
      <c r="CB112" s="28">
        <f t="shared" si="126"/>
        <v>0</v>
      </c>
      <c r="CC112" s="28">
        <f t="shared" si="126"/>
        <v>0</v>
      </c>
      <c r="CD112" s="28">
        <f t="shared" si="126"/>
        <v>0</v>
      </c>
      <c r="CE112" s="28">
        <f t="shared" si="126"/>
        <v>0</v>
      </c>
      <c r="CF112" s="28">
        <f t="shared" si="126"/>
        <v>0</v>
      </c>
      <c r="CG112" s="28">
        <f t="shared" si="126"/>
        <v>0</v>
      </c>
      <c r="CH112" s="28">
        <f t="shared" si="126"/>
        <v>0</v>
      </c>
      <c r="CI112" s="28">
        <f t="shared" si="126"/>
        <v>0</v>
      </c>
      <c r="CJ112" s="28">
        <f t="shared" si="126"/>
        <v>0</v>
      </c>
      <c r="CK112" s="28">
        <f t="shared" si="126"/>
        <v>0</v>
      </c>
      <c r="CL112" s="28">
        <f t="shared" si="126"/>
        <v>0</v>
      </c>
      <c r="CM112" s="28">
        <f t="shared" si="126"/>
        <v>0</v>
      </c>
      <c r="CN112" s="28">
        <f t="shared" si="126"/>
        <v>0</v>
      </c>
      <c r="CO112" s="28">
        <f t="shared" si="126"/>
        <v>0</v>
      </c>
      <c r="CP112" s="28">
        <f t="shared" si="126"/>
        <v>0</v>
      </c>
      <c r="CQ112" s="28" t="str">
        <f t="shared" ref="CQ112:CR112" si="127">COUNTIF(#REF!,"=1")+COUNTIF(#REF!,"=1")+COUNTIF(#REF!,"=2")+COUNTIF(#REF!,"=2")+COUNTIF(#REF!,"=2")+COUNTIF(#REF!,"=2")+COUNTIF(#REF!,"=2")+COUNTIF(#REF!,"=2")+COUNTIF(#REF!,"=2")</f>
        <v>#REF!</v>
      </c>
      <c r="CR112" s="28" t="str">
        <f t="shared" si="127"/>
        <v>#REF!</v>
      </c>
      <c r="CS112" s="28">
        <f t="shared" ref="CS112:IQ112" si="128">COUNTIF(CS6,"=1")+COUNTIF(CS16,"=1")+COUNTIF(CS7,"=2")+COUNTIF(CS18,"=2")+COUNTIF(CS29,"=2")+COUNTIF(CS40,"=2")+COUNTIF(CS51,"=2")+COUNTIF(CS62,"=2")+COUNTIF(CS73,"=2")</f>
        <v>0</v>
      </c>
      <c r="CT112" s="28">
        <f t="shared" si="128"/>
        <v>0</v>
      </c>
      <c r="CU112" s="28">
        <f t="shared" si="128"/>
        <v>0</v>
      </c>
      <c r="CV112" s="28">
        <f t="shared" si="128"/>
        <v>0</v>
      </c>
      <c r="CW112" s="28">
        <f t="shared" si="128"/>
        <v>0</v>
      </c>
      <c r="CX112" s="28">
        <f t="shared" si="128"/>
        <v>0</v>
      </c>
      <c r="CY112" s="28">
        <f t="shared" si="128"/>
        <v>0</v>
      </c>
      <c r="CZ112" s="28">
        <f t="shared" si="128"/>
        <v>0</v>
      </c>
      <c r="DA112" s="28">
        <f t="shared" si="128"/>
        <v>0</v>
      </c>
      <c r="DB112" s="28">
        <f t="shared" si="128"/>
        <v>0</v>
      </c>
      <c r="DC112" s="28">
        <f t="shared" si="128"/>
        <v>0</v>
      </c>
      <c r="DD112" s="28">
        <f t="shared" si="128"/>
        <v>0</v>
      </c>
      <c r="DE112" s="28">
        <f t="shared" si="128"/>
        <v>0</v>
      </c>
      <c r="DF112" s="28">
        <f t="shared" si="128"/>
        <v>0</v>
      </c>
      <c r="DG112" s="28">
        <f t="shared" si="128"/>
        <v>0</v>
      </c>
      <c r="DH112" s="28">
        <f t="shared" si="128"/>
        <v>0</v>
      </c>
      <c r="DI112" s="28">
        <f t="shared" si="128"/>
        <v>0</v>
      </c>
      <c r="DJ112" s="28">
        <f t="shared" si="128"/>
        <v>0</v>
      </c>
      <c r="DK112" s="28">
        <f t="shared" si="128"/>
        <v>0</v>
      </c>
      <c r="DL112" s="28">
        <f t="shared" si="128"/>
        <v>0</v>
      </c>
      <c r="DM112" s="28">
        <f t="shared" si="128"/>
        <v>0</v>
      </c>
      <c r="DN112" s="28">
        <f t="shared" si="128"/>
        <v>0</v>
      </c>
      <c r="DO112" s="28">
        <f t="shared" si="128"/>
        <v>0</v>
      </c>
      <c r="DP112" s="28">
        <f t="shared" si="128"/>
        <v>0</v>
      </c>
      <c r="DQ112" s="28">
        <f t="shared" si="128"/>
        <v>0</v>
      </c>
      <c r="DR112" s="28">
        <f t="shared" si="128"/>
        <v>0</v>
      </c>
      <c r="DS112" s="28">
        <f t="shared" si="128"/>
        <v>0</v>
      </c>
      <c r="DT112" s="28">
        <f t="shared" si="128"/>
        <v>0</v>
      </c>
      <c r="DU112" s="28">
        <f t="shared" si="128"/>
        <v>0</v>
      </c>
      <c r="DV112" s="28">
        <f t="shared" si="128"/>
        <v>0</v>
      </c>
      <c r="DW112" s="28">
        <f t="shared" si="128"/>
        <v>0</v>
      </c>
      <c r="DX112" s="28">
        <f t="shared" si="128"/>
        <v>0</v>
      </c>
      <c r="DY112" s="28">
        <f t="shared" si="128"/>
        <v>0</v>
      </c>
      <c r="DZ112" s="28">
        <f t="shared" si="128"/>
        <v>0</v>
      </c>
      <c r="EA112" s="28">
        <f t="shared" si="128"/>
        <v>0</v>
      </c>
      <c r="EB112" s="28">
        <f t="shared" si="128"/>
        <v>0</v>
      </c>
      <c r="EC112" s="28">
        <f t="shared" si="128"/>
        <v>0</v>
      </c>
      <c r="ED112" s="28">
        <f t="shared" si="128"/>
        <v>0</v>
      </c>
      <c r="EE112" s="28">
        <f t="shared" si="128"/>
        <v>0</v>
      </c>
      <c r="EF112" s="28">
        <f t="shared" si="128"/>
        <v>0</v>
      </c>
      <c r="EG112" s="28">
        <f t="shared" si="128"/>
        <v>0</v>
      </c>
      <c r="EH112" s="28">
        <f t="shared" si="128"/>
        <v>0</v>
      </c>
      <c r="EI112" s="28">
        <f t="shared" si="128"/>
        <v>0</v>
      </c>
      <c r="EJ112" s="28">
        <f t="shared" si="128"/>
        <v>0</v>
      </c>
      <c r="EK112" s="28">
        <f t="shared" si="128"/>
        <v>0</v>
      </c>
      <c r="EL112" s="28">
        <f t="shared" si="128"/>
        <v>0</v>
      </c>
      <c r="EM112" s="28">
        <f t="shared" si="128"/>
        <v>0</v>
      </c>
      <c r="EN112" s="28">
        <f t="shared" si="128"/>
        <v>0</v>
      </c>
      <c r="EO112" s="28">
        <f t="shared" si="128"/>
        <v>0</v>
      </c>
      <c r="EP112" s="28">
        <f t="shared" si="128"/>
        <v>0</v>
      </c>
      <c r="EQ112" s="28">
        <f t="shared" si="128"/>
        <v>0</v>
      </c>
      <c r="ER112" s="28">
        <f t="shared" si="128"/>
        <v>0</v>
      </c>
      <c r="ES112" s="28">
        <f t="shared" si="128"/>
        <v>0</v>
      </c>
      <c r="ET112" s="28">
        <f t="shared" si="128"/>
        <v>0</v>
      </c>
      <c r="EU112" s="28">
        <f t="shared" si="128"/>
        <v>0</v>
      </c>
      <c r="EV112" s="28">
        <f t="shared" si="128"/>
        <v>0</v>
      </c>
      <c r="EW112" s="28">
        <f t="shared" si="128"/>
        <v>0</v>
      </c>
      <c r="EX112" s="28">
        <f t="shared" si="128"/>
        <v>0</v>
      </c>
      <c r="EY112" s="28">
        <f t="shared" si="128"/>
        <v>0</v>
      </c>
      <c r="EZ112" s="28">
        <f t="shared" si="128"/>
        <v>0</v>
      </c>
      <c r="FA112" s="28">
        <f t="shared" si="128"/>
        <v>0</v>
      </c>
      <c r="FB112" s="28">
        <f t="shared" si="128"/>
        <v>0</v>
      </c>
      <c r="FC112" s="28">
        <f t="shared" si="128"/>
        <v>0</v>
      </c>
      <c r="FD112" s="28">
        <f t="shared" si="128"/>
        <v>0</v>
      </c>
      <c r="FE112" s="28">
        <f t="shared" si="128"/>
        <v>0</v>
      </c>
      <c r="FF112" s="28">
        <f t="shared" si="128"/>
        <v>0</v>
      </c>
      <c r="FG112" s="28">
        <f t="shared" si="128"/>
        <v>0</v>
      </c>
      <c r="FH112" s="28">
        <f t="shared" si="128"/>
        <v>0</v>
      </c>
      <c r="FI112" s="28">
        <f t="shared" si="128"/>
        <v>0</v>
      </c>
      <c r="FJ112" s="28">
        <f t="shared" si="128"/>
        <v>0</v>
      </c>
      <c r="FK112" s="28">
        <f t="shared" si="128"/>
        <v>0</v>
      </c>
      <c r="FL112" s="28">
        <f t="shared" si="128"/>
        <v>0</v>
      </c>
      <c r="FM112" s="28">
        <f t="shared" si="128"/>
        <v>0</v>
      </c>
      <c r="FN112" s="28">
        <f t="shared" si="128"/>
        <v>0</v>
      </c>
      <c r="FO112" s="28">
        <f t="shared" si="128"/>
        <v>0</v>
      </c>
      <c r="FP112" s="28">
        <f t="shared" si="128"/>
        <v>0</v>
      </c>
      <c r="FQ112" s="28">
        <f t="shared" si="128"/>
        <v>0</v>
      </c>
      <c r="FR112" s="28">
        <f t="shared" si="128"/>
        <v>0</v>
      </c>
      <c r="FS112" s="28">
        <f t="shared" si="128"/>
        <v>0</v>
      </c>
      <c r="FT112" s="28">
        <f t="shared" si="128"/>
        <v>0</v>
      </c>
      <c r="FU112" s="28">
        <f t="shared" si="128"/>
        <v>0</v>
      </c>
      <c r="FV112" s="28">
        <f t="shared" si="128"/>
        <v>0</v>
      </c>
      <c r="FW112" s="28">
        <f t="shared" si="128"/>
        <v>0</v>
      </c>
      <c r="FX112" s="28">
        <f t="shared" si="128"/>
        <v>0</v>
      </c>
      <c r="FY112" s="28">
        <f t="shared" si="128"/>
        <v>0</v>
      </c>
      <c r="FZ112" s="28">
        <f t="shared" si="128"/>
        <v>0</v>
      </c>
      <c r="GA112" s="28">
        <f t="shared" si="128"/>
        <v>0</v>
      </c>
      <c r="GB112" s="28">
        <f t="shared" si="128"/>
        <v>0</v>
      </c>
      <c r="GC112" s="28">
        <f t="shared" si="128"/>
        <v>0</v>
      </c>
      <c r="GD112" s="28">
        <f t="shared" si="128"/>
        <v>0</v>
      </c>
      <c r="GE112" s="28">
        <f t="shared" si="128"/>
        <v>0</v>
      </c>
      <c r="GF112" s="28">
        <f t="shared" si="128"/>
        <v>0</v>
      </c>
      <c r="GG112" s="28">
        <f t="shared" si="128"/>
        <v>0</v>
      </c>
      <c r="GH112" s="28">
        <f t="shared" si="128"/>
        <v>0</v>
      </c>
      <c r="GI112" s="28">
        <f t="shared" si="128"/>
        <v>0</v>
      </c>
      <c r="GJ112" s="28">
        <f t="shared" si="128"/>
        <v>0</v>
      </c>
      <c r="GK112" s="28">
        <f t="shared" si="128"/>
        <v>0</v>
      </c>
      <c r="GL112" s="28">
        <f t="shared" si="128"/>
        <v>0</v>
      </c>
      <c r="GM112" s="28">
        <f t="shared" si="128"/>
        <v>0</v>
      </c>
      <c r="GN112" s="28">
        <f t="shared" si="128"/>
        <v>0</v>
      </c>
      <c r="GO112" s="28">
        <f t="shared" si="128"/>
        <v>0</v>
      </c>
      <c r="GP112" s="28">
        <f t="shared" si="128"/>
        <v>0</v>
      </c>
      <c r="GQ112" s="28">
        <f t="shared" si="128"/>
        <v>0</v>
      </c>
      <c r="GR112" s="28">
        <f t="shared" si="128"/>
        <v>0</v>
      </c>
      <c r="GS112" s="28">
        <f t="shared" si="128"/>
        <v>0</v>
      </c>
      <c r="GT112" s="28">
        <f t="shared" si="128"/>
        <v>0</v>
      </c>
      <c r="GU112" s="28">
        <f t="shared" si="128"/>
        <v>0</v>
      </c>
      <c r="GV112" s="28">
        <f t="shared" si="128"/>
        <v>0</v>
      </c>
      <c r="GW112" s="28">
        <f t="shared" si="128"/>
        <v>0</v>
      </c>
      <c r="GX112" s="28">
        <f t="shared" si="128"/>
        <v>0</v>
      </c>
      <c r="GY112" s="28">
        <f t="shared" si="128"/>
        <v>0</v>
      </c>
      <c r="GZ112" s="28">
        <f t="shared" si="128"/>
        <v>0</v>
      </c>
      <c r="HA112" s="28">
        <f t="shared" si="128"/>
        <v>0</v>
      </c>
      <c r="HB112" s="28">
        <f t="shared" si="128"/>
        <v>0</v>
      </c>
      <c r="HC112" s="28">
        <f t="shared" si="128"/>
        <v>0</v>
      </c>
      <c r="HD112" s="28">
        <f t="shared" si="128"/>
        <v>0</v>
      </c>
      <c r="HE112" s="28">
        <f t="shared" si="128"/>
        <v>0</v>
      </c>
      <c r="HF112" s="28">
        <f t="shared" si="128"/>
        <v>0</v>
      </c>
      <c r="HG112" s="28">
        <f t="shared" si="128"/>
        <v>0</v>
      </c>
      <c r="HH112" s="28">
        <f t="shared" si="128"/>
        <v>0</v>
      </c>
      <c r="HI112" s="28">
        <f t="shared" si="128"/>
        <v>0</v>
      </c>
      <c r="HJ112" s="28">
        <f t="shared" si="128"/>
        <v>0</v>
      </c>
      <c r="HK112" s="28">
        <f t="shared" si="128"/>
        <v>0</v>
      </c>
      <c r="HL112" s="28">
        <f t="shared" si="128"/>
        <v>0</v>
      </c>
      <c r="HM112" s="28">
        <f t="shared" si="128"/>
        <v>0</v>
      </c>
      <c r="HN112" s="28">
        <f t="shared" si="128"/>
        <v>0</v>
      </c>
      <c r="HO112" s="28">
        <f t="shared" si="128"/>
        <v>0</v>
      </c>
      <c r="HP112" s="28">
        <f t="shared" si="128"/>
        <v>0</v>
      </c>
      <c r="HQ112" s="28">
        <f t="shared" si="128"/>
        <v>0</v>
      </c>
      <c r="HR112" s="28">
        <f t="shared" si="128"/>
        <v>0</v>
      </c>
      <c r="HS112" s="28">
        <f t="shared" si="128"/>
        <v>0</v>
      </c>
      <c r="HT112" s="28">
        <f t="shared" si="128"/>
        <v>0</v>
      </c>
      <c r="HU112" s="28">
        <f t="shared" si="128"/>
        <v>0</v>
      </c>
      <c r="HV112" s="28">
        <f t="shared" si="128"/>
        <v>0</v>
      </c>
      <c r="HW112" s="28">
        <f t="shared" si="128"/>
        <v>0</v>
      </c>
      <c r="HX112" s="28">
        <f t="shared" si="128"/>
        <v>0</v>
      </c>
      <c r="HY112" s="28">
        <f t="shared" si="128"/>
        <v>0</v>
      </c>
      <c r="HZ112" s="28">
        <f t="shared" si="128"/>
        <v>0</v>
      </c>
      <c r="IA112" s="28">
        <f t="shared" si="128"/>
        <v>0</v>
      </c>
      <c r="IB112" s="28">
        <f t="shared" si="128"/>
        <v>0</v>
      </c>
      <c r="IC112" s="28">
        <f t="shared" si="128"/>
        <v>0</v>
      </c>
      <c r="ID112" s="28">
        <f t="shared" si="128"/>
        <v>0</v>
      </c>
      <c r="IE112" s="28">
        <f t="shared" si="128"/>
        <v>0</v>
      </c>
      <c r="IF112" s="28">
        <f t="shared" si="128"/>
        <v>0</v>
      </c>
      <c r="IG112" s="28">
        <f t="shared" si="128"/>
        <v>0</v>
      </c>
      <c r="IH112" s="28">
        <f t="shared" si="128"/>
        <v>0</v>
      </c>
      <c r="II112" s="28">
        <f t="shared" si="128"/>
        <v>0</v>
      </c>
      <c r="IJ112" s="28">
        <f t="shared" si="128"/>
        <v>0</v>
      </c>
      <c r="IK112" s="28">
        <f t="shared" si="128"/>
        <v>0</v>
      </c>
      <c r="IL112" s="28">
        <f t="shared" si="128"/>
        <v>0</v>
      </c>
      <c r="IM112" s="28">
        <f t="shared" si="128"/>
        <v>0</v>
      </c>
      <c r="IN112" s="28">
        <f t="shared" si="128"/>
        <v>0</v>
      </c>
      <c r="IO112" s="28">
        <f t="shared" si="128"/>
        <v>0</v>
      </c>
      <c r="IP112" s="28">
        <f t="shared" si="128"/>
        <v>0</v>
      </c>
      <c r="IQ112" s="28">
        <f t="shared" si="128"/>
        <v>0</v>
      </c>
      <c r="IR112" s="28"/>
      <c r="IS112" s="28"/>
      <c r="IT112" s="28"/>
      <c r="IU112" s="28"/>
      <c r="IV112" s="28"/>
    </row>
    <row r="113" ht="11.25" customHeight="1">
      <c r="A113" s="27" t="s">
        <v>135</v>
      </c>
      <c r="B113" s="28">
        <f t="shared" ref="B113:D113" si="129">COUNTIF(B5,"=1")+COUNTIF(B6,"=2")+COUNTIF(B17,"=2")+COUNTIF(B28,"=2")+COUNTIF(B39,"=2")+COUNTIF(B50,"=2")+COUNTIF(B61,"=2")+COUNTIF(B72,"=2")+COUNTIF(B83,"=2")</f>
        <v>0</v>
      </c>
      <c r="C113" s="28">
        <f t="shared" si="129"/>
        <v>0</v>
      </c>
      <c r="D113" s="28">
        <f t="shared" si="129"/>
        <v>0</v>
      </c>
      <c r="E113" s="28" t="str">
        <f>COUNTIF(#REF!,"=1")+COUNTIF(#REF!,"=2")+COUNTIF(#REF!,"=2")+COUNTIF(#REF!,"=2")+COUNTIF(#REF!,"=2")+COUNTIF(#REF!,"=2")+COUNTIF(#REF!,"=2")+COUNTIF(#REF!,"=2")+COUNTIF(#REF!,"=2")</f>
        <v>#REF!</v>
      </c>
      <c r="F113" s="28">
        <f t="shared" ref="F113:AW113" si="130">COUNTIF(F5,"=1")+COUNTIF(F6,"=2")+COUNTIF(F17,"=2")+COUNTIF(F28,"=2")+COUNTIF(F39,"=2")+COUNTIF(F50,"=2")+COUNTIF(F61,"=2")+COUNTIF(F72,"=2")+COUNTIF(F83,"=2")</f>
        <v>0</v>
      </c>
      <c r="G113" s="28">
        <f t="shared" si="130"/>
        <v>0</v>
      </c>
      <c r="H113" s="28">
        <f t="shared" si="130"/>
        <v>0</v>
      </c>
      <c r="I113" s="28">
        <f t="shared" si="130"/>
        <v>0</v>
      </c>
      <c r="J113" s="28">
        <f t="shared" si="130"/>
        <v>0</v>
      </c>
      <c r="K113" s="28">
        <f t="shared" si="130"/>
        <v>0</v>
      </c>
      <c r="L113" s="28">
        <f t="shared" si="130"/>
        <v>0</v>
      </c>
      <c r="M113" s="28">
        <f t="shared" si="130"/>
        <v>0</v>
      </c>
      <c r="N113" s="28">
        <f t="shared" si="130"/>
        <v>0</v>
      </c>
      <c r="O113" s="28">
        <f t="shared" si="130"/>
        <v>0</v>
      </c>
      <c r="P113" s="28">
        <f t="shared" si="130"/>
        <v>0</v>
      </c>
      <c r="Q113" s="28">
        <f t="shared" si="130"/>
        <v>0</v>
      </c>
      <c r="R113" s="28">
        <f t="shared" si="130"/>
        <v>0</v>
      </c>
      <c r="S113" s="28">
        <f t="shared" si="130"/>
        <v>0</v>
      </c>
      <c r="T113" s="28">
        <f t="shared" si="130"/>
        <v>0</v>
      </c>
      <c r="U113" s="28">
        <f t="shared" si="130"/>
        <v>0</v>
      </c>
      <c r="V113" s="28">
        <f t="shared" si="130"/>
        <v>0</v>
      </c>
      <c r="W113" s="28">
        <f t="shared" si="130"/>
        <v>0</v>
      </c>
      <c r="X113" s="28">
        <f t="shared" si="130"/>
        <v>0</v>
      </c>
      <c r="Y113" s="28">
        <f t="shared" si="130"/>
        <v>0</v>
      </c>
      <c r="Z113" s="28">
        <f t="shared" si="130"/>
        <v>0</v>
      </c>
      <c r="AA113" s="28">
        <f t="shared" si="130"/>
        <v>0</v>
      </c>
      <c r="AB113" s="28">
        <f t="shared" si="130"/>
        <v>0</v>
      </c>
      <c r="AC113" s="28">
        <f t="shared" si="130"/>
        <v>0</v>
      </c>
      <c r="AD113" s="28">
        <f t="shared" si="130"/>
        <v>0</v>
      </c>
      <c r="AE113" s="28">
        <f t="shared" si="130"/>
        <v>0</v>
      </c>
      <c r="AF113" s="28">
        <f t="shared" si="130"/>
        <v>0</v>
      </c>
      <c r="AG113" s="28">
        <f t="shared" si="130"/>
        <v>0</v>
      </c>
      <c r="AH113" s="28">
        <f t="shared" si="130"/>
        <v>0</v>
      </c>
      <c r="AI113" s="28">
        <f t="shared" si="130"/>
        <v>0</v>
      </c>
      <c r="AJ113" s="28">
        <f t="shared" si="130"/>
        <v>0</v>
      </c>
      <c r="AK113" s="28">
        <f t="shared" si="130"/>
        <v>0</v>
      </c>
      <c r="AL113" s="28">
        <f t="shared" si="130"/>
        <v>0</v>
      </c>
      <c r="AM113" s="28">
        <f t="shared" si="130"/>
        <v>0</v>
      </c>
      <c r="AN113" s="28">
        <f t="shared" si="130"/>
        <v>0</v>
      </c>
      <c r="AO113" s="28">
        <f t="shared" si="130"/>
        <v>0</v>
      </c>
      <c r="AP113" s="28">
        <f t="shared" si="130"/>
        <v>0</v>
      </c>
      <c r="AQ113" s="28">
        <f t="shared" si="130"/>
        <v>0</v>
      </c>
      <c r="AR113" s="28">
        <f t="shared" si="130"/>
        <v>0</v>
      </c>
      <c r="AS113" s="28">
        <f t="shared" si="130"/>
        <v>0</v>
      </c>
      <c r="AT113" s="28">
        <f t="shared" si="130"/>
        <v>0</v>
      </c>
      <c r="AU113" s="28">
        <f t="shared" si="130"/>
        <v>0</v>
      </c>
      <c r="AV113" s="28">
        <f t="shared" si="130"/>
        <v>0</v>
      </c>
      <c r="AW113" s="28">
        <f t="shared" si="130"/>
        <v>0</v>
      </c>
      <c r="AX113" s="28">
        <f t="shared" ref="AX113:AY113" si="131">COUNTIF(AZ5,"=1")+COUNTIF(AZ6,"=2")+COUNTIF(AZ17,"=2")+COUNTIF(AZ28,"=2")+COUNTIF(AZ39,"=2")+COUNTIF(AZ50,"=2")+COUNTIF(AZ61,"=2")+COUNTIF(AZ72,"=2")+COUNTIF(AZ83,"=2")</f>
        <v>0</v>
      </c>
      <c r="AY113" s="28">
        <f t="shared" si="131"/>
        <v>0</v>
      </c>
      <c r="AZ113" s="28" t="str">
        <f>COUNTIF(#REF!,"=1")+COUNTIF(#REF!,"=2")+COUNTIF(#REF!,"=2")+COUNTIF(#REF!,"=2")+COUNTIF(#REF!,"=2")+COUNTIF(#REF!,"=2")+COUNTIF(#REF!,"=2")+COUNTIF(#REF!,"=2")+COUNTIF(#REF!,"=2")</f>
        <v>#REF!</v>
      </c>
      <c r="BA113" s="28">
        <f t="shared" ref="BA113:BT113" si="132">COUNTIF(BC5,"=1")+COUNTIF(BC6,"=2")+COUNTIF(BC17,"=2")+COUNTIF(BC28,"=2")+COUNTIF(BC39,"=2")+COUNTIF(BC50,"=2")+COUNTIF(BC61,"=2")+COUNTIF(BC72,"=2")+COUNTIF(BC83,"=2")</f>
        <v>0</v>
      </c>
      <c r="BB113" s="28">
        <f t="shared" si="132"/>
        <v>0</v>
      </c>
      <c r="BC113" s="28">
        <f t="shared" si="132"/>
        <v>0</v>
      </c>
      <c r="BD113" s="28">
        <f t="shared" si="132"/>
        <v>0</v>
      </c>
      <c r="BE113" s="28">
        <f t="shared" si="132"/>
        <v>0</v>
      </c>
      <c r="BF113" s="28">
        <f t="shared" si="132"/>
        <v>0</v>
      </c>
      <c r="BG113" s="28">
        <f t="shared" si="132"/>
        <v>0</v>
      </c>
      <c r="BH113" s="28">
        <f t="shared" si="132"/>
        <v>0</v>
      </c>
      <c r="BI113" s="28">
        <f t="shared" si="132"/>
        <v>0</v>
      </c>
      <c r="BJ113" s="28">
        <f t="shared" si="132"/>
        <v>0</v>
      </c>
      <c r="BK113" s="28">
        <f t="shared" si="132"/>
        <v>0</v>
      </c>
      <c r="BL113" s="28">
        <f t="shared" si="132"/>
        <v>0</v>
      </c>
      <c r="BM113" s="28">
        <f t="shared" si="132"/>
        <v>0</v>
      </c>
      <c r="BN113" s="28">
        <f t="shared" si="132"/>
        <v>0</v>
      </c>
      <c r="BO113" s="28">
        <f t="shared" si="132"/>
        <v>0</v>
      </c>
      <c r="BP113" s="28">
        <f t="shared" si="132"/>
        <v>0</v>
      </c>
      <c r="BQ113" s="28">
        <f t="shared" si="132"/>
        <v>0</v>
      </c>
      <c r="BR113" s="28">
        <f t="shared" si="132"/>
        <v>0</v>
      </c>
      <c r="BS113" s="28">
        <f t="shared" si="132"/>
        <v>0</v>
      </c>
      <c r="BT113" s="28">
        <f t="shared" si="132"/>
        <v>0</v>
      </c>
      <c r="BU113" s="28">
        <f>COUNTIF(BB5,"=1")+COUNTIF(BB6,"=2")+COUNTIF(BB17,"=2")+COUNTIF(BB28,"=2")+COUNTIF(BB39,"=2")+COUNTIF(BB50,"=2")+COUNTIF(BB61,"=2")+COUNTIF(BB72,"=2")+COUNTIF(BB83,"=2")</f>
        <v>0</v>
      </c>
      <c r="BV113" s="28">
        <f t="shared" ref="BV113:CP113" si="133">COUNTIF(BX5,"=1")+COUNTIF(BX6,"=2")+COUNTIF(BX17,"=2")+COUNTIF(BX28,"=2")+COUNTIF(BX39,"=2")+COUNTIF(BX50,"=2")+COUNTIF(BX61,"=2")+COUNTIF(BX72,"=2")+COUNTIF(BX83,"=2")</f>
        <v>0</v>
      </c>
      <c r="BW113" s="28">
        <f t="shared" si="133"/>
        <v>0</v>
      </c>
      <c r="BX113" s="28">
        <f t="shared" si="133"/>
        <v>0</v>
      </c>
      <c r="BY113" s="28">
        <f t="shared" si="133"/>
        <v>0</v>
      </c>
      <c r="BZ113" s="28">
        <f t="shared" si="133"/>
        <v>0</v>
      </c>
      <c r="CA113" s="28">
        <f t="shared" si="133"/>
        <v>0</v>
      </c>
      <c r="CB113" s="28">
        <f t="shared" si="133"/>
        <v>0</v>
      </c>
      <c r="CC113" s="28">
        <f t="shared" si="133"/>
        <v>0</v>
      </c>
      <c r="CD113" s="28">
        <f t="shared" si="133"/>
        <v>0</v>
      </c>
      <c r="CE113" s="28">
        <f t="shared" si="133"/>
        <v>0</v>
      </c>
      <c r="CF113" s="28">
        <f t="shared" si="133"/>
        <v>0</v>
      </c>
      <c r="CG113" s="28">
        <f t="shared" si="133"/>
        <v>0</v>
      </c>
      <c r="CH113" s="28">
        <f t="shared" si="133"/>
        <v>0</v>
      </c>
      <c r="CI113" s="28">
        <f t="shared" si="133"/>
        <v>0</v>
      </c>
      <c r="CJ113" s="28">
        <f t="shared" si="133"/>
        <v>0</v>
      </c>
      <c r="CK113" s="28">
        <f t="shared" si="133"/>
        <v>0</v>
      </c>
      <c r="CL113" s="28">
        <f t="shared" si="133"/>
        <v>0</v>
      </c>
      <c r="CM113" s="28">
        <f t="shared" si="133"/>
        <v>0</v>
      </c>
      <c r="CN113" s="28">
        <f t="shared" si="133"/>
        <v>0</v>
      </c>
      <c r="CO113" s="28">
        <f t="shared" si="133"/>
        <v>0</v>
      </c>
      <c r="CP113" s="28">
        <f t="shared" si="133"/>
        <v>0</v>
      </c>
      <c r="CQ113" s="28" t="str">
        <f t="shared" ref="CQ113:CR113" si="134">COUNTIF(#REF!,"=1")+COUNTIF(#REF!,"=2")+COUNTIF(#REF!,"=2")+COUNTIF(#REF!,"=2")+COUNTIF(#REF!,"=2")+COUNTIF(#REF!,"=2")+COUNTIF(#REF!,"=2")+COUNTIF(#REF!,"=2")+COUNTIF(#REF!,"=2")</f>
        <v>#REF!</v>
      </c>
      <c r="CR113" s="28" t="str">
        <f t="shared" si="134"/>
        <v>#REF!</v>
      </c>
      <c r="CS113" s="28">
        <f t="shared" ref="CS113:IQ113" si="135">COUNTIF(CS5,"=1")+COUNTIF(CS6,"=2")+COUNTIF(CS17,"=2")+COUNTIF(CS28,"=2")+COUNTIF(CS39,"=2")+COUNTIF(CS50,"=2")+COUNTIF(CS61,"=2")+COUNTIF(CS72,"=2")+COUNTIF(CS83,"=2")</f>
        <v>0</v>
      </c>
      <c r="CT113" s="28">
        <f t="shared" si="135"/>
        <v>0</v>
      </c>
      <c r="CU113" s="28">
        <f t="shared" si="135"/>
        <v>0</v>
      </c>
      <c r="CV113" s="28">
        <f t="shared" si="135"/>
        <v>0</v>
      </c>
      <c r="CW113" s="28">
        <f t="shared" si="135"/>
        <v>0</v>
      </c>
      <c r="CX113" s="28">
        <f t="shared" si="135"/>
        <v>0</v>
      </c>
      <c r="CY113" s="28">
        <f t="shared" si="135"/>
        <v>0</v>
      </c>
      <c r="CZ113" s="28">
        <f t="shared" si="135"/>
        <v>0</v>
      </c>
      <c r="DA113" s="28">
        <f t="shared" si="135"/>
        <v>0</v>
      </c>
      <c r="DB113" s="28">
        <f t="shared" si="135"/>
        <v>0</v>
      </c>
      <c r="DC113" s="28">
        <f t="shared" si="135"/>
        <v>0</v>
      </c>
      <c r="DD113" s="28">
        <f t="shared" si="135"/>
        <v>0</v>
      </c>
      <c r="DE113" s="28">
        <f t="shared" si="135"/>
        <v>0</v>
      </c>
      <c r="DF113" s="28">
        <f t="shared" si="135"/>
        <v>0</v>
      </c>
      <c r="DG113" s="28">
        <f t="shared" si="135"/>
        <v>0</v>
      </c>
      <c r="DH113" s="28">
        <f t="shared" si="135"/>
        <v>0</v>
      </c>
      <c r="DI113" s="28">
        <f t="shared" si="135"/>
        <v>0</v>
      </c>
      <c r="DJ113" s="28">
        <f t="shared" si="135"/>
        <v>0</v>
      </c>
      <c r="DK113" s="28">
        <f t="shared" si="135"/>
        <v>0</v>
      </c>
      <c r="DL113" s="28">
        <f t="shared" si="135"/>
        <v>0</v>
      </c>
      <c r="DM113" s="28">
        <f t="shared" si="135"/>
        <v>0</v>
      </c>
      <c r="DN113" s="28">
        <f t="shared" si="135"/>
        <v>0</v>
      </c>
      <c r="DO113" s="28">
        <f t="shared" si="135"/>
        <v>0</v>
      </c>
      <c r="DP113" s="28">
        <f t="shared" si="135"/>
        <v>0</v>
      </c>
      <c r="DQ113" s="28">
        <f t="shared" si="135"/>
        <v>0</v>
      </c>
      <c r="DR113" s="28">
        <f t="shared" si="135"/>
        <v>0</v>
      </c>
      <c r="DS113" s="28">
        <f t="shared" si="135"/>
        <v>0</v>
      </c>
      <c r="DT113" s="28">
        <f t="shared" si="135"/>
        <v>0</v>
      </c>
      <c r="DU113" s="28">
        <f t="shared" si="135"/>
        <v>0</v>
      </c>
      <c r="DV113" s="28">
        <f t="shared" si="135"/>
        <v>0</v>
      </c>
      <c r="DW113" s="28">
        <f t="shared" si="135"/>
        <v>0</v>
      </c>
      <c r="DX113" s="28">
        <f t="shared" si="135"/>
        <v>0</v>
      </c>
      <c r="DY113" s="28">
        <f t="shared" si="135"/>
        <v>0</v>
      </c>
      <c r="DZ113" s="28">
        <f t="shared" si="135"/>
        <v>0</v>
      </c>
      <c r="EA113" s="28">
        <f t="shared" si="135"/>
        <v>0</v>
      </c>
      <c r="EB113" s="28">
        <f t="shared" si="135"/>
        <v>0</v>
      </c>
      <c r="EC113" s="28">
        <f t="shared" si="135"/>
        <v>0</v>
      </c>
      <c r="ED113" s="28">
        <f t="shared" si="135"/>
        <v>0</v>
      </c>
      <c r="EE113" s="28">
        <f t="shared" si="135"/>
        <v>0</v>
      </c>
      <c r="EF113" s="28">
        <f t="shared" si="135"/>
        <v>0</v>
      </c>
      <c r="EG113" s="28">
        <f t="shared" si="135"/>
        <v>0</v>
      </c>
      <c r="EH113" s="28">
        <f t="shared" si="135"/>
        <v>0</v>
      </c>
      <c r="EI113" s="28">
        <f t="shared" si="135"/>
        <v>0</v>
      </c>
      <c r="EJ113" s="28">
        <f t="shared" si="135"/>
        <v>0</v>
      </c>
      <c r="EK113" s="28">
        <f t="shared" si="135"/>
        <v>0</v>
      </c>
      <c r="EL113" s="28">
        <f t="shared" si="135"/>
        <v>0</v>
      </c>
      <c r="EM113" s="28">
        <f t="shared" si="135"/>
        <v>0</v>
      </c>
      <c r="EN113" s="28">
        <f t="shared" si="135"/>
        <v>0</v>
      </c>
      <c r="EO113" s="28">
        <f t="shared" si="135"/>
        <v>0</v>
      </c>
      <c r="EP113" s="28">
        <f t="shared" si="135"/>
        <v>0</v>
      </c>
      <c r="EQ113" s="28">
        <f t="shared" si="135"/>
        <v>0</v>
      </c>
      <c r="ER113" s="28">
        <f t="shared" si="135"/>
        <v>0</v>
      </c>
      <c r="ES113" s="28">
        <f t="shared" si="135"/>
        <v>0</v>
      </c>
      <c r="ET113" s="28">
        <f t="shared" si="135"/>
        <v>0</v>
      </c>
      <c r="EU113" s="28">
        <f t="shared" si="135"/>
        <v>0</v>
      </c>
      <c r="EV113" s="28">
        <f t="shared" si="135"/>
        <v>0</v>
      </c>
      <c r="EW113" s="28">
        <f t="shared" si="135"/>
        <v>0</v>
      </c>
      <c r="EX113" s="28">
        <f t="shared" si="135"/>
        <v>0</v>
      </c>
      <c r="EY113" s="28">
        <f t="shared" si="135"/>
        <v>0</v>
      </c>
      <c r="EZ113" s="28">
        <f t="shared" si="135"/>
        <v>0</v>
      </c>
      <c r="FA113" s="28">
        <f t="shared" si="135"/>
        <v>0</v>
      </c>
      <c r="FB113" s="28">
        <f t="shared" si="135"/>
        <v>0</v>
      </c>
      <c r="FC113" s="28">
        <f t="shared" si="135"/>
        <v>0</v>
      </c>
      <c r="FD113" s="28">
        <f t="shared" si="135"/>
        <v>0</v>
      </c>
      <c r="FE113" s="28">
        <f t="shared" si="135"/>
        <v>0</v>
      </c>
      <c r="FF113" s="28">
        <f t="shared" si="135"/>
        <v>0</v>
      </c>
      <c r="FG113" s="28">
        <f t="shared" si="135"/>
        <v>0</v>
      </c>
      <c r="FH113" s="28">
        <f t="shared" si="135"/>
        <v>0</v>
      </c>
      <c r="FI113" s="28">
        <f t="shared" si="135"/>
        <v>0</v>
      </c>
      <c r="FJ113" s="28">
        <f t="shared" si="135"/>
        <v>0</v>
      </c>
      <c r="FK113" s="28">
        <f t="shared" si="135"/>
        <v>0</v>
      </c>
      <c r="FL113" s="28">
        <f t="shared" si="135"/>
        <v>0</v>
      </c>
      <c r="FM113" s="28">
        <f t="shared" si="135"/>
        <v>0</v>
      </c>
      <c r="FN113" s="28">
        <f t="shared" si="135"/>
        <v>0</v>
      </c>
      <c r="FO113" s="28">
        <f t="shared" si="135"/>
        <v>0</v>
      </c>
      <c r="FP113" s="28">
        <f t="shared" si="135"/>
        <v>0</v>
      </c>
      <c r="FQ113" s="28">
        <f t="shared" si="135"/>
        <v>0</v>
      </c>
      <c r="FR113" s="28">
        <f t="shared" si="135"/>
        <v>0</v>
      </c>
      <c r="FS113" s="28">
        <f t="shared" si="135"/>
        <v>0</v>
      </c>
      <c r="FT113" s="28">
        <f t="shared" si="135"/>
        <v>0</v>
      </c>
      <c r="FU113" s="28">
        <f t="shared" si="135"/>
        <v>0</v>
      </c>
      <c r="FV113" s="28">
        <f t="shared" si="135"/>
        <v>0</v>
      </c>
      <c r="FW113" s="28">
        <f t="shared" si="135"/>
        <v>0</v>
      </c>
      <c r="FX113" s="28">
        <f t="shared" si="135"/>
        <v>0</v>
      </c>
      <c r="FY113" s="28">
        <f t="shared" si="135"/>
        <v>0</v>
      </c>
      <c r="FZ113" s="28">
        <f t="shared" si="135"/>
        <v>0</v>
      </c>
      <c r="GA113" s="28">
        <f t="shared" si="135"/>
        <v>0</v>
      </c>
      <c r="GB113" s="28">
        <f t="shared" si="135"/>
        <v>0</v>
      </c>
      <c r="GC113" s="28">
        <f t="shared" si="135"/>
        <v>0</v>
      </c>
      <c r="GD113" s="28">
        <f t="shared" si="135"/>
        <v>0</v>
      </c>
      <c r="GE113" s="28">
        <f t="shared" si="135"/>
        <v>0</v>
      </c>
      <c r="GF113" s="28">
        <f t="shared" si="135"/>
        <v>0</v>
      </c>
      <c r="GG113" s="28">
        <f t="shared" si="135"/>
        <v>0</v>
      </c>
      <c r="GH113" s="28">
        <f t="shared" si="135"/>
        <v>0</v>
      </c>
      <c r="GI113" s="28">
        <f t="shared" si="135"/>
        <v>0</v>
      </c>
      <c r="GJ113" s="28">
        <f t="shared" si="135"/>
        <v>0</v>
      </c>
      <c r="GK113" s="28">
        <f t="shared" si="135"/>
        <v>0</v>
      </c>
      <c r="GL113" s="28">
        <f t="shared" si="135"/>
        <v>0</v>
      </c>
      <c r="GM113" s="28">
        <f t="shared" si="135"/>
        <v>0</v>
      </c>
      <c r="GN113" s="28">
        <f t="shared" si="135"/>
        <v>0</v>
      </c>
      <c r="GO113" s="28">
        <f t="shared" si="135"/>
        <v>0</v>
      </c>
      <c r="GP113" s="28">
        <f t="shared" si="135"/>
        <v>0</v>
      </c>
      <c r="GQ113" s="28">
        <f t="shared" si="135"/>
        <v>0</v>
      </c>
      <c r="GR113" s="28">
        <f t="shared" si="135"/>
        <v>0</v>
      </c>
      <c r="GS113" s="28">
        <f t="shared" si="135"/>
        <v>0</v>
      </c>
      <c r="GT113" s="28">
        <f t="shared" si="135"/>
        <v>0</v>
      </c>
      <c r="GU113" s="28">
        <f t="shared" si="135"/>
        <v>0</v>
      </c>
      <c r="GV113" s="28">
        <f t="shared" si="135"/>
        <v>0</v>
      </c>
      <c r="GW113" s="28">
        <f t="shared" si="135"/>
        <v>0</v>
      </c>
      <c r="GX113" s="28">
        <f t="shared" si="135"/>
        <v>0</v>
      </c>
      <c r="GY113" s="28">
        <f t="shared" si="135"/>
        <v>0</v>
      </c>
      <c r="GZ113" s="28">
        <f t="shared" si="135"/>
        <v>0</v>
      </c>
      <c r="HA113" s="28">
        <f t="shared" si="135"/>
        <v>0</v>
      </c>
      <c r="HB113" s="28">
        <f t="shared" si="135"/>
        <v>0</v>
      </c>
      <c r="HC113" s="28">
        <f t="shared" si="135"/>
        <v>0</v>
      </c>
      <c r="HD113" s="28">
        <f t="shared" si="135"/>
        <v>0</v>
      </c>
      <c r="HE113" s="28">
        <f t="shared" si="135"/>
        <v>0</v>
      </c>
      <c r="HF113" s="28">
        <f t="shared" si="135"/>
        <v>0</v>
      </c>
      <c r="HG113" s="28">
        <f t="shared" si="135"/>
        <v>0</v>
      </c>
      <c r="HH113" s="28">
        <f t="shared" si="135"/>
        <v>0</v>
      </c>
      <c r="HI113" s="28">
        <f t="shared" si="135"/>
        <v>0</v>
      </c>
      <c r="HJ113" s="28">
        <f t="shared" si="135"/>
        <v>0</v>
      </c>
      <c r="HK113" s="28">
        <f t="shared" si="135"/>
        <v>0</v>
      </c>
      <c r="HL113" s="28">
        <f t="shared" si="135"/>
        <v>0</v>
      </c>
      <c r="HM113" s="28">
        <f t="shared" si="135"/>
        <v>0</v>
      </c>
      <c r="HN113" s="28">
        <f t="shared" si="135"/>
        <v>0</v>
      </c>
      <c r="HO113" s="28">
        <f t="shared" si="135"/>
        <v>0</v>
      </c>
      <c r="HP113" s="28">
        <f t="shared" si="135"/>
        <v>0</v>
      </c>
      <c r="HQ113" s="28">
        <f t="shared" si="135"/>
        <v>0</v>
      </c>
      <c r="HR113" s="28">
        <f t="shared" si="135"/>
        <v>0</v>
      </c>
      <c r="HS113" s="28">
        <f t="shared" si="135"/>
        <v>0</v>
      </c>
      <c r="HT113" s="28">
        <f t="shared" si="135"/>
        <v>0</v>
      </c>
      <c r="HU113" s="28">
        <f t="shared" si="135"/>
        <v>0</v>
      </c>
      <c r="HV113" s="28">
        <f t="shared" si="135"/>
        <v>0</v>
      </c>
      <c r="HW113" s="28">
        <f t="shared" si="135"/>
        <v>0</v>
      </c>
      <c r="HX113" s="28">
        <f t="shared" si="135"/>
        <v>0</v>
      </c>
      <c r="HY113" s="28">
        <f t="shared" si="135"/>
        <v>0</v>
      </c>
      <c r="HZ113" s="28">
        <f t="shared" si="135"/>
        <v>0</v>
      </c>
      <c r="IA113" s="28">
        <f t="shared" si="135"/>
        <v>0</v>
      </c>
      <c r="IB113" s="28">
        <f t="shared" si="135"/>
        <v>0</v>
      </c>
      <c r="IC113" s="28">
        <f t="shared" si="135"/>
        <v>0</v>
      </c>
      <c r="ID113" s="28">
        <f t="shared" si="135"/>
        <v>0</v>
      </c>
      <c r="IE113" s="28">
        <f t="shared" si="135"/>
        <v>0</v>
      </c>
      <c r="IF113" s="28">
        <f t="shared" si="135"/>
        <v>0</v>
      </c>
      <c r="IG113" s="28">
        <f t="shared" si="135"/>
        <v>0</v>
      </c>
      <c r="IH113" s="28">
        <f t="shared" si="135"/>
        <v>0</v>
      </c>
      <c r="II113" s="28">
        <f t="shared" si="135"/>
        <v>0</v>
      </c>
      <c r="IJ113" s="28">
        <f t="shared" si="135"/>
        <v>0</v>
      </c>
      <c r="IK113" s="28">
        <f t="shared" si="135"/>
        <v>0</v>
      </c>
      <c r="IL113" s="28">
        <f t="shared" si="135"/>
        <v>0</v>
      </c>
      <c r="IM113" s="28">
        <f t="shared" si="135"/>
        <v>0</v>
      </c>
      <c r="IN113" s="28">
        <f t="shared" si="135"/>
        <v>0</v>
      </c>
      <c r="IO113" s="28">
        <f t="shared" si="135"/>
        <v>0</v>
      </c>
      <c r="IP113" s="28">
        <f t="shared" si="135"/>
        <v>0</v>
      </c>
      <c r="IQ113" s="28">
        <f t="shared" si="135"/>
        <v>0</v>
      </c>
      <c r="IR113" s="28"/>
      <c r="IS113" s="28"/>
      <c r="IT113" s="28"/>
      <c r="IU113" s="28"/>
      <c r="IV113" s="28"/>
    </row>
    <row r="114" ht="11.25" customHeight="1">
      <c r="A114" s="27" t="s">
        <v>136</v>
      </c>
      <c r="B114" s="28">
        <f t="shared" ref="B114:D114" si="136">COUNTIF(B5,"=2")+COUNTIF(B16,"=2")+COUNTIF(B27,"=2")+COUNTIF(B38,"=2")+COUNTIF(B49,"=2")+COUNTIF(B60,"=2")+COUNTIF(B71,"=2")+COUNTIF(B82,"=2")+COUNTIF(B93,"=2")</f>
        <v>9</v>
      </c>
      <c r="C114" s="28">
        <f t="shared" si="136"/>
        <v>9</v>
      </c>
      <c r="D114" s="28">
        <f t="shared" si="136"/>
        <v>9</v>
      </c>
      <c r="E114" s="28" t="str">
        <f>COUNTIF(#REF!,"=2")+COUNTIF(#REF!,"=2")+COUNTIF(#REF!,"=2")+COUNTIF(#REF!,"=2")+COUNTIF(#REF!,"=2")+COUNTIF(#REF!,"=2")+COUNTIF(#REF!,"=2")+COUNTIF(#REF!,"=2")+COUNTIF(#REF!,"=2")</f>
        <v>#REF!</v>
      </c>
      <c r="F114" s="28">
        <f t="shared" ref="F114:AW114" si="137">COUNTIF(F5,"=2")+COUNTIF(F16,"=2")+COUNTIF(F27,"=2")+COUNTIF(F38,"=2")+COUNTIF(F49,"=2")+COUNTIF(F60,"=2")+COUNTIF(F71,"=2")+COUNTIF(F82,"=2")+COUNTIF(F93,"=2")</f>
        <v>9</v>
      </c>
      <c r="G114" s="28">
        <f t="shared" si="137"/>
        <v>0</v>
      </c>
      <c r="H114" s="28">
        <f t="shared" si="137"/>
        <v>0</v>
      </c>
      <c r="I114" s="28">
        <f t="shared" si="137"/>
        <v>0</v>
      </c>
      <c r="J114" s="28">
        <f t="shared" si="137"/>
        <v>0</v>
      </c>
      <c r="K114" s="28">
        <f t="shared" si="137"/>
        <v>0</v>
      </c>
      <c r="L114" s="28">
        <f t="shared" si="137"/>
        <v>0</v>
      </c>
      <c r="M114" s="28">
        <f t="shared" si="137"/>
        <v>0</v>
      </c>
      <c r="N114" s="28">
        <f t="shared" si="137"/>
        <v>0</v>
      </c>
      <c r="O114" s="28">
        <f t="shared" si="137"/>
        <v>0</v>
      </c>
      <c r="P114" s="28">
        <f t="shared" si="137"/>
        <v>0</v>
      </c>
      <c r="Q114" s="28">
        <f t="shared" si="137"/>
        <v>0</v>
      </c>
      <c r="R114" s="28">
        <f t="shared" si="137"/>
        <v>0</v>
      </c>
      <c r="S114" s="28">
        <f t="shared" si="137"/>
        <v>0</v>
      </c>
      <c r="T114" s="28">
        <f t="shared" si="137"/>
        <v>0</v>
      </c>
      <c r="U114" s="28">
        <f t="shared" si="137"/>
        <v>0</v>
      </c>
      <c r="V114" s="28">
        <f t="shared" si="137"/>
        <v>0</v>
      </c>
      <c r="W114" s="28">
        <f t="shared" si="137"/>
        <v>0</v>
      </c>
      <c r="X114" s="28">
        <f t="shared" si="137"/>
        <v>0</v>
      </c>
      <c r="Y114" s="28">
        <f t="shared" si="137"/>
        <v>0</v>
      </c>
      <c r="Z114" s="28">
        <f t="shared" si="137"/>
        <v>0</v>
      </c>
      <c r="AA114" s="28">
        <f t="shared" si="137"/>
        <v>0</v>
      </c>
      <c r="AB114" s="28">
        <f t="shared" si="137"/>
        <v>0</v>
      </c>
      <c r="AC114" s="28">
        <f t="shared" si="137"/>
        <v>0</v>
      </c>
      <c r="AD114" s="28">
        <f t="shared" si="137"/>
        <v>0</v>
      </c>
      <c r="AE114" s="28">
        <f t="shared" si="137"/>
        <v>0</v>
      </c>
      <c r="AF114" s="28">
        <f t="shared" si="137"/>
        <v>0</v>
      </c>
      <c r="AG114" s="28">
        <f t="shared" si="137"/>
        <v>0</v>
      </c>
      <c r="AH114" s="28">
        <f t="shared" si="137"/>
        <v>0</v>
      </c>
      <c r="AI114" s="28">
        <f t="shared" si="137"/>
        <v>0</v>
      </c>
      <c r="AJ114" s="28">
        <f t="shared" si="137"/>
        <v>0</v>
      </c>
      <c r="AK114" s="28">
        <f t="shared" si="137"/>
        <v>0</v>
      </c>
      <c r="AL114" s="28">
        <f t="shared" si="137"/>
        <v>0</v>
      </c>
      <c r="AM114" s="28">
        <f t="shared" si="137"/>
        <v>0</v>
      </c>
      <c r="AN114" s="28">
        <f t="shared" si="137"/>
        <v>0</v>
      </c>
      <c r="AO114" s="28">
        <f t="shared" si="137"/>
        <v>0</v>
      </c>
      <c r="AP114" s="28">
        <f t="shared" si="137"/>
        <v>0</v>
      </c>
      <c r="AQ114" s="28">
        <f t="shared" si="137"/>
        <v>0</v>
      </c>
      <c r="AR114" s="28">
        <f t="shared" si="137"/>
        <v>0</v>
      </c>
      <c r="AS114" s="28">
        <f t="shared" si="137"/>
        <v>0</v>
      </c>
      <c r="AT114" s="28">
        <f t="shared" si="137"/>
        <v>0</v>
      </c>
      <c r="AU114" s="28">
        <f t="shared" si="137"/>
        <v>0</v>
      </c>
      <c r="AV114" s="28">
        <f t="shared" si="137"/>
        <v>0</v>
      </c>
      <c r="AW114" s="28">
        <f t="shared" si="137"/>
        <v>0</v>
      </c>
      <c r="AX114" s="28">
        <f t="shared" ref="AX114:AY114" si="138">COUNTIF(AZ5,"=2")+COUNTIF(AZ16,"=2")+COUNTIF(AZ27,"=2")+COUNTIF(AZ38,"=2")+COUNTIF(AZ49,"=2")+COUNTIF(AZ60,"=2")+COUNTIF(AZ71,"=2")+COUNTIF(AZ82,"=2")+COUNTIF(AZ93,"=2")</f>
        <v>0</v>
      </c>
      <c r="AY114" s="28">
        <f t="shared" si="138"/>
        <v>0</v>
      </c>
      <c r="AZ114" s="28" t="str">
        <f>COUNTIF(#REF!,"=2")+COUNTIF(#REF!,"=2")+COUNTIF(#REF!,"=2")+COUNTIF(#REF!,"=2")+COUNTIF(#REF!,"=2")+COUNTIF(#REF!,"=2")+COUNTIF(#REF!,"=2")+COUNTIF(#REF!,"=2")+COUNTIF(#REF!,"=2")</f>
        <v>#REF!</v>
      </c>
      <c r="BA114" s="28">
        <f t="shared" ref="BA114:BT114" si="139">COUNTIF(BC5,"=2")+COUNTIF(BC16,"=2")+COUNTIF(BC27,"=2")+COUNTIF(BC38,"=2")+COUNTIF(BC49,"=2")+COUNTIF(BC60,"=2")+COUNTIF(BC71,"=2")+COUNTIF(BC82,"=2")+COUNTIF(BC93,"=2")</f>
        <v>0</v>
      </c>
      <c r="BB114" s="28">
        <f t="shared" si="139"/>
        <v>0</v>
      </c>
      <c r="BC114" s="28">
        <f t="shared" si="139"/>
        <v>0</v>
      </c>
      <c r="BD114" s="28">
        <f t="shared" si="139"/>
        <v>0</v>
      </c>
      <c r="BE114" s="28">
        <f t="shared" si="139"/>
        <v>0</v>
      </c>
      <c r="BF114" s="28">
        <f t="shared" si="139"/>
        <v>0</v>
      </c>
      <c r="BG114" s="28">
        <f t="shared" si="139"/>
        <v>0</v>
      </c>
      <c r="BH114" s="28">
        <f t="shared" si="139"/>
        <v>0</v>
      </c>
      <c r="BI114" s="28">
        <f t="shared" si="139"/>
        <v>0</v>
      </c>
      <c r="BJ114" s="28">
        <f t="shared" si="139"/>
        <v>0</v>
      </c>
      <c r="BK114" s="28">
        <f t="shared" si="139"/>
        <v>0</v>
      </c>
      <c r="BL114" s="28">
        <f t="shared" si="139"/>
        <v>0</v>
      </c>
      <c r="BM114" s="28">
        <f t="shared" si="139"/>
        <v>0</v>
      </c>
      <c r="BN114" s="28">
        <f t="shared" si="139"/>
        <v>0</v>
      </c>
      <c r="BO114" s="28">
        <f t="shared" si="139"/>
        <v>0</v>
      </c>
      <c r="BP114" s="28">
        <f t="shared" si="139"/>
        <v>0</v>
      </c>
      <c r="BQ114" s="28">
        <f t="shared" si="139"/>
        <v>0</v>
      </c>
      <c r="BR114" s="28">
        <f t="shared" si="139"/>
        <v>0</v>
      </c>
      <c r="BS114" s="28">
        <f t="shared" si="139"/>
        <v>0</v>
      </c>
      <c r="BT114" s="28">
        <f t="shared" si="139"/>
        <v>0</v>
      </c>
      <c r="BU114" s="28">
        <f>COUNTIF(BB5,"=2")+COUNTIF(BB16,"=2")+COUNTIF(BB27,"=2")+COUNTIF(BB38,"=2")+COUNTIF(BB49,"=2")+COUNTIF(BB60,"=2")+COUNTIF(BB71,"=2")+COUNTIF(BB82,"=2")+COUNTIF(BB93,"=2")</f>
        <v>0</v>
      </c>
      <c r="BV114" s="28">
        <f t="shared" ref="BV114:CP114" si="140">COUNTIF(BX5,"=2")+COUNTIF(BX16,"=2")+COUNTIF(BX27,"=2")+COUNTIF(BX38,"=2")+COUNTIF(BX49,"=2")+COUNTIF(BX60,"=2")+COUNTIF(BX71,"=2")+COUNTIF(BX82,"=2")+COUNTIF(BX93,"=2")</f>
        <v>0</v>
      </c>
      <c r="BW114" s="28">
        <f t="shared" si="140"/>
        <v>0</v>
      </c>
      <c r="BX114" s="28">
        <f t="shared" si="140"/>
        <v>0</v>
      </c>
      <c r="BY114" s="28">
        <f t="shared" si="140"/>
        <v>0</v>
      </c>
      <c r="BZ114" s="28">
        <f t="shared" si="140"/>
        <v>0</v>
      </c>
      <c r="CA114" s="28">
        <f t="shared" si="140"/>
        <v>0</v>
      </c>
      <c r="CB114" s="28">
        <f t="shared" si="140"/>
        <v>0</v>
      </c>
      <c r="CC114" s="28">
        <f t="shared" si="140"/>
        <v>0</v>
      </c>
      <c r="CD114" s="28">
        <f t="shared" si="140"/>
        <v>0</v>
      </c>
      <c r="CE114" s="28">
        <f t="shared" si="140"/>
        <v>0</v>
      </c>
      <c r="CF114" s="28">
        <f t="shared" si="140"/>
        <v>0</v>
      </c>
      <c r="CG114" s="28">
        <f t="shared" si="140"/>
        <v>0</v>
      </c>
      <c r="CH114" s="28">
        <f t="shared" si="140"/>
        <v>0</v>
      </c>
      <c r="CI114" s="28">
        <f t="shared" si="140"/>
        <v>0</v>
      </c>
      <c r="CJ114" s="28">
        <f t="shared" si="140"/>
        <v>0</v>
      </c>
      <c r="CK114" s="28">
        <f t="shared" si="140"/>
        <v>0</v>
      </c>
      <c r="CL114" s="28">
        <f t="shared" si="140"/>
        <v>0</v>
      </c>
      <c r="CM114" s="28">
        <f t="shared" si="140"/>
        <v>0</v>
      </c>
      <c r="CN114" s="28">
        <f t="shared" si="140"/>
        <v>0</v>
      </c>
      <c r="CO114" s="28">
        <f t="shared" si="140"/>
        <v>0</v>
      </c>
      <c r="CP114" s="28">
        <f t="shared" si="140"/>
        <v>0</v>
      </c>
      <c r="CQ114" s="28" t="str">
        <f t="shared" ref="CQ114:CR114" si="141">COUNTIF(#REF!,"=2")+COUNTIF(#REF!,"=2")+COUNTIF(#REF!,"=2")+COUNTIF(#REF!,"=2")+COUNTIF(#REF!,"=2")+COUNTIF(#REF!,"=2")+COUNTIF(#REF!,"=2")+COUNTIF(#REF!,"=2")+COUNTIF(#REF!,"=2")</f>
        <v>#REF!</v>
      </c>
      <c r="CR114" s="28" t="str">
        <f t="shared" si="141"/>
        <v>#REF!</v>
      </c>
      <c r="CS114" s="28">
        <f t="shared" ref="CS114:IQ114" si="142">COUNTIF(CS5,"=2")+COUNTIF(CS16,"=2")+COUNTIF(CS27,"=2")+COUNTIF(CS38,"=2")+COUNTIF(CS49,"=2")+COUNTIF(CS60,"=2")+COUNTIF(CS71,"=2")+COUNTIF(CS82,"=2")+COUNTIF(CS93,"=2")</f>
        <v>0</v>
      </c>
      <c r="CT114" s="28">
        <f t="shared" si="142"/>
        <v>0</v>
      </c>
      <c r="CU114" s="28">
        <f t="shared" si="142"/>
        <v>0</v>
      </c>
      <c r="CV114" s="28">
        <f t="shared" si="142"/>
        <v>0</v>
      </c>
      <c r="CW114" s="28">
        <f t="shared" si="142"/>
        <v>0</v>
      </c>
      <c r="CX114" s="28">
        <f t="shared" si="142"/>
        <v>0</v>
      </c>
      <c r="CY114" s="28">
        <f t="shared" si="142"/>
        <v>0</v>
      </c>
      <c r="CZ114" s="28">
        <f t="shared" si="142"/>
        <v>0</v>
      </c>
      <c r="DA114" s="28">
        <f t="shared" si="142"/>
        <v>0</v>
      </c>
      <c r="DB114" s="28">
        <f t="shared" si="142"/>
        <v>0</v>
      </c>
      <c r="DC114" s="28">
        <f t="shared" si="142"/>
        <v>0</v>
      </c>
      <c r="DD114" s="28">
        <f t="shared" si="142"/>
        <v>0</v>
      </c>
      <c r="DE114" s="28">
        <f t="shared" si="142"/>
        <v>0</v>
      </c>
      <c r="DF114" s="28">
        <f t="shared" si="142"/>
        <v>0</v>
      </c>
      <c r="DG114" s="28">
        <f t="shared" si="142"/>
        <v>0</v>
      </c>
      <c r="DH114" s="28">
        <f t="shared" si="142"/>
        <v>0</v>
      </c>
      <c r="DI114" s="28">
        <f t="shared" si="142"/>
        <v>0</v>
      </c>
      <c r="DJ114" s="28">
        <f t="shared" si="142"/>
        <v>0</v>
      </c>
      <c r="DK114" s="28">
        <f t="shared" si="142"/>
        <v>0</v>
      </c>
      <c r="DL114" s="28">
        <f t="shared" si="142"/>
        <v>0</v>
      </c>
      <c r="DM114" s="28">
        <f t="shared" si="142"/>
        <v>0</v>
      </c>
      <c r="DN114" s="28">
        <f t="shared" si="142"/>
        <v>0</v>
      </c>
      <c r="DO114" s="28">
        <f t="shared" si="142"/>
        <v>0</v>
      </c>
      <c r="DP114" s="28">
        <f t="shared" si="142"/>
        <v>0</v>
      </c>
      <c r="DQ114" s="28">
        <f t="shared" si="142"/>
        <v>0</v>
      </c>
      <c r="DR114" s="28">
        <f t="shared" si="142"/>
        <v>0</v>
      </c>
      <c r="DS114" s="28">
        <f t="shared" si="142"/>
        <v>0</v>
      </c>
      <c r="DT114" s="28">
        <f t="shared" si="142"/>
        <v>0</v>
      </c>
      <c r="DU114" s="28">
        <f t="shared" si="142"/>
        <v>0</v>
      </c>
      <c r="DV114" s="28">
        <f t="shared" si="142"/>
        <v>0</v>
      </c>
      <c r="DW114" s="28">
        <f t="shared" si="142"/>
        <v>0</v>
      </c>
      <c r="DX114" s="28">
        <f t="shared" si="142"/>
        <v>0</v>
      </c>
      <c r="DY114" s="28">
        <f t="shared" si="142"/>
        <v>0</v>
      </c>
      <c r="DZ114" s="28">
        <f t="shared" si="142"/>
        <v>0</v>
      </c>
      <c r="EA114" s="28">
        <f t="shared" si="142"/>
        <v>0</v>
      </c>
      <c r="EB114" s="28">
        <f t="shared" si="142"/>
        <v>0</v>
      </c>
      <c r="EC114" s="28">
        <f t="shared" si="142"/>
        <v>0</v>
      </c>
      <c r="ED114" s="28">
        <f t="shared" si="142"/>
        <v>0</v>
      </c>
      <c r="EE114" s="28">
        <f t="shared" si="142"/>
        <v>0</v>
      </c>
      <c r="EF114" s="28">
        <f t="shared" si="142"/>
        <v>0</v>
      </c>
      <c r="EG114" s="28">
        <f t="shared" si="142"/>
        <v>0</v>
      </c>
      <c r="EH114" s="28">
        <f t="shared" si="142"/>
        <v>0</v>
      </c>
      <c r="EI114" s="28">
        <f t="shared" si="142"/>
        <v>0</v>
      </c>
      <c r="EJ114" s="28">
        <f t="shared" si="142"/>
        <v>0</v>
      </c>
      <c r="EK114" s="28">
        <f t="shared" si="142"/>
        <v>0</v>
      </c>
      <c r="EL114" s="28">
        <f t="shared" si="142"/>
        <v>0</v>
      </c>
      <c r="EM114" s="28">
        <f t="shared" si="142"/>
        <v>0</v>
      </c>
      <c r="EN114" s="28">
        <f t="shared" si="142"/>
        <v>0</v>
      </c>
      <c r="EO114" s="28">
        <f t="shared" si="142"/>
        <v>0</v>
      </c>
      <c r="EP114" s="28">
        <f t="shared" si="142"/>
        <v>0</v>
      </c>
      <c r="EQ114" s="28">
        <f t="shared" si="142"/>
        <v>0</v>
      </c>
      <c r="ER114" s="28">
        <f t="shared" si="142"/>
        <v>0</v>
      </c>
      <c r="ES114" s="28">
        <f t="shared" si="142"/>
        <v>0</v>
      </c>
      <c r="ET114" s="28">
        <f t="shared" si="142"/>
        <v>0</v>
      </c>
      <c r="EU114" s="28">
        <f t="shared" si="142"/>
        <v>0</v>
      </c>
      <c r="EV114" s="28">
        <f t="shared" si="142"/>
        <v>0</v>
      </c>
      <c r="EW114" s="28">
        <f t="shared" si="142"/>
        <v>0</v>
      </c>
      <c r="EX114" s="28">
        <f t="shared" si="142"/>
        <v>0</v>
      </c>
      <c r="EY114" s="28">
        <f t="shared" si="142"/>
        <v>0</v>
      </c>
      <c r="EZ114" s="28">
        <f t="shared" si="142"/>
        <v>0</v>
      </c>
      <c r="FA114" s="28">
        <f t="shared" si="142"/>
        <v>0</v>
      </c>
      <c r="FB114" s="28">
        <f t="shared" si="142"/>
        <v>0</v>
      </c>
      <c r="FC114" s="28">
        <f t="shared" si="142"/>
        <v>0</v>
      </c>
      <c r="FD114" s="28">
        <f t="shared" si="142"/>
        <v>0</v>
      </c>
      <c r="FE114" s="28">
        <f t="shared" si="142"/>
        <v>0</v>
      </c>
      <c r="FF114" s="28">
        <f t="shared" si="142"/>
        <v>0</v>
      </c>
      <c r="FG114" s="28">
        <f t="shared" si="142"/>
        <v>0</v>
      </c>
      <c r="FH114" s="28">
        <f t="shared" si="142"/>
        <v>0</v>
      </c>
      <c r="FI114" s="28">
        <f t="shared" si="142"/>
        <v>0</v>
      </c>
      <c r="FJ114" s="28">
        <f t="shared" si="142"/>
        <v>0</v>
      </c>
      <c r="FK114" s="28">
        <f t="shared" si="142"/>
        <v>0</v>
      </c>
      <c r="FL114" s="28">
        <f t="shared" si="142"/>
        <v>0</v>
      </c>
      <c r="FM114" s="28">
        <f t="shared" si="142"/>
        <v>0</v>
      </c>
      <c r="FN114" s="28">
        <f t="shared" si="142"/>
        <v>0</v>
      </c>
      <c r="FO114" s="28">
        <f t="shared" si="142"/>
        <v>0</v>
      </c>
      <c r="FP114" s="28">
        <f t="shared" si="142"/>
        <v>0</v>
      </c>
      <c r="FQ114" s="28">
        <f t="shared" si="142"/>
        <v>0</v>
      </c>
      <c r="FR114" s="28">
        <f t="shared" si="142"/>
        <v>0</v>
      </c>
      <c r="FS114" s="28">
        <f t="shared" si="142"/>
        <v>0</v>
      </c>
      <c r="FT114" s="28">
        <f t="shared" si="142"/>
        <v>0</v>
      </c>
      <c r="FU114" s="28">
        <f t="shared" si="142"/>
        <v>0</v>
      </c>
      <c r="FV114" s="28">
        <f t="shared" si="142"/>
        <v>0</v>
      </c>
      <c r="FW114" s="28">
        <f t="shared" si="142"/>
        <v>0</v>
      </c>
      <c r="FX114" s="28">
        <f t="shared" si="142"/>
        <v>0</v>
      </c>
      <c r="FY114" s="28">
        <f t="shared" si="142"/>
        <v>0</v>
      </c>
      <c r="FZ114" s="28">
        <f t="shared" si="142"/>
        <v>0</v>
      </c>
      <c r="GA114" s="28">
        <f t="shared" si="142"/>
        <v>0</v>
      </c>
      <c r="GB114" s="28">
        <f t="shared" si="142"/>
        <v>0</v>
      </c>
      <c r="GC114" s="28">
        <f t="shared" si="142"/>
        <v>0</v>
      </c>
      <c r="GD114" s="28">
        <f t="shared" si="142"/>
        <v>0</v>
      </c>
      <c r="GE114" s="28">
        <f t="shared" si="142"/>
        <v>0</v>
      </c>
      <c r="GF114" s="28">
        <f t="shared" si="142"/>
        <v>0</v>
      </c>
      <c r="GG114" s="28">
        <f t="shared" si="142"/>
        <v>0</v>
      </c>
      <c r="GH114" s="28">
        <f t="shared" si="142"/>
        <v>0</v>
      </c>
      <c r="GI114" s="28">
        <f t="shared" si="142"/>
        <v>0</v>
      </c>
      <c r="GJ114" s="28">
        <f t="shared" si="142"/>
        <v>0</v>
      </c>
      <c r="GK114" s="28">
        <f t="shared" si="142"/>
        <v>0</v>
      </c>
      <c r="GL114" s="28">
        <f t="shared" si="142"/>
        <v>0</v>
      </c>
      <c r="GM114" s="28">
        <f t="shared" si="142"/>
        <v>0</v>
      </c>
      <c r="GN114" s="28">
        <f t="shared" si="142"/>
        <v>0</v>
      </c>
      <c r="GO114" s="28">
        <f t="shared" si="142"/>
        <v>0</v>
      </c>
      <c r="GP114" s="28">
        <f t="shared" si="142"/>
        <v>0</v>
      </c>
      <c r="GQ114" s="28">
        <f t="shared" si="142"/>
        <v>0</v>
      </c>
      <c r="GR114" s="28">
        <f t="shared" si="142"/>
        <v>0</v>
      </c>
      <c r="GS114" s="28">
        <f t="shared" si="142"/>
        <v>0</v>
      </c>
      <c r="GT114" s="28">
        <f t="shared" si="142"/>
        <v>0</v>
      </c>
      <c r="GU114" s="28">
        <f t="shared" si="142"/>
        <v>0</v>
      </c>
      <c r="GV114" s="28">
        <f t="shared" si="142"/>
        <v>0</v>
      </c>
      <c r="GW114" s="28">
        <f t="shared" si="142"/>
        <v>0</v>
      </c>
      <c r="GX114" s="28">
        <f t="shared" si="142"/>
        <v>0</v>
      </c>
      <c r="GY114" s="28">
        <f t="shared" si="142"/>
        <v>0</v>
      </c>
      <c r="GZ114" s="28">
        <f t="shared" si="142"/>
        <v>0</v>
      </c>
      <c r="HA114" s="28">
        <f t="shared" si="142"/>
        <v>0</v>
      </c>
      <c r="HB114" s="28">
        <f t="shared" si="142"/>
        <v>0</v>
      </c>
      <c r="HC114" s="28">
        <f t="shared" si="142"/>
        <v>0</v>
      </c>
      <c r="HD114" s="28">
        <f t="shared" si="142"/>
        <v>0</v>
      </c>
      <c r="HE114" s="28">
        <f t="shared" si="142"/>
        <v>0</v>
      </c>
      <c r="HF114" s="28">
        <f t="shared" si="142"/>
        <v>0</v>
      </c>
      <c r="HG114" s="28">
        <f t="shared" si="142"/>
        <v>0</v>
      </c>
      <c r="HH114" s="28">
        <f t="shared" si="142"/>
        <v>0</v>
      </c>
      <c r="HI114" s="28">
        <f t="shared" si="142"/>
        <v>0</v>
      </c>
      <c r="HJ114" s="28">
        <f t="shared" si="142"/>
        <v>0</v>
      </c>
      <c r="HK114" s="28">
        <f t="shared" si="142"/>
        <v>0</v>
      </c>
      <c r="HL114" s="28">
        <f t="shared" si="142"/>
        <v>0</v>
      </c>
      <c r="HM114" s="28">
        <f t="shared" si="142"/>
        <v>0</v>
      </c>
      <c r="HN114" s="28">
        <f t="shared" si="142"/>
        <v>0</v>
      </c>
      <c r="HO114" s="28">
        <f t="shared" si="142"/>
        <v>0</v>
      </c>
      <c r="HP114" s="28">
        <f t="shared" si="142"/>
        <v>0</v>
      </c>
      <c r="HQ114" s="28">
        <f t="shared" si="142"/>
        <v>0</v>
      </c>
      <c r="HR114" s="28">
        <f t="shared" si="142"/>
        <v>0</v>
      </c>
      <c r="HS114" s="28">
        <f t="shared" si="142"/>
        <v>0</v>
      </c>
      <c r="HT114" s="28">
        <f t="shared" si="142"/>
        <v>0</v>
      </c>
      <c r="HU114" s="28">
        <f t="shared" si="142"/>
        <v>0</v>
      </c>
      <c r="HV114" s="28">
        <f t="shared" si="142"/>
        <v>0</v>
      </c>
      <c r="HW114" s="28">
        <f t="shared" si="142"/>
        <v>0</v>
      </c>
      <c r="HX114" s="28">
        <f t="shared" si="142"/>
        <v>0</v>
      </c>
      <c r="HY114" s="28">
        <f t="shared" si="142"/>
        <v>0</v>
      </c>
      <c r="HZ114" s="28">
        <f t="shared" si="142"/>
        <v>0</v>
      </c>
      <c r="IA114" s="28">
        <f t="shared" si="142"/>
        <v>0</v>
      </c>
      <c r="IB114" s="28">
        <f t="shared" si="142"/>
        <v>0</v>
      </c>
      <c r="IC114" s="28">
        <f t="shared" si="142"/>
        <v>0</v>
      </c>
      <c r="ID114" s="28">
        <f t="shared" si="142"/>
        <v>0</v>
      </c>
      <c r="IE114" s="28">
        <f t="shared" si="142"/>
        <v>0</v>
      </c>
      <c r="IF114" s="28">
        <f t="shared" si="142"/>
        <v>0</v>
      </c>
      <c r="IG114" s="28">
        <f t="shared" si="142"/>
        <v>0</v>
      </c>
      <c r="IH114" s="28">
        <f t="shared" si="142"/>
        <v>0</v>
      </c>
      <c r="II114" s="28">
        <f t="shared" si="142"/>
        <v>0</v>
      </c>
      <c r="IJ114" s="28">
        <f t="shared" si="142"/>
        <v>0</v>
      </c>
      <c r="IK114" s="28">
        <f t="shared" si="142"/>
        <v>0</v>
      </c>
      <c r="IL114" s="28">
        <f t="shared" si="142"/>
        <v>0</v>
      </c>
      <c r="IM114" s="28">
        <f t="shared" si="142"/>
        <v>0</v>
      </c>
      <c r="IN114" s="28">
        <f t="shared" si="142"/>
        <v>0</v>
      </c>
      <c r="IO114" s="28">
        <f t="shared" si="142"/>
        <v>0</v>
      </c>
      <c r="IP114" s="28">
        <f t="shared" si="142"/>
        <v>0</v>
      </c>
      <c r="IQ114" s="28">
        <f t="shared" si="142"/>
        <v>0</v>
      </c>
      <c r="IR114" s="28"/>
      <c r="IS114" s="28"/>
      <c r="IT114" s="28"/>
      <c r="IU114" s="28"/>
      <c r="IV114" s="28"/>
    </row>
    <row r="115" ht="11.25" customHeight="1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29"/>
      <c r="BX115" s="29"/>
      <c r="BY115" s="29"/>
      <c r="BZ115" s="29"/>
      <c r="CA115" s="29"/>
      <c r="CB115" s="29"/>
      <c r="CC115" s="29"/>
      <c r="CD115" s="29"/>
      <c r="CE115" s="29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30"/>
      <c r="CY115" s="30"/>
      <c r="CZ115" s="30"/>
      <c r="DA115" s="30"/>
      <c r="DB115" s="30"/>
      <c r="DC115" s="30"/>
      <c r="DD115" s="30"/>
      <c r="DE115" s="30"/>
      <c r="DF115" s="30"/>
      <c r="DG115" s="30"/>
      <c r="DH115" s="30"/>
      <c r="DI115" s="30"/>
      <c r="DJ115" s="30"/>
      <c r="DK115" s="30"/>
      <c r="DL115" s="30"/>
      <c r="DM115" s="30"/>
      <c r="DN115" s="30"/>
      <c r="DO115" s="30"/>
      <c r="DP115" s="30"/>
      <c r="DQ115" s="30"/>
      <c r="DR115" s="30"/>
      <c r="DS115" s="30"/>
      <c r="DT115" s="30"/>
      <c r="DU115" s="30"/>
      <c r="DV115" s="30"/>
      <c r="DW115" s="30"/>
      <c r="DX115" s="30"/>
      <c r="DY115" s="30"/>
      <c r="DZ115" s="30"/>
      <c r="EA115" s="30"/>
      <c r="EB115" s="30"/>
      <c r="EC115" s="30"/>
      <c r="ED115" s="30"/>
      <c r="EE115" s="30"/>
      <c r="EF115" s="30"/>
      <c r="EG115" s="30"/>
      <c r="EH115" s="30"/>
      <c r="EI115" s="30"/>
      <c r="EJ115" s="30"/>
      <c r="EK115" s="30"/>
      <c r="EL115" s="30"/>
      <c r="EM115" s="30"/>
      <c r="EN115" s="30"/>
      <c r="EO115" s="30"/>
      <c r="EP115" s="30"/>
      <c r="EQ115" s="30"/>
      <c r="ER115" s="30"/>
      <c r="ES115" s="30"/>
      <c r="ET115" s="30"/>
      <c r="EU115" s="30"/>
      <c r="EV115" s="30"/>
      <c r="EW115" s="30"/>
      <c r="EX115" s="30"/>
      <c r="EY115" s="30"/>
      <c r="EZ115" s="30"/>
      <c r="FA115" s="30"/>
      <c r="FB115" s="30"/>
      <c r="FC115" s="30"/>
      <c r="FD115" s="30"/>
      <c r="FE115" s="30"/>
      <c r="FF115" s="30"/>
      <c r="FG115" s="30"/>
      <c r="FH115" s="30"/>
      <c r="FI115" s="30"/>
      <c r="FJ115" s="30"/>
      <c r="FK115" s="30"/>
      <c r="FL115" s="30"/>
      <c r="FM115" s="30"/>
      <c r="FN115" s="30"/>
      <c r="FO115" s="30"/>
      <c r="FP115" s="30"/>
      <c r="FQ115" s="30"/>
      <c r="FR115" s="30"/>
      <c r="FS115" s="30"/>
      <c r="FT115" s="30"/>
      <c r="FU115" s="30"/>
      <c r="FV115" s="30"/>
      <c r="FW115" s="30"/>
      <c r="FX115" s="30"/>
      <c r="FY115" s="30"/>
      <c r="FZ115" s="30"/>
      <c r="GA115" s="30"/>
      <c r="GB115" s="30"/>
      <c r="GC115" s="30"/>
      <c r="GD115" s="30"/>
      <c r="GE115" s="30"/>
      <c r="GF115" s="30"/>
      <c r="GG115" s="30"/>
      <c r="GH115" s="30"/>
      <c r="GI115" s="30"/>
      <c r="GJ115" s="30"/>
      <c r="GK115" s="30"/>
      <c r="GL115" s="30"/>
      <c r="GM115" s="30"/>
      <c r="GN115" s="30"/>
      <c r="GO115" s="30"/>
      <c r="GP115" s="30"/>
      <c r="GQ115" s="30"/>
      <c r="GR115" s="30"/>
      <c r="GS115" s="30"/>
      <c r="GT115" s="30"/>
      <c r="GU115" s="30"/>
      <c r="GV115" s="30"/>
      <c r="GW115" s="30"/>
      <c r="GX115" s="30"/>
      <c r="GY115" s="30"/>
      <c r="GZ115" s="30"/>
      <c r="HA115" s="30"/>
      <c r="HB115" s="30"/>
      <c r="HC115" s="30"/>
      <c r="HD115" s="30"/>
      <c r="HE115" s="30"/>
      <c r="HF115" s="30"/>
      <c r="HG115" s="30"/>
      <c r="HH115" s="30"/>
      <c r="HI115" s="30"/>
      <c r="HJ115" s="30"/>
      <c r="HK115" s="30"/>
      <c r="HL115" s="30"/>
      <c r="HM115" s="30"/>
      <c r="HN115" s="30"/>
      <c r="HO115" s="30"/>
      <c r="HP115" s="30"/>
      <c r="HQ115" s="30"/>
      <c r="HR115" s="30"/>
      <c r="HS115" s="30"/>
      <c r="HT115" s="30"/>
      <c r="HU115" s="30"/>
      <c r="HV115" s="30"/>
      <c r="HW115" s="30"/>
      <c r="HX115" s="30"/>
      <c r="HY115" s="30"/>
      <c r="HZ115" s="30"/>
      <c r="IA115" s="30"/>
      <c r="IB115" s="30"/>
      <c r="IC115" s="30"/>
      <c r="ID115" s="30"/>
      <c r="IE115" s="30"/>
      <c r="IF115" s="30"/>
      <c r="IG115" s="30"/>
      <c r="IH115" s="30"/>
      <c r="II115" s="30"/>
      <c r="IJ115" s="30"/>
      <c r="IK115" s="30"/>
      <c r="IL115" s="30"/>
      <c r="IM115" s="30"/>
      <c r="IN115" s="30"/>
      <c r="IO115" s="30"/>
      <c r="IP115" s="30"/>
      <c r="IQ115" s="30"/>
      <c r="IR115" s="31"/>
      <c r="IS115" s="31"/>
      <c r="IT115" s="31"/>
      <c r="IU115" s="31"/>
      <c r="IV115" s="31"/>
    </row>
    <row r="116" ht="11.25" customHeight="1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30"/>
      <c r="CY116" s="30"/>
      <c r="CZ116" s="30"/>
      <c r="DA116" s="30"/>
      <c r="DB116" s="30"/>
      <c r="DC116" s="30"/>
      <c r="DD116" s="30"/>
      <c r="DE116" s="30"/>
      <c r="DF116" s="30"/>
      <c r="DG116" s="30"/>
      <c r="DH116" s="30"/>
      <c r="DI116" s="30"/>
      <c r="DJ116" s="30"/>
      <c r="DK116" s="30"/>
      <c r="DL116" s="30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/>
      <c r="DW116" s="30"/>
      <c r="DX116" s="30"/>
      <c r="DY116" s="30"/>
      <c r="DZ116" s="30"/>
      <c r="EA116" s="30"/>
      <c r="EB116" s="30"/>
      <c r="EC116" s="30"/>
      <c r="ED116" s="30"/>
      <c r="EE116" s="30"/>
      <c r="EF116" s="30"/>
      <c r="EG116" s="30"/>
      <c r="EH116" s="30"/>
      <c r="EI116" s="30"/>
      <c r="EJ116" s="30"/>
      <c r="EK116" s="30"/>
      <c r="EL116" s="30"/>
      <c r="EM116" s="30"/>
      <c r="EN116" s="30"/>
      <c r="EO116" s="30"/>
      <c r="EP116" s="30"/>
      <c r="EQ116" s="30"/>
      <c r="ER116" s="30"/>
      <c r="ES116" s="30"/>
      <c r="ET116" s="30"/>
      <c r="EU116" s="30"/>
      <c r="EV116" s="30"/>
      <c r="EW116" s="30"/>
      <c r="EX116" s="30"/>
      <c r="EY116" s="30"/>
      <c r="EZ116" s="30"/>
      <c r="FA116" s="30"/>
      <c r="FB116" s="30"/>
      <c r="FC116" s="30"/>
      <c r="FD116" s="30"/>
      <c r="FE116" s="30"/>
      <c r="FF116" s="30"/>
      <c r="FG116" s="30"/>
      <c r="FH116" s="30"/>
      <c r="FI116" s="30"/>
      <c r="FJ116" s="30"/>
      <c r="FK116" s="30"/>
      <c r="FL116" s="30"/>
      <c r="FM116" s="30"/>
      <c r="FN116" s="30"/>
      <c r="FO116" s="30"/>
      <c r="FP116" s="30"/>
      <c r="FQ116" s="30"/>
      <c r="FR116" s="30"/>
      <c r="FS116" s="30"/>
      <c r="FT116" s="30"/>
      <c r="FU116" s="30"/>
      <c r="FV116" s="30"/>
      <c r="FW116" s="30"/>
      <c r="FX116" s="30"/>
      <c r="FY116" s="30"/>
      <c r="FZ116" s="30"/>
      <c r="GA116" s="30"/>
      <c r="GB116" s="30"/>
      <c r="GC116" s="30"/>
      <c r="GD116" s="30"/>
      <c r="GE116" s="30"/>
      <c r="GF116" s="30"/>
      <c r="GG116" s="30"/>
      <c r="GH116" s="30"/>
      <c r="GI116" s="30"/>
      <c r="GJ116" s="30"/>
      <c r="GK116" s="30"/>
      <c r="GL116" s="30"/>
      <c r="GM116" s="30"/>
      <c r="GN116" s="30"/>
      <c r="GO116" s="30"/>
      <c r="GP116" s="30"/>
      <c r="GQ116" s="30"/>
      <c r="GR116" s="30"/>
      <c r="GS116" s="30"/>
      <c r="GT116" s="30"/>
      <c r="GU116" s="30"/>
      <c r="GV116" s="30"/>
      <c r="GW116" s="30"/>
      <c r="GX116" s="30"/>
      <c r="GY116" s="30"/>
      <c r="GZ116" s="30"/>
      <c r="HA116" s="30"/>
      <c r="HB116" s="30"/>
      <c r="HC116" s="30"/>
      <c r="HD116" s="30"/>
      <c r="HE116" s="30"/>
      <c r="HF116" s="30"/>
      <c r="HG116" s="30"/>
      <c r="HH116" s="30"/>
      <c r="HI116" s="30"/>
      <c r="HJ116" s="30"/>
      <c r="HK116" s="30"/>
      <c r="HL116" s="30"/>
      <c r="HM116" s="30"/>
      <c r="HN116" s="30"/>
      <c r="HO116" s="30"/>
      <c r="HP116" s="30"/>
      <c r="HQ116" s="30"/>
      <c r="HR116" s="30"/>
      <c r="HS116" s="30"/>
      <c r="HT116" s="30"/>
      <c r="HU116" s="30"/>
      <c r="HV116" s="30"/>
      <c r="HW116" s="30"/>
      <c r="HX116" s="30"/>
      <c r="HY116" s="30"/>
      <c r="HZ116" s="30"/>
      <c r="IA116" s="30"/>
      <c r="IB116" s="30"/>
      <c r="IC116" s="30"/>
      <c r="ID116" s="30"/>
      <c r="IE116" s="30"/>
      <c r="IF116" s="30"/>
      <c r="IG116" s="30"/>
      <c r="IH116" s="30"/>
      <c r="II116" s="30"/>
      <c r="IJ116" s="30"/>
      <c r="IK116" s="30"/>
      <c r="IL116" s="30"/>
      <c r="IM116" s="30"/>
      <c r="IN116" s="30"/>
      <c r="IO116" s="30"/>
      <c r="IP116" s="30"/>
      <c r="IQ116" s="30"/>
      <c r="IR116" s="31"/>
      <c r="IS116" s="31"/>
      <c r="IT116" s="31"/>
      <c r="IU116" s="31"/>
      <c r="IV116" s="31"/>
    </row>
    <row r="117" ht="11.25" customHeight="1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30"/>
      <c r="CY117" s="30"/>
      <c r="CZ117" s="30"/>
      <c r="DA117" s="30"/>
      <c r="DB117" s="30"/>
      <c r="DC117" s="30"/>
      <c r="DD117" s="30"/>
      <c r="DE117" s="30"/>
      <c r="DF117" s="30"/>
      <c r="DG117" s="30"/>
      <c r="DH117" s="30"/>
      <c r="DI117" s="30"/>
      <c r="DJ117" s="30"/>
      <c r="DK117" s="30"/>
      <c r="DL117" s="30"/>
      <c r="DM117" s="30"/>
      <c r="DN117" s="30"/>
      <c r="DO117" s="30"/>
      <c r="DP117" s="30"/>
      <c r="DQ117" s="30"/>
      <c r="DR117" s="30"/>
      <c r="DS117" s="30"/>
      <c r="DT117" s="30"/>
      <c r="DU117" s="30"/>
      <c r="DV117" s="30"/>
      <c r="DW117" s="30"/>
      <c r="DX117" s="30"/>
      <c r="DY117" s="30"/>
      <c r="DZ117" s="30"/>
      <c r="EA117" s="30"/>
      <c r="EB117" s="30"/>
      <c r="EC117" s="30"/>
      <c r="ED117" s="30"/>
      <c r="EE117" s="30"/>
      <c r="EF117" s="30"/>
      <c r="EG117" s="30"/>
      <c r="EH117" s="30"/>
      <c r="EI117" s="30"/>
      <c r="EJ117" s="30"/>
      <c r="EK117" s="30"/>
      <c r="EL117" s="30"/>
      <c r="EM117" s="30"/>
      <c r="EN117" s="30"/>
      <c r="EO117" s="30"/>
      <c r="EP117" s="30"/>
      <c r="EQ117" s="30"/>
      <c r="ER117" s="30"/>
      <c r="ES117" s="30"/>
      <c r="ET117" s="30"/>
      <c r="EU117" s="30"/>
      <c r="EV117" s="30"/>
      <c r="EW117" s="30"/>
      <c r="EX117" s="30"/>
      <c r="EY117" s="30"/>
      <c r="EZ117" s="30"/>
      <c r="FA117" s="30"/>
      <c r="FB117" s="30"/>
      <c r="FC117" s="30"/>
      <c r="FD117" s="30"/>
      <c r="FE117" s="30"/>
      <c r="FF117" s="30"/>
      <c r="FG117" s="30"/>
      <c r="FH117" s="30"/>
      <c r="FI117" s="30"/>
      <c r="FJ117" s="30"/>
      <c r="FK117" s="30"/>
      <c r="FL117" s="30"/>
      <c r="FM117" s="30"/>
      <c r="FN117" s="30"/>
      <c r="FO117" s="30"/>
      <c r="FP117" s="30"/>
      <c r="FQ117" s="30"/>
      <c r="FR117" s="30"/>
      <c r="FS117" s="30"/>
      <c r="FT117" s="30"/>
      <c r="FU117" s="30"/>
      <c r="FV117" s="30"/>
      <c r="FW117" s="30"/>
      <c r="FX117" s="30"/>
      <c r="FY117" s="30"/>
      <c r="FZ117" s="30"/>
      <c r="GA117" s="30"/>
      <c r="GB117" s="30"/>
      <c r="GC117" s="30"/>
      <c r="GD117" s="30"/>
      <c r="GE117" s="30"/>
      <c r="GF117" s="30"/>
      <c r="GG117" s="30"/>
      <c r="GH117" s="30"/>
      <c r="GI117" s="30"/>
      <c r="GJ117" s="30"/>
      <c r="GK117" s="30"/>
      <c r="GL117" s="30"/>
      <c r="GM117" s="30"/>
      <c r="GN117" s="30"/>
      <c r="GO117" s="30"/>
      <c r="GP117" s="30"/>
      <c r="GQ117" s="30"/>
      <c r="GR117" s="30"/>
      <c r="GS117" s="30"/>
      <c r="GT117" s="30"/>
      <c r="GU117" s="30"/>
      <c r="GV117" s="30"/>
      <c r="GW117" s="30"/>
      <c r="GX117" s="30"/>
      <c r="GY117" s="30"/>
      <c r="GZ117" s="30"/>
      <c r="HA117" s="30"/>
      <c r="HB117" s="30"/>
      <c r="HC117" s="30"/>
      <c r="HD117" s="30"/>
      <c r="HE117" s="30"/>
      <c r="HF117" s="30"/>
      <c r="HG117" s="30"/>
      <c r="HH117" s="30"/>
      <c r="HI117" s="30"/>
      <c r="HJ117" s="30"/>
      <c r="HK117" s="30"/>
      <c r="HL117" s="30"/>
      <c r="HM117" s="30"/>
      <c r="HN117" s="30"/>
      <c r="HO117" s="30"/>
      <c r="HP117" s="30"/>
      <c r="HQ117" s="30"/>
      <c r="HR117" s="30"/>
      <c r="HS117" s="30"/>
      <c r="HT117" s="30"/>
      <c r="HU117" s="30"/>
      <c r="HV117" s="30"/>
      <c r="HW117" s="30"/>
      <c r="HX117" s="30"/>
      <c r="HY117" s="30"/>
      <c r="HZ117" s="30"/>
      <c r="IA117" s="30"/>
      <c r="IB117" s="30"/>
      <c r="IC117" s="30"/>
      <c r="ID117" s="30"/>
      <c r="IE117" s="30"/>
      <c r="IF117" s="30"/>
      <c r="IG117" s="30"/>
      <c r="IH117" s="30"/>
      <c r="II117" s="30"/>
      <c r="IJ117" s="30"/>
      <c r="IK117" s="30"/>
      <c r="IL117" s="30"/>
      <c r="IM117" s="30"/>
      <c r="IN117" s="30"/>
      <c r="IO117" s="30"/>
      <c r="IP117" s="30"/>
      <c r="IQ117" s="30"/>
      <c r="IR117" s="31"/>
      <c r="IS117" s="31"/>
      <c r="IT117" s="31"/>
      <c r="IU117" s="31"/>
      <c r="IV117" s="31"/>
    </row>
    <row r="118" ht="11.25" customHeight="1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29"/>
      <c r="BX118" s="29"/>
      <c r="BY118" s="29"/>
      <c r="BZ118" s="29"/>
      <c r="CA118" s="29"/>
      <c r="CB118" s="29"/>
      <c r="CC118" s="29"/>
      <c r="CD118" s="29"/>
      <c r="CE118" s="29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30"/>
      <c r="CY118" s="30"/>
      <c r="CZ118" s="30"/>
      <c r="DA118" s="30"/>
      <c r="DB118" s="30"/>
      <c r="DC118" s="30"/>
      <c r="DD118" s="30"/>
      <c r="DE118" s="30"/>
      <c r="DF118" s="30"/>
      <c r="DG118" s="30"/>
      <c r="DH118" s="30"/>
      <c r="DI118" s="30"/>
      <c r="DJ118" s="30"/>
      <c r="DK118" s="30"/>
      <c r="DL118" s="30"/>
      <c r="DM118" s="30"/>
      <c r="DN118" s="30"/>
      <c r="DO118" s="30"/>
      <c r="DP118" s="30"/>
      <c r="DQ118" s="30"/>
      <c r="DR118" s="30"/>
      <c r="DS118" s="30"/>
      <c r="DT118" s="30"/>
      <c r="DU118" s="30"/>
      <c r="DV118" s="30"/>
      <c r="DW118" s="30"/>
      <c r="DX118" s="30"/>
      <c r="DY118" s="30"/>
      <c r="DZ118" s="30"/>
      <c r="EA118" s="30"/>
      <c r="EB118" s="30"/>
      <c r="EC118" s="30"/>
      <c r="ED118" s="30"/>
      <c r="EE118" s="30"/>
      <c r="EF118" s="30"/>
      <c r="EG118" s="30"/>
      <c r="EH118" s="30"/>
      <c r="EI118" s="30"/>
      <c r="EJ118" s="30"/>
      <c r="EK118" s="30"/>
      <c r="EL118" s="30"/>
      <c r="EM118" s="30"/>
      <c r="EN118" s="30"/>
      <c r="EO118" s="30"/>
      <c r="EP118" s="30"/>
      <c r="EQ118" s="30"/>
      <c r="ER118" s="30"/>
      <c r="ES118" s="30"/>
      <c r="ET118" s="30"/>
      <c r="EU118" s="30"/>
      <c r="EV118" s="30"/>
      <c r="EW118" s="30"/>
      <c r="EX118" s="30"/>
      <c r="EY118" s="30"/>
      <c r="EZ118" s="30"/>
      <c r="FA118" s="30"/>
      <c r="FB118" s="30"/>
      <c r="FC118" s="30"/>
      <c r="FD118" s="30"/>
      <c r="FE118" s="30"/>
      <c r="FF118" s="30"/>
      <c r="FG118" s="30"/>
      <c r="FH118" s="30"/>
      <c r="FI118" s="30"/>
      <c r="FJ118" s="30"/>
      <c r="FK118" s="30"/>
      <c r="FL118" s="30"/>
      <c r="FM118" s="30"/>
      <c r="FN118" s="30"/>
      <c r="FO118" s="30"/>
      <c r="FP118" s="30"/>
      <c r="FQ118" s="30"/>
      <c r="FR118" s="30"/>
      <c r="FS118" s="30"/>
      <c r="FT118" s="30"/>
      <c r="FU118" s="30"/>
      <c r="FV118" s="30"/>
      <c r="FW118" s="30"/>
      <c r="FX118" s="30"/>
      <c r="FY118" s="30"/>
      <c r="FZ118" s="30"/>
      <c r="GA118" s="30"/>
      <c r="GB118" s="30"/>
      <c r="GC118" s="30"/>
      <c r="GD118" s="30"/>
      <c r="GE118" s="30"/>
      <c r="GF118" s="30"/>
      <c r="GG118" s="30"/>
      <c r="GH118" s="30"/>
      <c r="GI118" s="30"/>
      <c r="GJ118" s="30"/>
      <c r="GK118" s="30"/>
      <c r="GL118" s="30"/>
      <c r="GM118" s="30"/>
      <c r="GN118" s="30"/>
      <c r="GO118" s="30"/>
      <c r="GP118" s="30"/>
      <c r="GQ118" s="30"/>
      <c r="GR118" s="30"/>
      <c r="GS118" s="30"/>
      <c r="GT118" s="30"/>
      <c r="GU118" s="30"/>
      <c r="GV118" s="30"/>
      <c r="GW118" s="30"/>
      <c r="GX118" s="30"/>
      <c r="GY118" s="30"/>
      <c r="GZ118" s="30"/>
      <c r="HA118" s="30"/>
      <c r="HB118" s="30"/>
      <c r="HC118" s="30"/>
      <c r="HD118" s="30"/>
      <c r="HE118" s="30"/>
      <c r="HF118" s="30"/>
      <c r="HG118" s="30"/>
      <c r="HH118" s="30"/>
      <c r="HI118" s="30"/>
      <c r="HJ118" s="30"/>
      <c r="HK118" s="30"/>
      <c r="HL118" s="30"/>
      <c r="HM118" s="30"/>
      <c r="HN118" s="30"/>
      <c r="HO118" s="30"/>
      <c r="HP118" s="30"/>
      <c r="HQ118" s="30"/>
      <c r="HR118" s="30"/>
      <c r="HS118" s="30"/>
      <c r="HT118" s="30"/>
      <c r="HU118" s="30"/>
      <c r="HV118" s="30"/>
      <c r="HW118" s="30"/>
      <c r="HX118" s="30"/>
      <c r="HY118" s="30"/>
      <c r="HZ118" s="30"/>
      <c r="IA118" s="30"/>
      <c r="IB118" s="30"/>
      <c r="IC118" s="30"/>
      <c r="ID118" s="30"/>
      <c r="IE118" s="30"/>
      <c r="IF118" s="30"/>
      <c r="IG118" s="30"/>
      <c r="IH118" s="30"/>
      <c r="II118" s="30"/>
      <c r="IJ118" s="30"/>
      <c r="IK118" s="30"/>
      <c r="IL118" s="30"/>
      <c r="IM118" s="30"/>
      <c r="IN118" s="30"/>
      <c r="IO118" s="30"/>
      <c r="IP118" s="30"/>
      <c r="IQ118" s="30"/>
      <c r="IR118" s="31"/>
      <c r="IS118" s="31"/>
      <c r="IT118" s="31"/>
      <c r="IU118" s="31"/>
      <c r="IV118" s="31"/>
    </row>
    <row r="119" ht="11.25" customHeight="1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30"/>
      <c r="CY119" s="30"/>
      <c r="CZ119" s="30"/>
      <c r="DA119" s="30"/>
      <c r="DB119" s="30"/>
      <c r="DC119" s="30"/>
      <c r="DD119" s="30"/>
      <c r="DE119" s="30"/>
      <c r="DF119" s="30"/>
      <c r="DG119" s="30"/>
      <c r="DH119" s="30"/>
      <c r="DI119" s="30"/>
      <c r="DJ119" s="30"/>
      <c r="DK119" s="30"/>
      <c r="DL119" s="30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/>
      <c r="DW119" s="30"/>
      <c r="DX119" s="3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  <c r="EO119" s="30"/>
      <c r="EP119" s="30"/>
      <c r="EQ119" s="30"/>
      <c r="ER119" s="30"/>
      <c r="ES119" s="30"/>
      <c r="ET119" s="30"/>
      <c r="EU119" s="30"/>
      <c r="EV119" s="30"/>
      <c r="EW119" s="30"/>
      <c r="EX119" s="30"/>
      <c r="EY119" s="30"/>
      <c r="EZ119" s="30"/>
      <c r="FA119" s="30"/>
      <c r="FB119" s="30"/>
      <c r="FC119" s="30"/>
      <c r="FD119" s="30"/>
      <c r="FE119" s="30"/>
      <c r="FF119" s="30"/>
      <c r="FG119" s="30"/>
      <c r="FH119" s="30"/>
      <c r="FI119" s="30"/>
      <c r="FJ119" s="30"/>
      <c r="FK119" s="30"/>
      <c r="FL119" s="30"/>
      <c r="FM119" s="30"/>
      <c r="FN119" s="30"/>
      <c r="FO119" s="30"/>
      <c r="FP119" s="30"/>
      <c r="FQ119" s="30"/>
      <c r="FR119" s="30"/>
      <c r="FS119" s="30"/>
      <c r="FT119" s="30"/>
      <c r="FU119" s="30"/>
      <c r="FV119" s="30"/>
      <c r="FW119" s="30"/>
      <c r="FX119" s="30"/>
      <c r="FY119" s="30"/>
      <c r="FZ119" s="30"/>
      <c r="GA119" s="30"/>
      <c r="GB119" s="30"/>
      <c r="GC119" s="30"/>
      <c r="GD119" s="30"/>
      <c r="GE119" s="30"/>
      <c r="GF119" s="30"/>
      <c r="GG119" s="30"/>
      <c r="GH119" s="30"/>
      <c r="GI119" s="30"/>
      <c r="GJ119" s="30"/>
      <c r="GK119" s="30"/>
      <c r="GL119" s="30"/>
      <c r="GM119" s="30"/>
      <c r="GN119" s="30"/>
      <c r="GO119" s="30"/>
      <c r="GP119" s="30"/>
      <c r="GQ119" s="30"/>
      <c r="GR119" s="30"/>
      <c r="GS119" s="30"/>
      <c r="GT119" s="30"/>
      <c r="GU119" s="30"/>
      <c r="GV119" s="30"/>
      <c r="GW119" s="30"/>
      <c r="GX119" s="30"/>
      <c r="GY119" s="30"/>
      <c r="GZ119" s="30"/>
      <c r="HA119" s="30"/>
      <c r="HB119" s="30"/>
      <c r="HC119" s="30"/>
      <c r="HD119" s="30"/>
      <c r="HE119" s="30"/>
      <c r="HF119" s="30"/>
      <c r="HG119" s="30"/>
      <c r="HH119" s="30"/>
      <c r="HI119" s="30"/>
      <c r="HJ119" s="30"/>
      <c r="HK119" s="30"/>
      <c r="HL119" s="30"/>
      <c r="HM119" s="30"/>
      <c r="HN119" s="30"/>
      <c r="HO119" s="30"/>
      <c r="HP119" s="30"/>
      <c r="HQ119" s="30"/>
      <c r="HR119" s="30"/>
      <c r="HS119" s="30"/>
      <c r="HT119" s="30"/>
      <c r="HU119" s="30"/>
      <c r="HV119" s="30"/>
      <c r="HW119" s="30"/>
      <c r="HX119" s="30"/>
      <c r="HY119" s="30"/>
      <c r="HZ119" s="30"/>
      <c r="IA119" s="30"/>
      <c r="IB119" s="30"/>
      <c r="IC119" s="30"/>
      <c r="ID119" s="30"/>
      <c r="IE119" s="30"/>
      <c r="IF119" s="30"/>
      <c r="IG119" s="30"/>
      <c r="IH119" s="30"/>
      <c r="II119" s="30"/>
      <c r="IJ119" s="30"/>
      <c r="IK119" s="30"/>
      <c r="IL119" s="30"/>
      <c r="IM119" s="30"/>
      <c r="IN119" s="30"/>
      <c r="IO119" s="30"/>
      <c r="IP119" s="30"/>
      <c r="IQ119" s="30"/>
      <c r="IR119" s="31"/>
      <c r="IS119" s="31"/>
      <c r="IT119" s="31"/>
      <c r="IU119" s="31"/>
      <c r="IV119" s="31"/>
    </row>
    <row r="120" ht="11.25" customHeight="1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30"/>
      <c r="CY120" s="30"/>
      <c r="CZ120" s="30"/>
      <c r="DA120" s="30"/>
      <c r="DB120" s="30"/>
      <c r="DC120" s="30"/>
      <c r="DD120" s="30"/>
      <c r="DE120" s="30"/>
      <c r="DF120" s="30"/>
      <c r="DG120" s="30"/>
      <c r="DH120" s="30"/>
      <c r="DI120" s="30"/>
      <c r="DJ120" s="30"/>
      <c r="DK120" s="30"/>
      <c r="DL120" s="30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/>
      <c r="DW120" s="30"/>
      <c r="DX120" s="30"/>
      <c r="DY120" s="30"/>
      <c r="DZ120" s="30"/>
      <c r="EA120" s="30"/>
      <c r="EB120" s="30"/>
      <c r="EC120" s="30"/>
      <c r="ED120" s="30"/>
      <c r="EE120" s="30"/>
      <c r="EF120" s="30"/>
      <c r="EG120" s="30"/>
      <c r="EH120" s="30"/>
      <c r="EI120" s="30"/>
      <c r="EJ120" s="30"/>
      <c r="EK120" s="30"/>
      <c r="EL120" s="30"/>
      <c r="EM120" s="30"/>
      <c r="EN120" s="30"/>
      <c r="EO120" s="30"/>
      <c r="EP120" s="30"/>
      <c r="EQ120" s="30"/>
      <c r="ER120" s="30"/>
      <c r="ES120" s="30"/>
      <c r="ET120" s="30"/>
      <c r="EU120" s="30"/>
      <c r="EV120" s="30"/>
      <c r="EW120" s="30"/>
      <c r="EX120" s="30"/>
      <c r="EY120" s="30"/>
      <c r="EZ120" s="30"/>
      <c r="FA120" s="30"/>
      <c r="FB120" s="30"/>
      <c r="FC120" s="30"/>
      <c r="FD120" s="30"/>
      <c r="FE120" s="30"/>
      <c r="FF120" s="30"/>
      <c r="FG120" s="30"/>
      <c r="FH120" s="30"/>
      <c r="FI120" s="30"/>
      <c r="FJ120" s="30"/>
      <c r="FK120" s="30"/>
      <c r="FL120" s="30"/>
      <c r="FM120" s="30"/>
      <c r="FN120" s="30"/>
      <c r="FO120" s="30"/>
      <c r="FP120" s="30"/>
      <c r="FQ120" s="30"/>
      <c r="FR120" s="30"/>
      <c r="FS120" s="30"/>
      <c r="FT120" s="30"/>
      <c r="FU120" s="30"/>
      <c r="FV120" s="30"/>
      <c r="FW120" s="30"/>
      <c r="FX120" s="30"/>
      <c r="FY120" s="30"/>
      <c r="FZ120" s="30"/>
      <c r="GA120" s="30"/>
      <c r="GB120" s="30"/>
      <c r="GC120" s="30"/>
      <c r="GD120" s="30"/>
      <c r="GE120" s="30"/>
      <c r="GF120" s="30"/>
      <c r="GG120" s="30"/>
      <c r="GH120" s="30"/>
      <c r="GI120" s="30"/>
      <c r="GJ120" s="30"/>
      <c r="GK120" s="30"/>
      <c r="GL120" s="30"/>
      <c r="GM120" s="30"/>
      <c r="GN120" s="30"/>
      <c r="GO120" s="30"/>
      <c r="GP120" s="30"/>
      <c r="GQ120" s="30"/>
      <c r="GR120" s="30"/>
      <c r="GS120" s="30"/>
      <c r="GT120" s="30"/>
      <c r="GU120" s="30"/>
      <c r="GV120" s="30"/>
      <c r="GW120" s="30"/>
      <c r="GX120" s="30"/>
      <c r="GY120" s="30"/>
      <c r="GZ120" s="30"/>
      <c r="HA120" s="30"/>
      <c r="HB120" s="30"/>
      <c r="HC120" s="30"/>
      <c r="HD120" s="30"/>
      <c r="HE120" s="30"/>
      <c r="HF120" s="30"/>
      <c r="HG120" s="30"/>
      <c r="HH120" s="30"/>
      <c r="HI120" s="30"/>
      <c r="HJ120" s="30"/>
      <c r="HK120" s="30"/>
      <c r="HL120" s="30"/>
      <c r="HM120" s="30"/>
      <c r="HN120" s="30"/>
      <c r="HO120" s="30"/>
      <c r="HP120" s="30"/>
      <c r="HQ120" s="30"/>
      <c r="HR120" s="30"/>
      <c r="HS120" s="30"/>
      <c r="HT120" s="30"/>
      <c r="HU120" s="30"/>
      <c r="HV120" s="30"/>
      <c r="HW120" s="30"/>
      <c r="HX120" s="30"/>
      <c r="HY120" s="30"/>
      <c r="HZ120" s="30"/>
      <c r="IA120" s="30"/>
      <c r="IB120" s="30"/>
      <c r="IC120" s="30"/>
      <c r="ID120" s="30"/>
      <c r="IE120" s="30"/>
      <c r="IF120" s="30"/>
      <c r="IG120" s="30"/>
      <c r="IH120" s="30"/>
      <c r="II120" s="30"/>
      <c r="IJ120" s="30"/>
      <c r="IK120" s="30"/>
      <c r="IL120" s="30"/>
      <c r="IM120" s="30"/>
      <c r="IN120" s="30"/>
      <c r="IO120" s="30"/>
      <c r="IP120" s="30"/>
      <c r="IQ120" s="30"/>
      <c r="IR120" s="31"/>
      <c r="IS120" s="31"/>
      <c r="IT120" s="31"/>
      <c r="IU120" s="31"/>
      <c r="IV120" s="31"/>
    </row>
    <row r="121" ht="11.25" customHeight="1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29"/>
      <c r="BX121" s="29"/>
      <c r="BY121" s="29"/>
      <c r="BZ121" s="29"/>
      <c r="CA121" s="29"/>
      <c r="CB121" s="29"/>
      <c r="CC121" s="29"/>
      <c r="CD121" s="29"/>
      <c r="CE121" s="29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30"/>
      <c r="CY121" s="30"/>
      <c r="CZ121" s="30"/>
      <c r="DA121" s="30"/>
      <c r="DB121" s="30"/>
      <c r="DC121" s="30"/>
      <c r="DD121" s="30"/>
      <c r="DE121" s="30"/>
      <c r="DF121" s="30"/>
      <c r="DG121" s="30"/>
      <c r="DH121" s="30"/>
      <c r="DI121" s="30"/>
      <c r="DJ121" s="30"/>
      <c r="DK121" s="30"/>
      <c r="DL121" s="30"/>
      <c r="DM121" s="30"/>
      <c r="DN121" s="30"/>
      <c r="DO121" s="30"/>
      <c r="DP121" s="30"/>
      <c r="DQ121" s="30"/>
      <c r="DR121" s="30"/>
      <c r="DS121" s="30"/>
      <c r="DT121" s="30"/>
      <c r="DU121" s="30"/>
      <c r="DV121" s="30"/>
      <c r="DW121" s="30"/>
      <c r="DX121" s="30"/>
      <c r="DY121" s="30"/>
      <c r="DZ121" s="30"/>
      <c r="EA121" s="30"/>
      <c r="EB121" s="30"/>
      <c r="EC121" s="30"/>
      <c r="ED121" s="30"/>
      <c r="EE121" s="30"/>
      <c r="EF121" s="30"/>
      <c r="EG121" s="30"/>
      <c r="EH121" s="30"/>
      <c r="EI121" s="30"/>
      <c r="EJ121" s="30"/>
      <c r="EK121" s="30"/>
      <c r="EL121" s="30"/>
      <c r="EM121" s="30"/>
      <c r="EN121" s="30"/>
      <c r="EO121" s="30"/>
      <c r="EP121" s="30"/>
      <c r="EQ121" s="30"/>
      <c r="ER121" s="30"/>
      <c r="ES121" s="30"/>
      <c r="ET121" s="30"/>
      <c r="EU121" s="30"/>
      <c r="EV121" s="30"/>
      <c r="EW121" s="30"/>
      <c r="EX121" s="30"/>
      <c r="EY121" s="30"/>
      <c r="EZ121" s="30"/>
      <c r="FA121" s="30"/>
      <c r="FB121" s="30"/>
      <c r="FC121" s="30"/>
      <c r="FD121" s="30"/>
      <c r="FE121" s="30"/>
      <c r="FF121" s="30"/>
      <c r="FG121" s="30"/>
      <c r="FH121" s="30"/>
      <c r="FI121" s="30"/>
      <c r="FJ121" s="30"/>
      <c r="FK121" s="30"/>
      <c r="FL121" s="30"/>
      <c r="FM121" s="30"/>
      <c r="FN121" s="30"/>
      <c r="FO121" s="30"/>
      <c r="FP121" s="30"/>
      <c r="FQ121" s="30"/>
      <c r="FR121" s="30"/>
      <c r="FS121" s="30"/>
      <c r="FT121" s="30"/>
      <c r="FU121" s="30"/>
      <c r="FV121" s="30"/>
      <c r="FW121" s="30"/>
      <c r="FX121" s="30"/>
      <c r="FY121" s="30"/>
      <c r="FZ121" s="30"/>
      <c r="GA121" s="30"/>
      <c r="GB121" s="30"/>
      <c r="GC121" s="30"/>
      <c r="GD121" s="30"/>
      <c r="GE121" s="30"/>
      <c r="GF121" s="30"/>
      <c r="GG121" s="30"/>
      <c r="GH121" s="30"/>
      <c r="GI121" s="30"/>
      <c r="GJ121" s="30"/>
      <c r="GK121" s="30"/>
      <c r="GL121" s="30"/>
      <c r="GM121" s="30"/>
      <c r="GN121" s="30"/>
      <c r="GO121" s="30"/>
      <c r="GP121" s="30"/>
      <c r="GQ121" s="30"/>
      <c r="GR121" s="30"/>
      <c r="GS121" s="30"/>
      <c r="GT121" s="30"/>
      <c r="GU121" s="30"/>
      <c r="GV121" s="30"/>
      <c r="GW121" s="30"/>
      <c r="GX121" s="30"/>
      <c r="GY121" s="30"/>
      <c r="GZ121" s="30"/>
      <c r="HA121" s="30"/>
      <c r="HB121" s="30"/>
      <c r="HC121" s="30"/>
      <c r="HD121" s="30"/>
      <c r="HE121" s="30"/>
      <c r="HF121" s="30"/>
      <c r="HG121" s="30"/>
      <c r="HH121" s="30"/>
      <c r="HI121" s="30"/>
      <c r="HJ121" s="30"/>
      <c r="HK121" s="30"/>
      <c r="HL121" s="30"/>
      <c r="HM121" s="30"/>
      <c r="HN121" s="30"/>
      <c r="HO121" s="30"/>
      <c r="HP121" s="30"/>
      <c r="HQ121" s="30"/>
      <c r="HR121" s="30"/>
      <c r="HS121" s="30"/>
      <c r="HT121" s="30"/>
      <c r="HU121" s="30"/>
      <c r="HV121" s="30"/>
      <c r="HW121" s="30"/>
      <c r="HX121" s="30"/>
      <c r="HY121" s="30"/>
      <c r="HZ121" s="30"/>
      <c r="IA121" s="30"/>
      <c r="IB121" s="30"/>
      <c r="IC121" s="30"/>
      <c r="ID121" s="30"/>
      <c r="IE121" s="30"/>
      <c r="IF121" s="30"/>
      <c r="IG121" s="30"/>
      <c r="IH121" s="30"/>
      <c r="II121" s="30"/>
      <c r="IJ121" s="30"/>
      <c r="IK121" s="30"/>
      <c r="IL121" s="30"/>
      <c r="IM121" s="30"/>
      <c r="IN121" s="30"/>
      <c r="IO121" s="30"/>
      <c r="IP121" s="30"/>
      <c r="IQ121" s="30"/>
      <c r="IR121" s="31"/>
      <c r="IS121" s="31"/>
      <c r="IT121" s="31"/>
      <c r="IU121" s="31"/>
      <c r="IV121" s="31"/>
    </row>
    <row r="122" ht="11.25" customHeight="1">
      <c r="A122" s="29"/>
      <c r="B122" s="29"/>
      <c r="C122" s="29">
        <v>1.0</v>
      </c>
      <c r="D122" s="32" t="str">
        <f>VLOOKUP(C122,PESERTA!A5:F254,2,0)</f>
        <v>01</v>
      </c>
      <c r="E122" s="29">
        <f>HLOOKUP($D$122,$B$3:$CW$114,102,0)</f>
        <v>7</v>
      </c>
      <c r="F122" s="29" t="s">
        <v>126</v>
      </c>
      <c r="G122" s="29"/>
      <c r="H122" s="29" t="s">
        <v>126</v>
      </c>
      <c r="I122" s="29"/>
      <c r="J122" s="29">
        <v>9.5</v>
      </c>
      <c r="K122" s="29">
        <v>7.5</v>
      </c>
      <c r="L122" s="29">
        <v>6.5</v>
      </c>
      <c r="M122" s="29">
        <v>3.5</v>
      </c>
      <c r="N122" s="29">
        <v>1.5</v>
      </c>
      <c r="O122" s="29">
        <v>-0.5</v>
      </c>
      <c r="P122" s="29">
        <f>DATA!E122</f>
        <v>7</v>
      </c>
      <c r="Q122" s="29"/>
      <c r="R122" s="29"/>
      <c r="S122" s="29"/>
      <c r="T122" s="29" t="s">
        <v>124</v>
      </c>
      <c r="U122" s="29" t="s">
        <v>137</v>
      </c>
      <c r="V122" s="29" t="s">
        <v>129</v>
      </c>
      <c r="W122" s="29" t="s">
        <v>125</v>
      </c>
      <c r="X122" s="29" t="s">
        <v>138</v>
      </c>
      <c r="Y122" s="29" t="s">
        <v>136</v>
      </c>
      <c r="Z122" s="29" t="s">
        <v>131</v>
      </c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30"/>
      <c r="CY122" s="30"/>
      <c r="CZ122" s="30"/>
      <c r="DA122" s="30"/>
      <c r="DB122" s="30"/>
      <c r="DC122" s="30"/>
      <c r="DD122" s="30"/>
      <c r="DE122" s="30"/>
      <c r="DF122" s="30"/>
      <c r="DG122" s="30"/>
      <c r="DH122" s="30"/>
      <c r="DI122" s="30"/>
      <c r="DJ122" s="30"/>
      <c r="DK122" s="30"/>
      <c r="DL122" s="30"/>
      <c r="DM122" s="30"/>
      <c r="DN122" s="30"/>
      <c r="DO122" s="30"/>
      <c r="DP122" s="30"/>
      <c r="DQ122" s="30"/>
      <c r="DR122" s="30"/>
      <c r="DS122" s="30"/>
      <c r="DT122" s="30"/>
      <c r="DU122" s="30"/>
      <c r="DV122" s="30"/>
      <c r="DW122" s="30"/>
      <c r="DX122" s="3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  <c r="EO122" s="30"/>
      <c r="EP122" s="30"/>
      <c r="EQ122" s="30"/>
      <c r="ER122" s="30"/>
      <c r="ES122" s="30"/>
      <c r="ET122" s="30"/>
      <c r="EU122" s="30"/>
      <c r="EV122" s="30"/>
      <c r="EW122" s="30"/>
      <c r="EX122" s="30"/>
      <c r="EY122" s="30"/>
      <c r="EZ122" s="30"/>
      <c r="FA122" s="30"/>
      <c r="FB122" s="30"/>
      <c r="FC122" s="30"/>
      <c r="FD122" s="30"/>
      <c r="FE122" s="30"/>
      <c r="FF122" s="30"/>
      <c r="FG122" s="30"/>
      <c r="FH122" s="30"/>
      <c r="FI122" s="30"/>
      <c r="FJ122" s="30"/>
      <c r="FK122" s="30"/>
      <c r="FL122" s="30"/>
      <c r="FM122" s="30"/>
      <c r="FN122" s="30"/>
      <c r="FO122" s="30"/>
      <c r="FP122" s="30"/>
      <c r="FQ122" s="30"/>
      <c r="FR122" s="30"/>
      <c r="FS122" s="30"/>
      <c r="FT122" s="30"/>
      <c r="FU122" s="30"/>
      <c r="FV122" s="30"/>
      <c r="FW122" s="30"/>
      <c r="FX122" s="30"/>
      <c r="FY122" s="30"/>
      <c r="FZ122" s="30"/>
      <c r="GA122" s="30"/>
      <c r="GB122" s="30"/>
      <c r="GC122" s="30"/>
      <c r="GD122" s="30"/>
      <c r="GE122" s="30"/>
      <c r="GF122" s="30"/>
      <c r="GG122" s="30"/>
      <c r="GH122" s="30"/>
      <c r="GI122" s="30"/>
      <c r="GJ122" s="30"/>
      <c r="GK122" s="30"/>
      <c r="GL122" s="30"/>
      <c r="GM122" s="30"/>
      <c r="GN122" s="30"/>
      <c r="GO122" s="30"/>
      <c r="GP122" s="30"/>
      <c r="GQ122" s="30"/>
      <c r="GR122" s="30"/>
      <c r="GS122" s="30"/>
      <c r="GT122" s="30"/>
      <c r="GU122" s="30"/>
      <c r="GV122" s="30"/>
      <c r="GW122" s="30"/>
      <c r="GX122" s="30"/>
      <c r="GY122" s="30"/>
      <c r="GZ122" s="30"/>
      <c r="HA122" s="30"/>
      <c r="HB122" s="30"/>
      <c r="HC122" s="30"/>
      <c r="HD122" s="30"/>
      <c r="HE122" s="30"/>
      <c r="HF122" s="30"/>
      <c r="HG122" s="30"/>
      <c r="HH122" s="30"/>
      <c r="HI122" s="30"/>
      <c r="HJ122" s="30"/>
      <c r="HK122" s="30"/>
      <c r="HL122" s="30"/>
      <c r="HM122" s="30"/>
      <c r="HN122" s="30"/>
      <c r="HO122" s="30"/>
      <c r="HP122" s="30"/>
      <c r="HQ122" s="30"/>
      <c r="HR122" s="30"/>
      <c r="HS122" s="30"/>
      <c r="HT122" s="30"/>
      <c r="HU122" s="30"/>
      <c r="HV122" s="30"/>
      <c r="HW122" s="30"/>
      <c r="HX122" s="30"/>
      <c r="HY122" s="30"/>
      <c r="HZ122" s="30"/>
      <c r="IA122" s="30"/>
      <c r="IB122" s="30"/>
      <c r="IC122" s="30"/>
      <c r="ID122" s="30"/>
      <c r="IE122" s="30"/>
      <c r="IF122" s="30"/>
      <c r="IG122" s="30"/>
      <c r="IH122" s="30"/>
      <c r="II122" s="30"/>
      <c r="IJ122" s="30"/>
      <c r="IK122" s="30"/>
      <c r="IL122" s="30"/>
      <c r="IM122" s="30"/>
      <c r="IN122" s="30"/>
      <c r="IO122" s="30"/>
      <c r="IP122" s="30"/>
      <c r="IQ122" s="30"/>
      <c r="IR122" s="31"/>
      <c r="IS122" s="31"/>
      <c r="IT122" s="31"/>
      <c r="IU122" s="31"/>
      <c r="IV122" s="31"/>
    </row>
    <row r="123" ht="11.25" customHeight="1">
      <c r="A123" s="29"/>
      <c r="B123" s="29"/>
      <c r="C123" s="29"/>
      <c r="D123" s="29"/>
      <c r="E123" s="29">
        <f>HLOOKUP($D$122,$B$3:$CW$114,111,0)</f>
        <v>0</v>
      </c>
      <c r="F123" s="29" t="s">
        <v>135</v>
      </c>
      <c r="G123" s="29"/>
      <c r="H123" s="29" t="s">
        <v>135</v>
      </c>
      <c r="I123" s="29"/>
      <c r="J123" s="29">
        <v>1.5</v>
      </c>
      <c r="K123" s="29">
        <v>9.5</v>
      </c>
      <c r="L123" s="29">
        <v>8.5</v>
      </c>
      <c r="M123" s="29">
        <v>4.5</v>
      </c>
      <c r="N123" s="29">
        <v>1.5</v>
      </c>
      <c r="O123" s="29">
        <v>-0.5</v>
      </c>
      <c r="P123" s="29">
        <f>DATA!E123</f>
        <v>0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30"/>
      <c r="CY123" s="30"/>
      <c r="CZ123" s="30"/>
      <c r="DA123" s="30"/>
      <c r="DB123" s="30"/>
      <c r="DC123" s="30"/>
      <c r="DD123" s="30"/>
      <c r="DE123" s="30"/>
      <c r="DF123" s="30"/>
      <c r="DG123" s="30"/>
      <c r="DH123" s="30"/>
      <c r="DI123" s="30"/>
      <c r="DJ123" s="30"/>
      <c r="DK123" s="30"/>
      <c r="DL123" s="30"/>
      <c r="DM123" s="30"/>
      <c r="DN123" s="30"/>
      <c r="DO123" s="30"/>
      <c r="DP123" s="30"/>
      <c r="DQ123" s="30"/>
      <c r="DR123" s="30"/>
      <c r="DS123" s="30"/>
      <c r="DT123" s="30"/>
      <c r="DU123" s="30"/>
      <c r="DV123" s="30"/>
      <c r="DW123" s="30"/>
      <c r="DX123" s="3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  <c r="EO123" s="30"/>
      <c r="EP123" s="30"/>
      <c r="EQ123" s="30"/>
      <c r="ER123" s="30"/>
      <c r="ES123" s="30"/>
      <c r="ET123" s="30"/>
      <c r="EU123" s="30"/>
      <c r="EV123" s="30"/>
      <c r="EW123" s="30"/>
      <c r="EX123" s="30"/>
      <c r="EY123" s="30"/>
      <c r="EZ123" s="30"/>
      <c r="FA123" s="30"/>
      <c r="FB123" s="30"/>
      <c r="FC123" s="30"/>
      <c r="FD123" s="30"/>
      <c r="FE123" s="30"/>
      <c r="FF123" s="30"/>
      <c r="FG123" s="30"/>
      <c r="FH123" s="30"/>
      <c r="FI123" s="30"/>
      <c r="FJ123" s="30"/>
      <c r="FK123" s="30"/>
      <c r="FL123" s="30"/>
      <c r="FM123" s="30"/>
      <c r="FN123" s="30"/>
      <c r="FO123" s="30"/>
      <c r="FP123" s="30"/>
      <c r="FQ123" s="30"/>
      <c r="FR123" s="30"/>
      <c r="FS123" s="30"/>
      <c r="FT123" s="30"/>
      <c r="FU123" s="30"/>
      <c r="FV123" s="30"/>
      <c r="FW123" s="30"/>
      <c r="FX123" s="30"/>
      <c r="FY123" s="30"/>
      <c r="FZ123" s="30"/>
      <c r="GA123" s="30"/>
      <c r="GB123" s="30"/>
      <c r="GC123" s="30"/>
      <c r="GD123" s="30"/>
      <c r="GE123" s="30"/>
      <c r="GF123" s="30"/>
      <c r="GG123" s="30"/>
      <c r="GH123" s="30"/>
      <c r="GI123" s="30"/>
      <c r="GJ123" s="30"/>
      <c r="GK123" s="30"/>
      <c r="GL123" s="30"/>
      <c r="GM123" s="30"/>
      <c r="GN123" s="30"/>
      <c r="GO123" s="30"/>
      <c r="GP123" s="30"/>
      <c r="GQ123" s="30"/>
      <c r="GR123" s="30"/>
      <c r="GS123" s="30"/>
      <c r="GT123" s="30"/>
      <c r="GU123" s="30"/>
      <c r="GV123" s="30"/>
      <c r="GW123" s="30"/>
      <c r="GX123" s="30"/>
      <c r="GY123" s="30"/>
      <c r="GZ123" s="30"/>
      <c r="HA123" s="30"/>
      <c r="HB123" s="30"/>
      <c r="HC123" s="30"/>
      <c r="HD123" s="30"/>
      <c r="HE123" s="30"/>
      <c r="HF123" s="30"/>
      <c r="HG123" s="30"/>
      <c r="HH123" s="30"/>
      <c r="HI123" s="30"/>
      <c r="HJ123" s="30"/>
      <c r="HK123" s="30"/>
      <c r="HL123" s="30"/>
      <c r="HM123" s="30"/>
      <c r="HN123" s="30"/>
      <c r="HO123" s="30"/>
      <c r="HP123" s="30"/>
      <c r="HQ123" s="30"/>
      <c r="HR123" s="30"/>
      <c r="HS123" s="30"/>
      <c r="HT123" s="30"/>
      <c r="HU123" s="30"/>
      <c r="HV123" s="30"/>
      <c r="HW123" s="30"/>
      <c r="HX123" s="30"/>
      <c r="HY123" s="30"/>
      <c r="HZ123" s="30"/>
      <c r="IA123" s="30"/>
      <c r="IB123" s="30"/>
      <c r="IC123" s="30"/>
      <c r="ID123" s="30"/>
      <c r="IE123" s="30"/>
      <c r="IF123" s="30"/>
      <c r="IG123" s="30"/>
      <c r="IH123" s="30"/>
      <c r="II123" s="30"/>
      <c r="IJ123" s="30"/>
      <c r="IK123" s="30"/>
      <c r="IL123" s="30"/>
      <c r="IM123" s="30"/>
      <c r="IN123" s="30"/>
      <c r="IO123" s="30"/>
      <c r="IP123" s="30"/>
      <c r="IQ123" s="30"/>
      <c r="IR123" s="31"/>
      <c r="IS123" s="31"/>
      <c r="IT123" s="31"/>
      <c r="IU123" s="31"/>
      <c r="IV123" s="31"/>
    </row>
    <row r="124" ht="11.25" customHeight="1">
      <c r="A124" s="29"/>
      <c r="B124" s="29"/>
      <c r="C124" s="29"/>
      <c r="D124" s="29"/>
      <c r="E124" s="29">
        <f>HLOOKUP($D$122,$B$3:$CW$114,101,0)</f>
        <v>8</v>
      </c>
      <c r="F124" s="29" t="s">
        <v>125</v>
      </c>
      <c r="G124" s="29"/>
      <c r="H124" s="29" t="s">
        <v>125</v>
      </c>
      <c r="I124" s="29"/>
      <c r="J124" s="29">
        <v>9.5</v>
      </c>
      <c r="K124" s="29">
        <v>5.5</v>
      </c>
      <c r="L124" s="29">
        <v>8.5</v>
      </c>
      <c r="M124" s="29">
        <v>5.5</v>
      </c>
      <c r="N124" s="29">
        <v>3.5</v>
      </c>
      <c r="O124" s="29">
        <v>-0.5</v>
      </c>
      <c r="P124" s="29">
        <f>DATA!E124</f>
        <v>8</v>
      </c>
      <c r="Q124" s="29"/>
      <c r="R124" s="29"/>
      <c r="S124" s="29"/>
      <c r="T124" s="29">
        <v>8.0</v>
      </c>
      <c r="U124" s="29" t="s">
        <v>139</v>
      </c>
      <c r="V124" s="29" t="s">
        <v>140</v>
      </c>
      <c r="W124" s="29" t="s">
        <v>141</v>
      </c>
      <c r="X124" s="29" t="s">
        <v>142</v>
      </c>
      <c r="Y124" s="29" t="s">
        <v>143</v>
      </c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29"/>
      <c r="BX124" s="29"/>
      <c r="BY124" s="29"/>
      <c r="BZ124" s="29"/>
      <c r="CA124" s="29"/>
      <c r="CB124" s="29"/>
      <c r="CC124" s="29"/>
      <c r="CD124" s="29"/>
      <c r="CE124" s="29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30"/>
      <c r="CY124" s="30"/>
      <c r="CZ124" s="30"/>
      <c r="DA124" s="30"/>
      <c r="DB124" s="30"/>
      <c r="DC124" s="30"/>
      <c r="DD124" s="30"/>
      <c r="DE124" s="30"/>
      <c r="DF124" s="30"/>
      <c r="DG124" s="30"/>
      <c r="DH124" s="30"/>
      <c r="DI124" s="30"/>
      <c r="DJ124" s="30"/>
      <c r="DK124" s="30"/>
      <c r="DL124" s="30"/>
      <c r="DM124" s="30"/>
      <c r="DN124" s="30"/>
      <c r="DO124" s="30"/>
      <c r="DP124" s="30"/>
      <c r="DQ124" s="30"/>
      <c r="DR124" s="30"/>
      <c r="DS124" s="30"/>
      <c r="DT124" s="30"/>
      <c r="DU124" s="30"/>
      <c r="DV124" s="30"/>
      <c r="DW124" s="30"/>
      <c r="DX124" s="30"/>
      <c r="DY124" s="30"/>
      <c r="DZ124" s="30"/>
      <c r="EA124" s="30"/>
      <c r="EB124" s="30"/>
      <c r="EC124" s="30"/>
      <c r="ED124" s="30"/>
      <c r="EE124" s="30"/>
      <c r="EF124" s="30"/>
      <c r="EG124" s="30"/>
      <c r="EH124" s="30"/>
      <c r="EI124" s="30"/>
      <c r="EJ124" s="30"/>
      <c r="EK124" s="30"/>
      <c r="EL124" s="30"/>
      <c r="EM124" s="30"/>
      <c r="EN124" s="30"/>
      <c r="EO124" s="30"/>
      <c r="EP124" s="30"/>
      <c r="EQ124" s="30"/>
      <c r="ER124" s="30"/>
      <c r="ES124" s="30"/>
      <c r="ET124" s="30"/>
      <c r="EU124" s="30"/>
      <c r="EV124" s="30"/>
      <c r="EW124" s="30"/>
      <c r="EX124" s="30"/>
      <c r="EY124" s="30"/>
      <c r="EZ124" s="30"/>
      <c r="FA124" s="30"/>
      <c r="FB124" s="30"/>
      <c r="FC124" s="30"/>
      <c r="FD124" s="30"/>
      <c r="FE124" s="30"/>
      <c r="FF124" s="30"/>
      <c r="FG124" s="30"/>
      <c r="FH124" s="30"/>
      <c r="FI124" s="30"/>
      <c r="FJ124" s="30"/>
      <c r="FK124" s="30"/>
      <c r="FL124" s="30"/>
      <c r="FM124" s="30"/>
      <c r="FN124" s="30"/>
      <c r="FO124" s="30"/>
      <c r="FP124" s="30"/>
      <c r="FQ124" s="30"/>
      <c r="FR124" s="30"/>
      <c r="FS124" s="30"/>
      <c r="FT124" s="30"/>
      <c r="FU124" s="30"/>
      <c r="FV124" s="30"/>
      <c r="FW124" s="30"/>
      <c r="FX124" s="30"/>
      <c r="FY124" s="30"/>
      <c r="FZ124" s="30"/>
      <c r="GA124" s="30"/>
      <c r="GB124" s="30"/>
      <c r="GC124" s="30"/>
      <c r="GD124" s="30"/>
      <c r="GE124" s="30"/>
      <c r="GF124" s="30"/>
      <c r="GG124" s="30"/>
      <c r="GH124" s="30"/>
      <c r="GI124" s="30"/>
      <c r="GJ124" s="30"/>
      <c r="GK124" s="30"/>
      <c r="GL124" s="30"/>
      <c r="GM124" s="30"/>
      <c r="GN124" s="30"/>
      <c r="GO124" s="30"/>
      <c r="GP124" s="30"/>
      <c r="GQ124" s="30"/>
      <c r="GR124" s="30"/>
      <c r="GS124" s="30"/>
      <c r="GT124" s="30"/>
      <c r="GU124" s="30"/>
      <c r="GV124" s="30"/>
      <c r="GW124" s="30"/>
      <c r="GX124" s="30"/>
      <c r="GY124" s="30"/>
      <c r="GZ124" s="30"/>
      <c r="HA124" s="30"/>
      <c r="HB124" s="30"/>
      <c r="HC124" s="30"/>
      <c r="HD124" s="30"/>
      <c r="HE124" s="30"/>
      <c r="HF124" s="30"/>
      <c r="HG124" s="30"/>
      <c r="HH124" s="30"/>
      <c r="HI124" s="30"/>
      <c r="HJ124" s="30"/>
      <c r="HK124" s="30"/>
      <c r="HL124" s="30"/>
      <c r="HM124" s="30"/>
      <c r="HN124" s="30"/>
      <c r="HO124" s="30"/>
      <c r="HP124" s="30"/>
      <c r="HQ124" s="30"/>
      <c r="HR124" s="30"/>
      <c r="HS124" s="30"/>
      <c r="HT124" s="30"/>
      <c r="HU124" s="30"/>
      <c r="HV124" s="30"/>
      <c r="HW124" s="30"/>
      <c r="HX124" s="30"/>
      <c r="HY124" s="30"/>
      <c r="HZ124" s="30"/>
      <c r="IA124" s="30"/>
      <c r="IB124" s="30"/>
      <c r="IC124" s="30"/>
      <c r="ID124" s="30"/>
      <c r="IE124" s="30"/>
      <c r="IF124" s="30"/>
      <c r="IG124" s="30"/>
      <c r="IH124" s="30"/>
      <c r="II124" s="30"/>
      <c r="IJ124" s="30"/>
      <c r="IK124" s="30"/>
      <c r="IL124" s="30"/>
      <c r="IM124" s="30"/>
      <c r="IN124" s="30"/>
      <c r="IO124" s="30"/>
      <c r="IP124" s="30"/>
      <c r="IQ124" s="30"/>
      <c r="IR124" s="31"/>
      <c r="IS124" s="31"/>
      <c r="IT124" s="31"/>
      <c r="IU124" s="31"/>
      <c r="IV124" s="31"/>
    </row>
    <row r="125" ht="11.25" customHeight="1">
      <c r="A125" s="29"/>
      <c r="B125" s="29"/>
      <c r="C125" s="29"/>
      <c r="D125" s="29"/>
      <c r="E125" s="29">
        <f>HLOOKUP($D$122,$B$3:$CW$114,110,0)</f>
        <v>8</v>
      </c>
      <c r="F125" s="29" t="s">
        <v>134</v>
      </c>
      <c r="G125" s="29"/>
      <c r="H125" s="29" t="s">
        <v>134</v>
      </c>
      <c r="I125" s="29"/>
      <c r="J125" s="29">
        <v>2.5</v>
      </c>
      <c r="K125" s="29">
        <v>5.5</v>
      </c>
      <c r="L125" s="29">
        <v>9.5</v>
      </c>
      <c r="M125" s="29">
        <v>5.5</v>
      </c>
      <c r="N125" s="29">
        <v>2.5</v>
      </c>
      <c r="O125" s="29">
        <v>-0.5</v>
      </c>
      <c r="P125" s="29">
        <f>DATA!E125</f>
        <v>8</v>
      </c>
      <c r="Q125" s="29"/>
      <c r="R125" s="29"/>
      <c r="S125" s="29"/>
      <c r="T125" s="29">
        <v>9.0</v>
      </c>
      <c r="U125" s="29" t="s">
        <v>144</v>
      </c>
      <c r="V125" s="29" t="s">
        <v>145</v>
      </c>
      <c r="W125" s="29" t="s">
        <v>146</v>
      </c>
      <c r="X125" s="29" t="s">
        <v>147</v>
      </c>
      <c r="Y125" s="29" t="s">
        <v>147</v>
      </c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30"/>
      <c r="CY125" s="30"/>
      <c r="CZ125" s="30"/>
      <c r="DA125" s="30"/>
      <c r="DB125" s="30"/>
      <c r="DC125" s="30"/>
      <c r="DD125" s="30"/>
      <c r="DE125" s="30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/>
      <c r="DW125" s="30"/>
      <c r="DX125" s="30"/>
      <c r="DY125" s="30"/>
      <c r="DZ125" s="30"/>
      <c r="EA125" s="30"/>
      <c r="EB125" s="30"/>
      <c r="EC125" s="30"/>
      <c r="ED125" s="30"/>
      <c r="EE125" s="30"/>
      <c r="EF125" s="30"/>
      <c r="EG125" s="30"/>
      <c r="EH125" s="30"/>
      <c r="EI125" s="30"/>
      <c r="EJ125" s="30"/>
      <c r="EK125" s="30"/>
      <c r="EL125" s="30"/>
      <c r="EM125" s="30"/>
      <c r="EN125" s="30"/>
      <c r="EO125" s="30"/>
      <c r="EP125" s="30"/>
      <c r="EQ125" s="30"/>
      <c r="ER125" s="30"/>
      <c r="ES125" s="30"/>
      <c r="ET125" s="30"/>
      <c r="EU125" s="30"/>
      <c r="EV125" s="30"/>
      <c r="EW125" s="30"/>
      <c r="EX125" s="30"/>
      <c r="EY125" s="30"/>
      <c r="EZ125" s="30"/>
      <c r="FA125" s="30"/>
      <c r="FB125" s="30"/>
      <c r="FC125" s="30"/>
      <c r="FD125" s="30"/>
      <c r="FE125" s="30"/>
      <c r="FF125" s="30"/>
      <c r="FG125" s="30"/>
      <c r="FH125" s="30"/>
      <c r="FI125" s="30"/>
      <c r="FJ125" s="30"/>
      <c r="FK125" s="30"/>
      <c r="FL125" s="30"/>
      <c r="FM125" s="30"/>
      <c r="FN125" s="30"/>
      <c r="FO125" s="30"/>
      <c r="FP125" s="30"/>
      <c r="FQ125" s="30"/>
      <c r="FR125" s="30"/>
      <c r="FS125" s="30"/>
      <c r="FT125" s="30"/>
      <c r="FU125" s="30"/>
      <c r="FV125" s="30"/>
      <c r="FW125" s="30"/>
      <c r="FX125" s="30"/>
      <c r="FY125" s="30"/>
      <c r="FZ125" s="30"/>
      <c r="GA125" s="30"/>
      <c r="GB125" s="30"/>
      <c r="GC125" s="30"/>
      <c r="GD125" s="30"/>
      <c r="GE125" s="30"/>
      <c r="GF125" s="30"/>
      <c r="GG125" s="30"/>
      <c r="GH125" s="30"/>
      <c r="GI125" s="30"/>
      <c r="GJ125" s="30"/>
      <c r="GK125" s="30"/>
      <c r="GL125" s="30"/>
      <c r="GM125" s="30"/>
      <c r="GN125" s="30"/>
      <c r="GO125" s="30"/>
      <c r="GP125" s="30"/>
      <c r="GQ125" s="30"/>
      <c r="GR125" s="30"/>
      <c r="GS125" s="30"/>
      <c r="GT125" s="30"/>
      <c r="GU125" s="30"/>
      <c r="GV125" s="30"/>
      <c r="GW125" s="30"/>
      <c r="GX125" s="30"/>
      <c r="GY125" s="30"/>
      <c r="GZ125" s="30"/>
      <c r="HA125" s="30"/>
      <c r="HB125" s="30"/>
      <c r="HC125" s="30"/>
      <c r="HD125" s="30"/>
      <c r="HE125" s="30"/>
      <c r="HF125" s="30"/>
      <c r="HG125" s="30"/>
      <c r="HH125" s="30"/>
      <c r="HI125" s="30"/>
      <c r="HJ125" s="30"/>
      <c r="HK125" s="30"/>
      <c r="HL125" s="30"/>
      <c r="HM125" s="30"/>
      <c r="HN125" s="30"/>
      <c r="HO125" s="30"/>
      <c r="HP125" s="30"/>
      <c r="HQ125" s="30"/>
      <c r="HR125" s="30"/>
      <c r="HS125" s="30"/>
      <c r="HT125" s="30"/>
      <c r="HU125" s="30"/>
      <c r="HV125" s="30"/>
      <c r="HW125" s="30"/>
      <c r="HX125" s="30"/>
      <c r="HY125" s="30"/>
      <c r="HZ125" s="30"/>
      <c r="IA125" s="30"/>
      <c r="IB125" s="30"/>
      <c r="IC125" s="30"/>
      <c r="ID125" s="30"/>
      <c r="IE125" s="30"/>
      <c r="IF125" s="30"/>
      <c r="IG125" s="30"/>
      <c r="IH125" s="30"/>
      <c r="II125" s="30"/>
      <c r="IJ125" s="30"/>
      <c r="IK125" s="30"/>
      <c r="IL125" s="30"/>
      <c r="IM125" s="30"/>
      <c r="IN125" s="30"/>
      <c r="IO125" s="30"/>
      <c r="IP125" s="30"/>
      <c r="IQ125" s="30"/>
      <c r="IR125" s="31"/>
      <c r="IS125" s="31"/>
      <c r="IT125" s="31"/>
      <c r="IU125" s="31"/>
      <c r="IV125" s="31"/>
    </row>
    <row r="126" ht="11.25" customHeight="1">
      <c r="A126" s="29"/>
      <c r="B126" s="29"/>
      <c r="C126" s="29"/>
      <c r="D126" s="29"/>
      <c r="E126" s="29">
        <f>HLOOKUP($D$122,$B$3:$CW$114,100,0)</f>
        <v>9</v>
      </c>
      <c r="F126" s="29" t="s">
        <v>124</v>
      </c>
      <c r="G126" s="29"/>
      <c r="H126" s="29" t="s">
        <v>124</v>
      </c>
      <c r="I126" s="29"/>
      <c r="J126" s="29">
        <v>1.5</v>
      </c>
      <c r="K126" s="29">
        <v>9.5</v>
      </c>
      <c r="L126" s="29">
        <v>7.5</v>
      </c>
      <c r="M126" s="29">
        <v>4.5</v>
      </c>
      <c r="N126" s="29">
        <v>1.5</v>
      </c>
      <c r="O126" s="29">
        <v>-0.5</v>
      </c>
      <c r="P126" s="29">
        <f>DATA!E126</f>
        <v>9</v>
      </c>
      <c r="Q126" s="29"/>
      <c r="R126" s="29"/>
      <c r="S126" s="29"/>
      <c r="T126" s="29">
        <v>10.0</v>
      </c>
      <c r="U126" s="29" t="s">
        <v>148</v>
      </c>
      <c r="V126" s="29" t="s">
        <v>149</v>
      </c>
      <c r="W126" s="29" t="s">
        <v>150</v>
      </c>
      <c r="X126" s="29" t="s">
        <v>151</v>
      </c>
      <c r="Y126" s="29" t="s">
        <v>152</v>
      </c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30"/>
      <c r="CY126" s="30"/>
      <c r="CZ126" s="30"/>
      <c r="DA126" s="30"/>
      <c r="DB126" s="30"/>
      <c r="DC126" s="30"/>
      <c r="DD126" s="30"/>
      <c r="DE126" s="30"/>
      <c r="DF126" s="30"/>
      <c r="DG126" s="30"/>
      <c r="DH126" s="30"/>
      <c r="DI126" s="30"/>
      <c r="DJ126" s="30"/>
      <c r="DK126" s="30"/>
      <c r="DL126" s="30"/>
      <c r="DM126" s="30"/>
      <c r="DN126" s="30"/>
      <c r="DO126" s="30"/>
      <c r="DP126" s="30"/>
      <c r="DQ126" s="30"/>
      <c r="DR126" s="30"/>
      <c r="DS126" s="30"/>
      <c r="DT126" s="30"/>
      <c r="DU126" s="30"/>
      <c r="DV126" s="30"/>
      <c r="DW126" s="30"/>
      <c r="DX126" s="3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30"/>
      <c r="ER126" s="30"/>
      <c r="ES126" s="30"/>
      <c r="ET126" s="30"/>
      <c r="EU126" s="30"/>
      <c r="EV126" s="30"/>
      <c r="EW126" s="30"/>
      <c r="EX126" s="30"/>
      <c r="EY126" s="30"/>
      <c r="EZ126" s="30"/>
      <c r="FA126" s="30"/>
      <c r="FB126" s="30"/>
      <c r="FC126" s="30"/>
      <c r="FD126" s="30"/>
      <c r="FE126" s="30"/>
      <c r="FF126" s="30"/>
      <c r="FG126" s="30"/>
      <c r="FH126" s="30"/>
      <c r="FI126" s="30"/>
      <c r="FJ126" s="30"/>
      <c r="FK126" s="30"/>
      <c r="FL126" s="30"/>
      <c r="FM126" s="30"/>
      <c r="FN126" s="30"/>
      <c r="FO126" s="30"/>
      <c r="FP126" s="30"/>
      <c r="FQ126" s="30"/>
      <c r="FR126" s="30"/>
      <c r="FS126" s="30"/>
      <c r="FT126" s="30"/>
      <c r="FU126" s="30"/>
      <c r="FV126" s="30"/>
      <c r="FW126" s="30"/>
      <c r="FX126" s="30"/>
      <c r="FY126" s="30"/>
      <c r="FZ126" s="30"/>
      <c r="GA126" s="30"/>
      <c r="GB126" s="30"/>
      <c r="GC126" s="30"/>
      <c r="GD126" s="30"/>
      <c r="GE126" s="30"/>
      <c r="GF126" s="30"/>
      <c r="GG126" s="30"/>
      <c r="GH126" s="30"/>
      <c r="GI126" s="30"/>
      <c r="GJ126" s="30"/>
      <c r="GK126" s="30"/>
      <c r="GL126" s="30"/>
      <c r="GM126" s="30"/>
      <c r="GN126" s="30"/>
      <c r="GO126" s="30"/>
      <c r="GP126" s="30"/>
      <c r="GQ126" s="30"/>
      <c r="GR126" s="30"/>
      <c r="GS126" s="30"/>
      <c r="GT126" s="30"/>
      <c r="GU126" s="30"/>
      <c r="GV126" s="30"/>
      <c r="GW126" s="30"/>
      <c r="GX126" s="30"/>
      <c r="GY126" s="30"/>
      <c r="GZ126" s="30"/>
      <c r="HA126" s="30"/>
      <c r="HB126" s="30"/>
      <c r="HC126" s="30"/>
      <c r="HD126" s="30"/>
      <c r="HE126" s="30"/>
      <c r="HF126" s="30"/>
      <c r="HG126" s="30"/>
      <c r="HH126" s="30"/>
      <c r="HI126" s="30"/>
      <c r="HJ126" s="30"/>
      <c r="HK126" s="30"/>
      <c r="HL126" s="30"/>
      <c r="HM126" s="30"/>
      <c r="HN126" s="30"/>
      <c r="HO126" s="30"/>
      <c r="HP126" s="30"/>
      <c r="HQ126" s="30"/>
      <c r="HR126" s="30"/>
      <c r="HS126" s="30"/>
      <c r="HT126" s="30"/>
      <c r="HU126" s="30"/>
      <c r="HV126" s="30"/>
      <c r="HW126" s="30"/>
      <c r="HX126" s="30"/>
      <c r="HY126" s="30"/>
      <c r="HZ126" s="30"/>
      <c r="IA126" s="30"/>
      <c r="IB126" s="30"/>
      <c r="IC126" s="30"/>
      <c r="ID126" s="30"/>
      <c r="IE126" s="30"/>
      <c r="IF126" s="30"/>
      <c r="IG126" s="30"/>
      <c r="IH126" s="30"/>
      <c r="II126" s="30"/>
      <c r="IJ126" s="30"/>
      <c r="IK126" s="30"/>
      <c r="IL126" s="30"/>
      <c r="IM126" s="30"/>
      <c r="IN126" s="30"/>
      <c r="IO126" s="30"/>
      <c r="IP126" s="30"/>
      <c r="IQ126" s="30"/>
      <c r="IR126" s="31"/>
      <c r="IS126" s="31"/>
      <c r="IT126" s="31"/>
      <c r="IU126" s="31"/>
      <c r="IV126" s="31"/>
    </row>
    <row r="127" ht="11.25" customHeight="1">
      <c r="A127" s="29"/>
      <c r="B127" s="29"/>
      <c r="C127" s="29"/>
      <c r="D127" s="29"/>
      <c r="E127" s="29">
        <f>HLOOKUP($D$122,$B$3:$CW$114,99,0)</f>
        <v>6</v>
      </c>
      <c r="F127" s="29" t="s">
        <v>15</v>
      </c>
      <c r="G127" s="29"/>
      <c r="H127" s="29" t="s">
        <v>15</v>
      </c>
      <c r="I127" s="29"/>
      <c r="J127" s="29">
        <v>1.5</v>
      </c>
      <c r="K127" s="29">
        <v>9.5</v>
      </c>
      <c r="L127" s="29">
        <v>7.5</v>
      </c>
      <c r="M127" s="29">
        <v>4.5</v>
      </c>
      <c r="N127" s="29">
        <v>1.5</v>
      </c>
      <c r="O127" s="29">
        <v>-0.5</v>
      </c>
      <c r="P127" s="29">
        <f>DATA!E127</f>
        <v>6</v>
      </c>
      <c r="Q127" s="29"/>
      <c r="R127" s="29"/>
      <c r="S127" s="29"/>
      <c r="T127" s="29">
        <v>11.0</v>
      </c>
      <c r="U127" s="29" t="s">
        <v>153</v>
      </c>
      <c r="V127" s="29" t="s">
        <v>154</v>
      </c>
      <c r="W127" s="29" t="s">
        <v>155</v>
      </c>
      <c r="X127" s="29" t="s">
        <v>156</v>
      </c>
      <c r="Y127" s="29" t="s">
        <v>157</v>
      </c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29"/>
      <c r="BX127" s="29"/>
      <c r="BY127" s="29"/>
      <c r="BZ127" s="29"/>
      <c r="CA127" s="29"/>
      <c r="CB127" s="29"/>
      <c r="CC127" s="29"/>
      <c r="CD127" s="29"/>
      <c r="CE127" s="29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30"/>
      <c r="CY127" s="30"/>
      <c r="CZ127" s="30"/>
      <c r="DA127" s="30"/>
      <c r="DB127" s="30"/>
      <c r="DC127" s="30"/>
      <c r="DD127" s="30"/>
      <c r="DE127" s="30"/>
      <c r="DF127" s="30"/>
      <c r="DG127" s="30"/>
      <c r="DH127" s="30"/>
      <c r="DI127" s="30"/>
      <c r="DJ127" s="30"/>
      <c r="DK127" s="30"/>
      <c r="DL127" s="30"/>
      <c r="DM127" s="30"/>
      <c r="DN127" s="30"/>
      <c r="DO127" s="30"/>
      <c r="DP127" s="30"/>
      <c r="DQ127" s="30"/>
      <c r="DR127" s="30"/>
      <c r="DS127" s="30"/>
      <c r="DT127" s="30"/>
      <c r="DU127" s="30"/>
      <c r="DV127" s="30"/>
      <c r="DW127" s="30"/>
      <c r="DX127" s="30"/>
      <c r="DY127" s="30"/>
      <c r="DZ127" s="30"/>
      <c r="EA127" s="30"/>
      <c r="EB127" s="30"/>
      <c r="EC127" s="30"/>
      <c r="ED127" s="30"/>
      <c r="EE127" s="30"/>
      <c r="EF127" s="30"/>
      <c r="EG127" s="30"/>
      <c r="EH127" s="30"/>
      <c r="EI127" s="30"/>
      <c r="EJ127" s="30"/>
      <c r="EK127" s="30"/>
      <c r="EL127" s="30"/>
      <c r="EM127" s="30"/>
      <c r="EN127" s="30"/>
      <c r="EO127" s="30"/>
      <c r="EP127" s="30"/>
      <c r="EQ127" s="30"/>
      <c r="ER127" s="30"/>
      <c r="ES127" s="30"/>
      <c r="ET127" s="30"/>
      <c r="EU127" s="30"/>
      <c r="EV127" s="30"/>
      <c r="EW127" s="30"/>
      <c r="EX127" s="30"/>
      <c r="EY127" s="30"/>
      <c r="EZ127" s="30"/>
      <c r="FA127" s="30"/>
      <c r="FB127" s="30"/>
      <c r="FC127" s="30"/>
      <c r="FD127" s="30"/>
      <c r="FE127" s="30"/>
      <c r="FF127" s="30"/>
      <c r="FG127" s="30"/>
      <c r="FH127" s="30"/>
      <c r="FI127" s="30"/>
      <c r="FJ127" s="30"/>
      <c r="FK127" s="30"/>
      <c r="FL127" s="30"/>
      <c r="FM127" s="30"/>
      <c r="FN127" s="30"/>
      <c r="FO127" s="30"/>
      <c r="FP127" s="30"/>
      <c r="FQ127" s="30"/>
      <c r="FR127" s="30"/>
      <c r="FS127" s="30"/>
      <c r="FT127" s="30"/>
      <c r="FU127" s="30"/>
      <c r="FV127" s="30"/>
      <c r="FW127" s="30"/>
      <c r="FX127" s="30"/>
      <c r="FY127" s="30"/>
      <c r="FZ127" s="30"/>
      <c r="GA127" s="30"/>
      <c r="GB127" s="30"/>
      <c r="GC127" s="30"/>
      <c r="GD127" s="30"/>
      <c r="GE127" s="30"/>
      <c r="GF127" s="30"/>
      <c r="GG127" s="30"/>
      <c r="GH127" s="30"/>
      <c r="GI127" s="30"/>
      <c r="GJ127" s="30"/>
      <c r="GK127" s="30"/>
      <c r="GL127" s="30"/>
      <c r="GM127" s="30"/>
      <c r="GN127" s="30"/>
      <c r="GO127" s="30"/>
      <c r="GP127" s="30"/>
      <c r="GQ127" s="30"/>
      <c r="GR127" s="30"/>
      <c r="GS127" s="30"/>
      <c r="GT127" s="30"/>
      <c r="GU127" s="30"/>
      <c r="GV127" s="30"/>
      <c r="GW127" s="30"/>
      <c r="GX127" s="30"/>
      <c r="GY127" s="30"/>
      <c r="GZ127" s="30"/>
      <c r="HA127" s="30"/>
      <c r="HB127" s="30"/>
      <c r="HC127" s="30"/>
      <c r="HD127" s="30"/>
      <c r="HE127" s="30"/>
      <c r="HF127" s="30"/>
      <c r="HG127" s="30"/>
      <c r="HH127" s="30"/>
      <c r="HI127" s="30"/>
      <c r="HJ127" s="30"/>
      <c r="HK127" s="30"/>
      <c r="HL127" s="30"/>
      <c r="HM127" s="30"/>
      <c r="HN127" s="30"/>
      <c r="HO127" s="30"/>
      <c r="HP127" s="30"/>
      <c r="HQ127" s="30"/>
      <c r="HR127" s="30"/>
      <c r="HS127" s="30"/>
      <c r="HT127" s="30"/>
      <c r="HU127" s="30"/>
      <c r="HV127" s="30"/>
      <c r="HW127" s="30"/>
      <c r="HX127" s="30"/>
      <c r="HY127" s="30"/>
      <c r="HZ127" s="30"/>
      <c r="IA127" s="30"/>
      <c r="IB127" s="30"/>
      <c r="IC127" s="30"/>
      <c r="ID127" s="30"/>
      <c r="IE127" s="30"/>
      <c r="IF127" s="30"/>
      <c r="IG127" s="30"/>
      <c r="IH127" s="30"/>
      <c r="II127" s="30"/>
      <c r="IJ127" s="30"/>
      <c r="IK127" s="30"/>
      <c r="IL127" s="30"/>
      <c r="IM127" s="30"/>
      <c r="IN127" s="30"/>
      <c r="IO127" s="30"/>
      <c r="IP127" s="30"/>
      <c r="IQ127" s="30"/>
      <c r="IR127" s="31"/>
      <c r="IS127" s="31"/>
      <c r="IT127" s="31"/>
      <c r="IU127" s="31"/>
      <c r="IV127" s="31"/>
    </row>
    <row r="128" ht="11.25" customHeight="1">
      <c r="A128" s="29"/>
      <c r="B128" s="29"/>
      <c r="C128" s="29"/>
      <c r="D128" s="29"/>
      <c r="E128" s="29">
        <f>HLOOKUP($D$122,$B$3:$CW$114,98,0)</f>
        <v>5</v>
      </c>
      <c r="F128" s="29" t="s">
        <v>123</v>
      </c>
      <c r="G128" s="29"/>
      <c r="H128" s="29" t="s">
        <v>123</v>
      </c>
      <c r="I128" s="29"/>
      <c r="J128" s="29">
        <v>9.5</v>
      </c>
      <c r="K128" s="29">
        <v>8.5</v>
      </c>
      <c r="L128" s="29">
        <v>6.5</v>
      </c>
      <c r="M128" s="29">
        <v>2.5</v>
      </c>
      <c r="N128" s="29">
        <v>0.5</v>
      </c>
      <c r="O128" s="29">
        <v>-0.5</v>
      </c>
      <c r="P128" s="29">
        <f>DATA!E128</f>
        <v>5</v>
      </c>
      <c r="Q128" s="29"/>
      <c r="R128" s="29"/>
      <c r="S128" s="29"/>
      <c r="T128" s="29">
        <v>12.0</v>
      </c>
      <c r="U128" s="29" t="s">
        <v>158</v>
      </c>
      <c r="V128" s="29" t="s">
        <v>159</v>
      </c>
      <c r="W128" s="29" t="s">
        <v>160</v>
      </c>
      <c r="X128" s="29" t="s">
        <v>161</v>
      </c>
      <c r="Y128" s="29" t="s">
        <v>147</v>
      </c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30"/>
      <c r="CY128" s="30"/>
      <c r="CZ128" s="30"/>
      <c r="DA128" s="30"/>
      <c r="DB128" s="30"/>
      <c r="DC128" s="30"/>
      <c r="DD128" s="30"/>
      <c r="DE128" s="30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/>
      <c r="DW128" s="30"/>
      <c r="DX128" s="30"/>
      <c r="DY128" s="30"/>
      <c r="DZ128" s="30"/>
      <c r="EA128" s="30"/>
      <c r="EB128" s="30"/>
      <c r="EC128" s="30"/>
      <c r="ED128" s="30"/>
      <c r="EE128" s="30"/>
      <c r="EF128" s="30"/>
      <c r="EG128" s="30"/>
      <c r="EH128" s="30"/>
      <c r="EI128" s="30"/>
      <c r="EJ128" s="30"/>
      <c r="EK128" s="30"/>
      <c r="EL128" s="30"/>
      <c r="EM128" s="30"/>
      <c r="EN128" s="30"/>
      <c r="EO128" s="30"/>
      <c r="EP128" s="30"/>
      <c r="EQ128" s="30"/>
      <c r="ER128" s="30"/>
      <c r="ES128" s="30"/>
      <c r="ET128" s="30"/>
      <c r="EU128" s="30"/>
      <c r="EV128" s="30"/>
      <c r="EW128" s="30"/>
      <c r="EX128" s="30"/>
      <c r="EY128" s="30"/>
      <c r="EZ128" s="30"/>
      <c r="FA128" s="30"/>
      <c r="FB128" s="30"/>
      <c r="FC128" s="30"/>
      <c r="FD128" s="30"/>
      <c r="FE128" s="30"/>
      <c r="FF128" s="30"/>
      <c r="FG128" s="30"/>
      <c r="FH128" s="30"/>
      <c r="FI128" s="30"/>
      <c r="FJ128" s="30"/>
      <c r="FK128" s="30"/>
      <c r="FL128" s="30"/>
      <c r="FM128" s="30"/>
      <c r="FN128" s="30"/>
      <c r="FO128" s="30"/>
      <c r="FP128" s="30"/>
      <c r="FQ128" s="30"/>
      <c r="FR128" s="30"/>
      <c r="FS128" s="30"/>
      <c r="FT128" s="30"/>
      <c r="FU128" s="30"/>
      <c r="FV128" s="30"/>
      <c r="FW128" s="30"/>
      <c r="FX128" s="30"/>
      <c r="FY128" s="30"/>
      <c r="FZ128" s="30"/>
      <c r="GA128" s="30"/>
      <c r="GB128" s="30"/>
      <c r="GC128" s="30"/>
      <c r="GD128" s="30"/>
      <c r="GE128" s="30"/>
      <c r="GF128" s="30"/>
      <c r="GG128" s="30"/>
      <c r="GH128" s="30"/>
      <c r="GI128" s="30"/>
      <c r="GJ128" s="30"/>
      <c r="GK128" s="30"/>
      <c r="GL128" s="30"/>
      <c r="GM128" s="30"/>
      <c r="GN128" s="30"/>
      <c r="GO128" s="30"/>
      <c r="GP128" s="30"/>
      <c r="GQ128" s="30"/>
      <c r="GR128" s="30"/>
      <c r="GS128" s="30"/>
      <c r="GT128" s="30"/>
      <c r="GU128" s="30"/>
      <c r="GV128" s="30"/>
      <c r="GW128" s="30"/>
      <c r="GX128" s="30"/>
      <c r="GY128" s="30"/>
      <c r="GZ128" s="30"/>
      <c r="HA128" s="30"/>
      <c r="HB128" s="30"/>
      <c r="HC128" s="30"/>
      <c r="HD128" s="30"/>
      <c r="HE128" s="30"/>
      <c r="HF128" s="30"/>
      <c r="HG128" s="30"/>
      <c r="HH128" s="30"/>
      <c r="HI128" s="30"/>
      <c r="HJ128" s="30"/>
      <c r="HK128" s="30"/>
      <c r="HL128" s="30"/>
      <c r="HM128" s="30"/>
      <c r="HN128" s="30"/>
      <c r="HO128" s="30"/>
      <c r="HP128" s="30"/>
      <c r="HQ128" s="30"/>
      <c r="HR128" s="30"/>
      <c r="HS128" s="30"/>
      <c r="HT128" s="30"/>
      <c r="HU128" s="30"/>
      <c r="HV128" s="30"/>
      <c r="HW128" s="30"/>
      <c r="HX128" s="30"/>
      <c r="HY128" s="30"/>
      <c r="HZ128" s="30"/>
      <c r="IA128" s="30"/>
      <c r="IB128" s="30"/>
      <c r="IC128" s="30"/>
      <c r="ID128" s="30"/>
      <c r="IE128" s="30"/>
      <c r="IF128" s="30"/>
      <c r="IG128" s="30"/>
      <c r="IH128" s="30"/>
      <c r="II128" s="30"/>
      <c r="IJ128" s="30"/>
      <c r="IK128" s="30"/>
      <c r="IL128" s="30"/>
      <c r="IM128" s="30"/>
      <c r="IN128" s="30"/>
      <c r="IO128" s="30"/>
      <c r="IP128" s="30"/>
      <c r="IQ128" s="30"/>
      <c r="IR128" s="31"/>
      <c r="IS128" s="31"/>
      <c r="IT128" s="31"/>
      <c r="IU128" s="31"/>
      <c r="IV128" s="31"/>
    </row>
    <row r="129" ht="11.25" customHeight="1">
      <c r="A129" s="29"/>
      <c r="B129" s="29"/>
      <c r="C129" s="29"/>
      <c r="D129" s="29"/>
      <c r="E129" s="29">
        <f>HLOOKUP($D$122,$B$3:$CW$114,109,0)</f>
        <v>7</v>
      </c>
      <c r="F129" s="29" t="s">
        <v>133</v>
      </c>
      <c r="G129" s="29"/>
      <c r="H129" s="29" t="s">
        <v>133</v>
      </c>
      <c r="I129" s="29"/>
      <c r="J129" s="29">
        <v>9.5</v>
      </c>
      <c r="K129" s="29">
        <v>7.5</v>
      </c>
      <c r="L129" s="29">
        <v>5.5</v>
      </c>
      <c r="M129" s="29">
        <v>2.5</v>
      </c>
      <c r="N129" s="29">
        <v>0.5</v>
      </c>
      <c r="O129" s="29">
        <v>-0.5</v>
      </c>
      <c r="P129" s="29">
        <f>DATA!E129</f>
        <v>7</v>
      </c>
      <c r="Q129" s="29"/>
      <c r="R129" s="29"/>
      <c r="S129" s="29"/>
      <c r="T129" s="29">
        <v>13.0</v>
      </c>
      <c r="U129" s="29" t="s">
        <v>162</v>
      </c>
      <c r="V129" s="29" t="s">
        <v>163</v>
      </c>
      <c r="W129" s="29" t="s">
        <v>164</v>
      </c>
      <c r="X129" s="29" t="s">
        <v>147</v>
      </c>
      <c r="Y129" s="29" t="s">
        <v>147</v>
      </c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30"/>
      <c r="CY129" s="30"/>
      <c r="CZ129" s="30"/>
      <c r="DA129" s="30"/>
      <c r="DB129" s="30"/>
      <c r="DC129" s="30"/>
      <c r="DD129" s="30"/>
      <c r="DE129" s="30"/>
      <c r="DF129" s="30"/>
      <c r="DG129" s="30"/>
      <c r="DH129" s="30"/>
      <c r="DI129" s="30"/>
      <c r="DJ129" s="30"/>
      <c r="DK129" s="30"/>
      <c r="DL129" s="30"/>
      <c r="DM129" s="30"/>
      <c r="DN129" s="30"/>
      <c r="DO129" s="30"/>
      <c r="DP129" s="30"/>
      <c r="DQ129" s="30"/>
      <c r="DR129" s="30"/>
      <c r="DS129" s="30"/>
      <c r="DT129" s="30"/>
      <c r="DU129" s="30"/>
      <c r="DV129" s="30"/>
      <c r="DW129" s="30"/>
      <c r="DX129" s="30"/>
      <c r="DY129" s="30"/>
      <c r="DZ129" s="30"/>
      <c r="EA129" s="30"/>
      <c r="EB129" s="30"/>
      <c r="EC129" s="30"/>
      <c r="ED129" s="30"/>
      <c r="EE129" s="30"/>
      <c r="EF129" s="30"/>
      <c r="EG129" s="30"/>
      <c r="EH129" s="30"/>
      <c r="EI129" s="30"/>
      <c r="EJ129" s="30"/>
      <c r="EK129" s="30"/>
      <c r="EL129" s="30"/>
      <c r="EM129" s="30"/>
      <c r="EN129" s="30"/>
      <c r="EO129" s="30"/>
      <c r="EP129" s="30"/>
      <c r="EQ129" s="30"/>
      <c r="ER129" s="30"/>
      <c r="ES129" s="30"/>
      <c r="ET129" s="30"/>
      <c r="EU129" s="30"/>
      <c r="EV129" s="30"/>
      <c r="EW129" s="30"/>
      <c r="EX129" s="30"/>
      <c r="EY129" s="30"/>
      <c r="EZ129" s="30"/>
      <c r="FA129" s="30"/>
      <c r="FB129" s="30"/>
      <c r="FC129" s="30"/>
      <c r="FD129" s="30"/>
      <c r="FE129" s="30"/>
      <c r="FF129" s="30"/>
      <c r="FG129" s="30"/>
      <c r="FH129" s="30"/>
      <c r="FI129" s="30"/>
      <c r="FJ129" s="30"/>
      <c r="FK129" s="30"/>
      <c r="FL129" s="30"/>
      <c r="FM129" s="30"/>
      <c r="FN129" s="30"/>
      <c r="FO129" s="30"/>
      <c r="FP129" s="30"/>
      <c r="FQ129" s="30"/>
      <c r="FR129" s="30"/>
      <c r="FS129" s="30"/>
      <c r="FT129" s="30"/>
      <c r="FU129" s="30"/>
      <c r="FV129" s="30"/>
      <c r="FW129" s="30"/>
      <c r="FX129" s="30"/>
      <c r="FY129" s="30"/>
      <c r="FZ129" s="30"/>
      <c r="GA129" s="30"/>
      <c r="GB129" s="30"/>
      <c r="GC129" s="30"/>
      <c r="GD129" s="30"/>
      <c r="GE129" s="30"/>
      <c r="GF129" s="30"/>
      <c r="GG129" s="30"/>
      <c r="GH129" s="30"/>
      <c r="GI129" s="30"/>
      <c r="GJ129" s="30"/>
      <c r="GK129" s="30"/>
      <c r="GL129" s="30"/>
      <c r="GM129" s="30"/>
      <c r="GN129" s="30"/>
      <c r="GO129" s="30"/>
      <c r="GP129" s="30"/>
      <c r="GQ129" s="30"/>
      <c r="GR129" s="30"/>
      <c r="GS129" s="30"/>
      <c r="GT129" s="30"/>
      <c r="GU129" s="30"/>
      <c r="GV129" s="30"/>
      <c r="GW129" s="30"/>
      <c r="GX129" s="30"/>
      <c r="GY129" s="30"/>
      <c r="GZ129" s="30"/>
      <c r="HA129" s="30"/>
      <c r="HB129" s="30"/>
      <c r="HC129" s="30"/>
      <c r="HD129" s="30"/>
      <c r="HE129" s="30"/>
      <c r="HF129" s="30"/>
      <c r="HG129" s="30"/>
      <c r="HH129" s="30"/>
      <c r="HI129" s="30"/>
      <c r="HJ129" s="30"/>
      <c r="HK129" s="30"/>
      <c r="HL129" s="30"/>
      <c r="HM129" s="30"/>
      <c r="HN129" s="30"/>
      <c r="HO129" s="30"/>
      <c r="HP129" s="30"/>
      <c r="HQ129" s="30"/>
      <c r="HR129" s="30"/>
      <c r="HS129" s="30"/>
      <c r="HT129" s="30"/>
      <c r="HU129" s="30"/>
      <c r="HV129" s="30"/>
      <c r="HW129" s="30"/>
      <c r="HX129" s="30"/>
      <c r="HY129" s="30"/>
      <c r="HZ129" s="30"/>
      <c r="IA129" s="30"/>
      <c r="IB129" s="30"/>
      <c r="IC129" s="30"/>
      <c r="ID129" s="30"/>
      <c r="IE129" s="30"/>
      <c r="IF129" s="30"/>
      <c r="IG129" s="30"/>
      <c r="IH129" s="30"/>
      <c r="II129" s="30"/>
      <c r="IJ129" s="30"/>
      <c r="IK129" s="30"/>
      <c r="IL129" s="30"/>
      <c r="IM129" s="30"/>
      <c r="IN129" s="30"/>
      <c r="IO129" s="30"/>
      <c r="IP129" s="30"/>
      <c r="IQ129" s="30"/>
      <c r="IR129" s="31"/>
      <c r="IS129" s="31"/>
      <c r="IT129" s="31"/>
      <c r="IU129" s="31"/>
      <c r="IV129" s="31"/>
    </row>
    <row r="130" ht="11.25" customHeight="1">
      <c r="A130" s="29"/>
      <c r="B130" s="29"/>
      <c r="C130" s="29"/>
      <c r="D130" s="29"/>
      <c r="E130" s="29">
        <f>HLOOKUP($D$122,$B$3:$CW$114,97,0)</f>
        <v>4</v>
      </c>
      <c r="F130" s="29" t="s">
        <v>122</v>
      </c>
      <c r="G130" s="29"/>
      <c r="H130" s="29" t="s">
        <v>122</v>
      </c>
      <c r="I130" s="29"/>
      <c r="J130" s="29">
        <v>2.5</v>
      </c>
      <c r="K130" s="29">
        <v>9.5</v>
      </c>
      <c r="L130" s="29">
        <v>7.5</v>
      </c>
      <c r="M130" s="29">
        <v>4.5</v>
      </c>
      <c r="N130" s="29">
        <v>2.5</v>
      </c>
      <c r="O130" s="29">
        <v>-0.5</v>
      </c>
      <c r="P130" s="29">
        <f>DATA!E130</f>
        <v>4</v>
      </c>
      <c r="Q130" s="29"/>
      <c r="R130" s="29"/>
      <c r="S130" s="29"/>
      <c r="T130" s="29">
        <v>14.0</v>
      </c>
      <c r="U130" s="29" t="s">
        <v>165</v>
      </c>
      <c r="V130" s="29" t="s">
        <v>166</v>
      </c>
      <c r="W130" s="29" t="s">
        <v>167</v>
      </c>
      <c r="X130" s="29" t="s">
        <v>168</v>
      </c>
      <c r="Y130" s="29" t="s">
        <v>169</v>
      </c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29"/>
      <c r="BX130" s="29"/>
      <c r="BY130" s="29"/>
      <c r="BZ130" s="29"/>
      <c r="CA130" s="29"/>
      <c r="CB130" s="29"/>
      <c r="CC130" s="29"/>
      <c r="CD130" s="29"/>
      <c r="CE130" s="29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30"/>
      <c r="CY130" s="30"/>
      <c r="CZ130" s="30"/>
      <c r="DA130" s="30"/>
      <c r="DB130" s="30"/>
      <c r="DC130" s="30"/>
      <c r="DD130" s="30"/>
      <c r="DE130" s="30"/>
      <c r="DF130" s="30"/>
      <c r="DG130" s="30"/>
      <c r="DH130" s="30"/>
      <c r="DI130" s="30"/>
      <c r="DJ130" s="30"/>
      <c r="DK130" s="30"/>
      <c r="DL130" s="30"/>
      <c r="DM130" s="30"/>
      <c r="DN130" s="30"/>
      <c r="DO130" s="30"/>
      <c r="DP130" s="30"/>
      <c r="DQ130" s="30"/>
      <c r="DR130" s="30"/>
      <c r="DS130" s="30"/>
      <c r="DT130" s="30"/>
      <c r="DU130" s="30"/>
      <c r="DV130" s="30"/>
      <c r="DW130" s="30"/>
      <c r="DX130" s="30"/>
      <c r="DY130" s="30"/>
      <c r="DZ130" s="30"/>
      <c r="EA130" s="30"/>
      <c r="EB130" s="30"/>
      <c r="EC130" s="30"/>
      <c r="ED130" s="30"/>
      <c r="EE130" s="30"/>
      <c r="EF130" s="30"/>
      <c r="EG130" s="30"/>
      <c r="EH130" s="30"/>
      <c r="EI130" s="30"/>
      <c r="EJ130" s="30"/>
      <c r="EK130" s="30"/>
      <c r="EL130" s="30"/>
      <c r="EM130" s="30"/>
      <c r="EN130" s="30"/>
      <c r="EO130" s="30"/>
      <c r="EP130" s="30"/>
      <c r="EQ130" s="30"/>
      <c r="ER130" s="30"/>
      <c r="ES130" s="30"/>
      <c r="ET130" s="30"/>
      <c r="EU130" s="30"/>
      <c r="EV130" s="30"/>
      <c r="EW130" s="30"/>
      <c r="EX130" s="30"/>
      <c r="EY130" s="30"/>
      <c r="EZ130" s="30"/>
      <c r="FA130" s="30"/>
      <c r="FB130" s="30"/>
      <c r="FC130" s="30"/>
      <c r="FD130" s="30"/>
      <c r="FE130" s="30"/>
      <c r="FF130" s="30"/>
      <c r="FG130" s="30"/>
      <c r="FH130" s="30"/>
      <c r="FI130" s="30"/>
      <c r="FJ130" s="30"/>
      <c r="FK130" s="30"/>
      <c r="FL130" s="30"/>
      <c r="FM130" s="30"/>
      <c r="FN130" s="30"/>
      <c r="FO130" s="30"/>
      <c r="FP130" s="30"/>
      <c r="FQ130" s="30"/>
      <c r="FR130" s="30"/>
      <c r="FS130" s="30"/>
      <c r="FT130" s="30"/>
      <c r="FU130" s="30"/>
      <c r="FV130" s="30"/>
      <c r="FW130" s="30"/>
      <c r="FX130" s="30"/>
      <c r="FY130" s="30"/>
      <c r="FZ130" s="30"/>
      <c r="GA130" s="30"/>
      <c r="GB130" s="30"/>
      <c r="GC130" s="30"/>
      <c r="GD130" s="30"/>
      <c r="GE130" s="30"/>
      <c r="GF130" s="30"/>
      <c r="GG130" s="30"/>
      <c r="GH130" s="30"/>
      <c r="GI130" s="30"/>
      <c r="GJ130" s="30"/>
      <c r="GK130" s="30"/>
      <c r="GL130" s="30"/>
      <c r="GM130" s="30"/>
      <c r="GN130" s="30"/>
      <c r="GO130" s="30"/>
      <c r="GP130" s="30"/>
      <c r="GQ130" s="30"/>
      <c r="GR130" s="30"/>
      <c r="GS130" s="30"/>
      <c r="GT130" s="30"/>
      <c r="GU130" s="30"/>
      <c r="GV130" s="30"/>
      <c r="GW130" s="30"/>
      <c r="GX130" s="30"/>
      <c r="GY130" s="30"/>
      <c r="GZ130" s="30"/>
      <c r="HA130" s="30"/>
      <c r="HB130" s="30"/>
      <c r="HC130" s="30"/>
      <c r="HD130" s="30"/>
      <c r="HE130" s="30"/>
      <c r="HF130" s="30"/>
      <c r="HG130" s="30"/>
      <c r="HH130" s="30"/>
      <c r="HI130" s="30"/>
      <c r="HJ130" s="30"/>
      <c r="HK130" s="30"/>
      <c r="HL130" s="30"/>
      <c r="HM130" s="30"/>
      <c r="HN130" s="30"/>
      <c r="HO130" s="30"/>
      <c r="HP130" s="30"/>
      <c r="HQ130" s="30"/>
      <c r="HR130" s="30"/>
      <c r="HS130" s="30"/>
      <c r="HT130" s="30"/>
      <c r="HU130" s="30"/>
      <c r="HV130" s="30"/>
      <c r="HW130" s="30"/>
      <c r="HX130" s="30"/>
      <c r="HY130" s="30"/>
      <c r="HZ130" s="30"/>
      <c r="IA130" s="30"/>
      <c r="IB130" s="30"/>
      <c r="IC130" s="30"/>
      <c r="ID130" s="30"/>
      <c r="IE130" s="30"/>
      <c r="IF130" s="30"/>
      <c r="IG130" s="30"/>
      <c r="IH130" s="30"/>
      <c r="II130" s="30"/>
      <c r="IJ130" s="30"/>
      <c r="IK130" s="30"/>
      <c r="IL130" s="30"/>
      <c r="IM130" s="30"/>
      <c r="IN130" s="30"/>
      <c r="IO130" s="30"/>
      <c r="IP130" s="30"/>
      <c r="IQ130" s="30"/>
      <c r="IR130" s="31"/>
      <c r="IS130" s="31"/>
      <c r="IT130" s="31"/>
      <c r="IU130" s="31"/>
      <c r="IV130" s="31"/>
    </row>
    <row r="131" ht="11.25" customHeight="1">
      <c r="A131" s="29"/>
      <c r="B131" s="29"/>
      <c r="C131" s="29"/>
      <c r="D131" s="29"/>
      <c r="E131" s="29">
        <f>HLOOKUP($D$122,$B$3:$CW$114,108,0)</f>
        <v>1</v>
      </c>
      <c r="F131" s="29" t="s">
        <v>132</v>
      </c>
      <c r="G131" s="29"/>
      <c r="H131" s="29" t="s">
        <v>132</v>
      </c>
      <c r="I131" s="29"/>
      <c r="J131" s="29">
        <v>9.5</v>
      </c>
      <c r="K131" s="29">
        <v>7.5</v>
      </c>
      <c r="L131" s="29">
        <v>5.5</v>
      </c>
      <c r="M131" s="29">
        <v>1.5</v>
      </c>
      <c r="N131" s="29">
        <v>0.5</v>
      </c>
      <c r="O131" s="29">
        <v>-0.5</v>
      </c>
      <c r="P131" s="29">
        <f>DATA!E131</f>
        <v>1</v>
      </c>
      <c r="Q131" s="29"/>
      <c r="R131" s="29"/>
      <c r="S131" s="29"/>
      <c r="T131" s="29">
        <v>15.0</v>
      </c>
      <c r="U131" s="29" t="s">
        <v>170</v>
      </c>
      <c r="V131" s="29" t="s">
        <v>171</v>
      </c>
      <c r="W131" s="29" t="s">
        <v>172</v>
      </c>
      <c r="X131" s="29" t="s">
        <v>173</v>
      </c>
      <c r="Y131" s="29" t="s">
        <v>174</v>
      </c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/>
      <c r="CE131" s="29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30"/>
      <c r="CY131" s="30"/>
      <c r="CZ131" s="30"/>
      <c r="DA131" s="30"/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30"/>
      <c r="DX131" s="3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  <c r="EO131" s="30"/>
      <c r="EP131" s="30"/>
      <c r="EQ131" s="30"/>
      <c r="ER131" s="30"/>
      <c r="ES131" s="30"/>
      <c r="ET131" s="30"/>
      <c r="EU131" s="30"/>
      <c r="EV131" s="30"/>
      <c r="EW131" s="30"/>
      <c r="EX131" s="30"/>
      <c r="EY131" s="30"/>
      <c r="EZ131" s="30"/>
      <c r="FA131" s="30"/>
      <c r="FB131" s="30"/>
      <c r="FC131" s="30"/>
      <c r="FD131" s="30"/>
      <c r="FE131" s="30"/>
      <c r="FF131" s="30"/>
      <c r="FG131" s="30"/>
      <c r="FH131" s="30"/>
      <c r="FI131" s="30"/>
      <c r="FJ131" s="30"/>
      <c r="FK131" s="30"/>
      <c r="FL131" s="30"/>
      <c r="FM131" s="30"/>
      <c r="FN131" s="30"/>
      <c r="FO131" s="30"/>
      <c r="FP131" s="30"/>
      <c r="FQ131" s="30"/>
      <c r="FR131" s="30"/>
      <c r="FS131" s="30"/>
      <c r="FT131" s="30"/>
      <c r="FU131" s="30"/>
      <c r="FV131" s="30"/>
      <c r="FW131" s="30"/>
      <c r="FX131" s="30"/>
      <c r="FY131" s="30"/>
      <c r="FZ131" s="30"/>
      <c r="GA131" s="30"/>
      <c r="GB131" s="30"/>
      <c r="GC131" s="30"/>
      <c r="GD131" s="30"/>
      <c r="GE131" s="30"/>
      <c r="GF131" s="30"/>
      <c r="GG131" s="30"/>
      <c r="GH131" s="30"/>
      <c r="GI131" s="30"/>
      <c r="GJ131" s="30"/>
      <c r="GK131" s="30"/>
      <c r="GL131" s="30"/>
      <c r="GM131" s="30"/>
      <c r="GN131" s="30"/>
      <c r="GO131" s="30"/>
      <c r="GP131" s="30"/>
      <c r="GQ131" s="30"/>
      <c r="GR131" s="30"/>
      <c r="GS131" s="30"/>
      <c r="GT131" s="30"/>
      <c r="GU131" s="30"/>
      <c r="GV131" s="30"/>
      <c r="GW131" s="30"/>
      <c r="GX131" s="30"/>
      <c r="GY131" s="30"/>
      <c r="GZ131" s="30"/>
      <c r="HA131" s="30"/>
      <c r="HB131" s="30"/>
      <c r="HC131" s="30"/>
      <c r="HD131" s="30"/>
      <c r="HE131" s="30"/>
      <c r="HF131" s="30"/>
      <c r="HG131" s="30"/>
      <c r="HH131" s="30"/>
      <c r="HI131" s="30"/>
      <c r="HJ131" s="30"/>
      <c r="HK131" s="30"/>
      <c r="HL131" s="30"/>
      <c r="HM131" s="30"/>
      <c r="HN131" s="30"/>
      <c r="HO131" s="30"/>
      <c r="HP131" s="30"/>
      <c r="HQ131" s="30"/>
      <c r="HR131" s="30"/>
      <c r="HS131" s="30"/>
      <c r="HT131" s="30"/>
      <c r="HU131" s="30"/>
      <c r="HV131" s="30"/>
      <c r="HW131" s="30"/>
      <c r="HX131" s="30"/>
      <c r="HY131" s="30"/>
      <c r="HZ131" s="30"/>
      <c r="IA131" s="30"/>
      <c r="IB131" s="30"/>
      <c r="IC131" s="30"/>
      <c r="ID131" s="30"/>
      <c r="IE131" s="30"/>
      <c r="IF131" s="30"/>
      <c r="IG131" s="30"/>
      <c r="IH131" s="30"/>
      <c r="II131" s="30"/>
      <c r="IJ131" s="30"/>
      <c r="IK131" s="30"/>
      <c r="IL131" s="30"/>
      <c r="IM131" s="30"/>
      <c r="IN131" s="30"/>
      <c r="IO131" s="30"/>
      <c r="IP131" s="30"/>
      <c r="IQ131" s="30"/>
      <c r="IR131" s="31"/>
      <c r="IS131" s="31"/>
      <c r="IT131" s="31"/>
      <c r="IU131" s="31"/>
      <c r="IV131" s="31"/>
    </row>
    <row r="132" ht="11.25" customHeight="1">
      <c r="A132" s="29"/>
      <c r="B132" s="29"/>
      <c r="C132" s="29"/>
      <c r="D132" s="29"/>
      <c r="E132" s="29">
        <f>HLOOKUP($D$122,$B$3:$CW$114,107,0)</f>
        <v>2</v>
      </c>
      <c r="F132" s="29" t="s">
        <v>131</v>
      </c>
      <c r="G132" s="29"/>
      <c r="H132" s="29" t="s">
        <v>131</v>
      </c>
      <c r="I132" s="29"/>
      <c r="J132" s="29">
        <v>9.5</v>
      </c>
      <c r="K132" s="29">
        <v>0.5</v>
      </c>
      <c r="L132" s="29">
        <v>6.5</v>
      </c>
      <c r="M132" s="29">
        <v>0.5</v>
      </c>
      <c r="N132" s="29">
        <v>-0.5</v>
      </c>
      <c r="O132" s="29">
        <v>-0.5</v>
      </c>
      <c r="P132" s="29">
        <f>DATA!E132</f>
        <v>2</v>
      </c>
      <c r="Q132" s="29"/>
      <c r="R132" s="29"/>
      <c r="S132" s="29"/>
      <c r="T132" s="29">
        <v>16.0</v>
      </c>
      <c r="U132" s="29" t="s">
        <v>175</v>
      </c>
      <c r="V132" s="29" t="s">
        <v>176</v>
      </c>
      <c r="W132" s="29" t="s">
        <v>177</v>
      </c>
      <c r="X132" s="29" t="s">
        <v>147</v>
      </c>
      <c r="Y132" s="29" t="s">
        <v>147</v>
      </c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29"/>
      <c r="BX132" s="29"/>
      <c r="BY132" s="29"/>
      <c r="BZ132" s="29"/>
      <c r="CA132" s="29"/>
      <c r="CB132" s="29"/>
      <c r="CC132" s="29"/>
      <c r="CD132" s="29"/>
      <c r="CE132" s="29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30"/>
      <c r="CY132" s="30"/>
      <c r="CZ132" s="30"/>
      <c r="DA132" s="30"/>
      <c r="DB132" s="30"/>
      <c r="DC132" s="30"/>
      <c r="DD132" s="30"/>
      <c r="DE132" s="30"/>
      <c r="DF132" s="30"/>
      <c r="DG132" s="30"/>
      <c r="DH132" s="30"/>
      <c r="DI132" s="30"/>
      <c r="DJ132" s="30"/>
      <c r="DK132" s="30"/>
      <c r="DL132" s="30"/>
      <c r="DM132" s="30"/>
      <c r="DN132" s="30"/>
      <c r="DO132" s="30"/>
      <c r="DP132" s="30"/>
      <c r="DQ132" s="30"/>
      <c r="DR132" s="30"/>
      <c r="DS132" s="30"/>
      <c r="DT132" s="30"/>
      <c r="DU132" s="30"/>
      <c r="DV132" s="30"/>
      <c r="DW132" s="30"/>
      <c r="DX132" s="30"/>
      <c r="DY132" s="30"/>
      <c r="DZ132" s="30"/>
      <c r="EA132" s="30"/>
      <c r="EB132" s="30"/>
      <c r="EC132" s="30"/>
      <c r="ED132" s="30"/>
      <c r="EE132" s="30"/>
      <c r="EF132" s="30"/>
      <c r="EG132" s="30"/>
      <c r="EH132" s="30"/>
      <c r="EI132" s="30"/>
      <c r="EJ132" s="30"/>
      <c r="EK132" s="30"/>
      <c r="EL132" s="30"/>
      <c r="EM132" s="30"/>
      <c r="EN132" s="30"/>
      <c r="EO132" s="30"/>
      <c r="EP132" s="30"/>
      <c r="EQ132" s="30"/>
      <c r="ER132" s="30"/>
      <c r="ES132" s="30"/>
      <c r="ET132" s="30"/>
      <c r="EU132" s="30"/>
      <c r="EV132" s="30"/>
      <c r="EW132" s="30"/>
      <c r="EX132" s="30"/>
      <c r="EY132" s="30"/>
      <c r="EZ132" s="30"/>
      <c r="FA132" s="30"/>
      <c r="FB132" s="30"/>
      <c r="FC132" s="30"/>
      <c r="FD132" s="30"/>
      <c r="FE132" s="30"/>
      <c r="FF132" s="30"/>
      <c r="FG132" s="30"/>
      <c r="FH132" s="30"/>
      <c r="FI132" s="30"/>
      <c r="FJ132" s="30"/>
      <c r="FK132" s="30"/>
      <c r="FL132" s="30"/>
      <c r="FM132" s="30"/>
      <c r="FN132" s="30"/>
      <c r="FO132" s="30"/>
      <c r="FP132" s="30"/>
      <c r="FQ132" s="30"/>
      <c r="FR132" s="30"/>
      <c r="FS132" s="30"/>
      <c r="FT132" s="30"/>
      <c r="FU132" s="30"/>
      <c r="FV132" s="30"/>
      <c r="FW132" s="30"/>
      <c r="FX132" s="30"/>
      <c r="FY132" s="30"/>
      <c r="FZ132" s="30"/>
      <c r="GA132" s="30"/>
      <c r="GB132" s="30"/>
      <c r="GC132" s="30"/>
      <c r="GD132" s="30"/>
      <c r="GE132" s="30"/>
      <c r="GF132" s="30"/>
      <c r="GG132" s="30"/>
      <c r="GH132" s="30"/>
      <c r="GI132" s="30"/>
      <c r="GJ132" s="30"/>
      <c r="GK132" s="30"/>
      <c r="GL132" s="30"/>
      <c r="GM132" s="30"/>
      <c r="GN132" s="30"/>
      <c r="GO132" s="30"/>
      <c r="GP132" s="30"/>
      <c r="GQ132" s="30"/>
      <c r="GR132" s="30"/>
      <c r="GS132" s="30"/>
      <c r="GT132" s="30"/>
      <c r="GU132" s="30"/>
      <c r="GV132" s="30"/>
      <c r="GW132" s="30"/>
      <c r="GX132" s="30"/>
      <c r="GY132" s="30"/>
      <c r="GZ132" s="30"/>
      <c r="HA132" s="30"/>
      <c r="HB132" s="30"/>
      <c r="HC132" s="30"/>
      <c r="HD132" s="30"/>
      <c r="HE132" s="30"/>
      <c r="HF132" s="30"/>
      <c r="HG132" s="30"/>
      <c r="HH132" s="30"/>
      <c r="HI132" s="30"/>
      <c r="HJ132" s="30"/>
      <c r="HK132" s="30"/>
      <c r="HL132" s="30"/>
      <c r="HM132" s="30"/>
      <c r="HN132" s="30"/>
      <c r="HO132" s="30"/>
      <c r="HP132" s="30"/>
      <c r="HQ132" s="30"/>
      <c r="HR132" s="30"/>
      <c r="HS132" s="30"/>
      <c r="HT132" s="30"/>
      <c r="HU132" s="30"/>
      <c r="HV132" s="30"/>
      <c r="HW132" s="30"/>
      <c r="HX132" s="30"/>
      <c r="HY132" s="30"/>
      <c r="HZ132" s="30"/>
      <c r="IA132" s="30"/>
      <c r="IB132" s="30"/>
      <c r="IC132" s="30"/>
      <c r="ID132" s="30"/>
      <c r="IE132" s="30"/>
      <c r="IF132" s="30"/>
      <c r="IG132" s="30"/>
      <c r="IH132" s="30"/>
      <c r="II132" s="30"/>
      <c r="IJ132" s="30"/>
      <c r="IK132" s="30"/>
      <c r="IL132" s="30"/>
      <c r="IM132" s="30"/>
      <c r="IN132" s="30"/>
      <c r="IO132" s="30"/>
      <c r="IP132" s="30"/>
      <c r="IQ132" s="30"/>
      <c r="IR132" s="31"/>
      <c r="IS132" s="31"/>
      <c r="IT132" s="31"/>
      <c r="IU132" s="31"/>
      <c r="IV132" s="31"/>
    </row>
    <row r="133" ht="11.25" customHeight="1">
      <c r="A133" s="29"/>
      <c r="B133" s="29"/>
      <c r="C133" s="29"/>
      <c r="D133" s="29"/>
      <c r="E133" s="29">
        <f>HLOOKUP($D$122,$B$3:$CW$114,96,0)</f>
        <v>3</v>
      </c>
      <c r="F133" s="29" t="s">
        <v>121</v>
      </c>
      <c r="G133" s="29"/>
      <c r="H133" s="29" t="s">
        <v>121</v>
      </c>
      <c r="I133" s="29"/>
      <c r="J133" s="29">
        <v>9.5</v>
      </c>
      <c r="K133" s="29">
        <v>8.5</v>
      </c>
      <c r="L133" s="29">
        <v>7.5</v>
      </c>
      <c r="M133" s="29">
        <v>3.5</v>
      </c>
      <c r="N133" s="29">
        <v>0.5</v>
      </c>
      <c r="O133" s="29">
        <v>-0.5</v>
      </c>
      <c r="P133" s="29">
        <f>DATA!E133</f>
        <v>3</v>
      </c>
      <c r="Q133" s="29"/>
      <c r="R133" s="29"/>
      <c r="S133" s="29"/>
      <c r="T133" s="29">
        <v>17.0</v>
      </c>
      <c r="U133" s="29" t="s">
        <v>178</v>
      </c>
      <c r="V133" s="29" t="s">
        <v>179</v>
      </c>
      <c r="W133" s="29" t="s">
        <v>147</v>
      </c>
      <c r="X133" s="29" t="s">
        <v>147</v>
      </c>
      <c r="Y133" s="29" t="s">
        <v>147</v>
      </c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29"/>
      <c r="BX133" s="29"/>
      <c r="BY133" s="29"/>
      <c r="BZ133" s="29"/>
      <c r="CA133" s="29"/>
      <c r="CB133" s="29"/>
      <c r="CC133" s="29"/>
      <c r="CD133" s="29"/>
      <c r="CE133" s="29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30"/>
      <c r="CY133" s="30"/>
      <c r="CZ133" s="30"/>
      <c r="DA133" s="30"/>
      <c r="DB133" s="30"/>
      <c r="DC133" s="30"/>
      <c r="DD133" s="30"/>
      <c r="DE133" s="30"/>
      <c r="DF133" s="30"/>
      <c r="DG133" s="30"/>
      <c r="DH133" s="30"/>
      <c r="DI133" s="30"/>
      <c r="DJ133" s="30"/>
      <c r="DK133" s="30"/>
      <c r="DL133" s="30"/>
      <c r="DM133" s="30"/>
      <c r="DN133" s="30"/>
      <c r="DO133" s="30"/>
      <c r="DP133" s="30"/>
      <c r="DQ133" s="30"/>
      <c r="DR133" s="30"/>
      <c r="DS133" s="30"/>
      <c r="DT133" s="30"/>
      <c r="DU133" s="30"/>
      <c r="DV133" s="30"/>
      <c r="DW133" s="30"/>
      <c r="DX133" s="30"/>
      <c r="DY133" s="30"/>
      <c r="DZ133" s="30"/>
      <c r="EA133" s="30"/>
      <c r="EB133" s="30"/>
      <c r="EC133" s="30"/>
      <c r="ED133" s="30"/>
      <c r="EE133" s="30"/>
      <c r="EF133" s="30"/>
      <c r="EG133" s="30"/>
      <c r="EH133" s="30"/>
      <c r="EI133" s="30"/>
      <c r="EJ133" s="30"/>
      <c r="EK133" s="30"/>
      <c r="EL133" s="30"/>
      <c r="EM133" s="30"/>
      <c r="EN133" s="30"/>
      <c r="EO133" s="30"/>
      <c r="EP133" s="30"/>
      <c r="EQ133" s="30"/>
      <c r="ER133" s="30"/>
      <c r="ES133" s="30"/>
      <c r="ET133" s="30"/>
      <c r="EU133" s="30"/>
      <c r="EV133" s="30"/>
      <c r="EW133" s="30"/>
      <c r="EX133" s="30"/>
      <c r="EY133" s="30"/>
      <c r="EZ133" s="30"/>
      <c r="FA133" s="30"/>
      <c r="FB133" s="30"/>
      <c r="FC133" s="30"/>
      <c r="FD133" s="30"/>
      <c r="FE133" s="30"/>
      <c r="FF133" s="30"/>
      <c r="FG133" s="30"/>
      <c r="FH133" s="30"/>
      <c r="FI133" s="30"/>
      <c r="FJ133" s="30"/>
      <c r="FK133" s="30"/>
      <c r="FL133" s="30"/>
      <c r="FM133" s="30"/>
      <c r="FN133" s="30"/>
      <c r="FO133" s="30"/>
      <c r="FP133" s="30"/>
      <c r="FQ133" s="30"/>
      <c r="FR133" s="30"/>
      <c r="FS133" s="30"/>
      <c r="FT133" s="30"/>
      <c r="FU133" s="30"/>
      <c r="FV133" s="30"/>
      <c r="FW133" s="30"/>
      <c r="FX133" s="30"/>
      <c r="FY133" s="30"/>
      <c r="FZ133" s="30"/>
      <c r="GA133" s="30"/>
      <c r="GB133" s="30"/>
      <c r="GC133" s="30"/>
      <c r="GD133" s="30"/>
      <c r="GE133" s="30"/>
      <c r="GF133" s="30"/>
      <c r="GG133" s="30"/>
      <c r="GH133" s="30"/>
      <c r="GI133" s="30"/>
      <c r="GJ133" s="30"/>
      <c r="GK133" s="30"/>
      <c r="GL133" s="30"/>
      <c r="GM133" s="30"/>
      <c r="GN133" s="30"/>
      <c r="GO133" s="30"/>
      <c r="GP133" s="30"/>
      <c r="GQ133" s="30"/>
      <c r="GR133" s="30"/>
      <c r="GS133" s="30"/>
      <c r="GT133" s="30"/>
      <c r="GU133" s="30"/>
      <c r="GV133" s="30"/>
      <c r="GW133" s="30"/>
      <c r="GX133" s="30"/>
      <c r="GY133" s="30"/>
      <c r="GZ133" s="30"/>
      <c r="HA133" s="30"/>
      <c r="HB133" s="30"/>
      <c r="HC133" s="30"/>
      <c r="HD133" s="30"/>
      <c r="HE133" s="30"/>
      <c r="HF133" s="30"/>
      <c r="HG133" s="30"/>
      <c r="HH133" s="30"/>
      <c r="HI133" s="30"/>
      <c r="HJ133" s="30"/>
      <c r="HK133" s="30"/>
      <c r="HL133" s="30"/>
      <c r="HM133" s="30"/>
      <c r="HN133" s="30"/>
      <c r="HO133" s="30"/>
      <c r="HP133" s="30"/>
      <c r="HQ133" s="30"/>
      <c r="HR133" s="30"/>
      <c r="HS133" s="30"/>
      <c r="HT133" s="30"/>
      <c r="HU133" s="30"/>
      <c r="HV133" s="30"/>
      <c r="HW133" s="30"/>
      <c r="HX133" s="30"/>
      <c r="HY133" s="30"/>
      <c r="HZ133" s="30"/>
      <c r="IA133" s="30"/>
      <c r="IB133" s="30"/>
      <c r="IC133" s="30"/>
      <c r="ID133" s="30"/>
      <c r="IE133" s="30"/>
      <c r="IF133" s="30"/>
      <c r="IG133" s="30"/>
      <c r="IH133" s="30"/>
      <c r="II133" s="30"/>
      <c r="IJ133" s="30"/>
      <c r="IK133" s="30"/>
      <c r="IL133" s="30"/>
      <c r="IM133" s="30"/>
      <c r="IN133" s="30"/>
      <c r="IO133" s="30"/>
      <c r="IP133" s="30"/>
      <c r="IQ133" s="30"/>
      <c r="IR133" s="31"/>
      <c r="IS133" s="31"/>
      <c r="IT133" s="31"/>
      <c r="IU133" s="31"/>
      <c r="IV133" s="31"/>
    </row>
    <row r="134" ht="11.25" customHeight="1">
      <c r="A134" s="29"/>
      <c r="B134" s="29"/>
      <c r="C134" s="29"/>
      <c r="D134" s="29"/>
      <c r="E134" s="29">
        <f>HLOOKUP($D$122,$B$3:$CW$114,95,0)</f>
        <v>2</v>
      </c>
      <c r="F134" s="29" t="s">
        <v>120</v>
      </c>
      <c r="G134" s="29"/>
      <c r="H134" s="29" t="s">
        <v>120</v>
      </c>
      <c r="I134" s="29"/>
      <c r="J134" s="29">
        <v>9.5</v>
      </c>
      <c r="K134" s="29">
        <v>5.5</v>
      </c>
      <c r="L134" s="29">
        <v>0.5</v>
      </c>
      <c r="M134" s="29">
        <v>5.5</v>
      </c>
      <c r="N134" s="29">
        <v>-0.5</v>
      </c>
      <c r="O134" s="29">
        <v>-0.5</v>
      </c>
      <c r="P134" s="29">
        <f>DATA!E134</f>
        <v>2</v>
      </c>
      <c r="Q134" s="29"/>
      <c r="R134" s="29"/>
      <c r="S134" s="29"/>
      <c r="T134" s="29">
        <v>18.0</v>
      </c>
      <c r="U134" s="29" t="s">
        <v>180</v>
      </c>
      <c r="V134" s="29" t="s">
        <v>181</v>
      </c>
      <c r="W134" s="29" t="s">
        <v>182</v>
      </c>
      <c r="X134" s="29" t="s">
        <v>183</v>
      </c>
      <c r="Y134" s="29" t="s">
        <v>184</v>
      </c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29"/>
      <c r="BX134" s="29"/>
      <c r="BY134" s="29"/>
      <c r="BZ134" s="29"/>
      <c r="CA134" s="29"/>
      <c r="CB134" s="29"/>
      <c r="CC134" s="29"/>
      <c r="CD134" s="29"/>
      <c r="CE134" s="29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30"/>
      <c r="CY134" s="30"/>
      <c r="CZ134" s="30"/>
      <c r="DA134" s="30"/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30"/>
      <c r="DX134" s="3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  <c r="EO134" s="30"/>
      <c r="EP134" s="30"/>
      <c r="EQ134" s="30"/>
      <c r="ER134" s="30"/>
      <c r="ES134" s="30"/>
      <c r="ET134" s="30"/>
      <c r="EU134" s="30"/>
      <c r="EV134" s="30"/>
      <c r="EW134" s="30"/>
      <c r="EX134" s="30"/>
      <c r="EY134" s="30"/>
      <c r="EZ134" s="30"/>
      <c r="FA134" s="30"/>
      <c r="FB134" s="30"/>
      <c r="FC134" s="30"/>
      <c r="FD134" s="30"/>
      <c r="FE134" s="30"/>
      <c r="FF134" s="30"/>
      <c r="FG134" s="30"/>
      <c r="FH134" s="30"/>
      <c r="FI134" s="30"/>
      <c r="FJ134" s="30"/>
      <c r="FK134" s="30"/>
      <c r="FL134" s="30"/>
      <c r="FM134" s="30"/>
      <c r="FN134" s="30"/>
      <c r="FO134" s="30"/>
      <c r="FP134" s="30"/>
      <c r="FQ134" s="30"/>
      <c r="FR134" s="30"/>
      <c r="FS134" s="30"/>
      <c r="FT134" s="30"/>
      <c r="FU134" s="30"/>
      <c r="FV134" s="30"/>
      <c r="FW134" s="30"/>
      <c r="FX134" s="30"/>
      <c r="FY134" s="30"/>
      <c r="FZ134" s="30"/>
      <c r="GA134" s="30"/>
      <c r="GB134" s="30"/>
      <c r="GC134" s="30"/>
      <c r="GD134" s="30"/>
      <c r="GE134" s="30"/>
      <c r="GF134" s="30"/>
      <c r="GG134" s="30"/>
      <c r="GH134" s="30"/>
      <c r="GI134" s="30"/>
      <c r="GJ134" s="30"/>
      <c r="GK134" s="30"/>
      <c r="GL134" s="30"/>
      <c r="GM134" s="30"/>
      <c r="GN134" s="30"/>
      <c r="GO134" s="30"/>
      <c r="GP134" s="30"/>
      <c r="GQ134" s="30"/>
      <c r="GR134" s="30"/>
      <c r="GS134" s="30"/>
      <c r="GT134" s="30"/>
      <c r="GU134" s="30"/>
      <c r="GV134" s="30"/>
      <c r="GW134" s="30"/>
      <c r="GX134" s="30"/>
      <c r="GY134" s="30"/>
      <c r="GZ134" s="30"/>
      <c r="HA134" s="30"/>
      <c r="HB134" s="30"/>
      <c r="HC134" s="30"/>
      <c r="HD134" s="30"/>
      <c r="HE134" s="30"/>
      <c r="HF134" s="30"/>
      <c r="HG134" s="30"/>
      <c r="HH134" s="30"/>
      <c r="HI134" s="30"/>
      <c r="HJ134" s="30"/>
      <c r="HK134" s="30"/>
      <c r="HL134" s="30"/>
      <c r="HM134" s="30"/>
      <c r="HN134" s="30"/>
      <c r="HO134" s="30"/>
      <c r="HP134" s="30"/>
      <c r="HQ134" s="30"/>
      <c r="HR134" s="30"/>
      <c r="HS134" s="30"/>
      <c r="HT134" s="30"/>
      <c r="HU134" s="30"/>
      <c r="HV134" s="30"/>
      <c r="HW134" s="30"/>
      <c r="HX134" s="30"/>
      <c r="HY134" s="30"/>
      <c r="HZ134" s="30"/>
      <c r="IA134" s="30"/>
      <c r="IB134" s="30"/>
      <c r="IC134" s="30"/>
      <c r="ID134" s="30"/>
      <c r="IE134" s="30"/>
      <c r="IF134" s="30"/>
      <c r="IG134" s="30"/>
      <c r="IH134" s="30"/>
      <c r="II134" s="30"/>
      <c r="IJ134" s="30"/>
      <c r="IK134" s="30"/>
      <c r="IL134" s="30"/>
      <c r="IM134" s="30"/>
      <c r="IN134" s="30"/>
      <c r="IO134" s="30"/>
      <c r="IP134" s="30"/>
      <c r="IQ134" s="30"/>
      <c r="IR134" s="31"/>
      <c r="IS134" s="31"/>
      <c r="IT134" s="31"/>
      <c r="IU134" s="31"/>
      <c r="IV134" s="31"/>
    </row>
    <row r="135" ht="11.25" customHeight="1">
      <c r="A135" s="29"/>
      <c r="B135" s="29"/>
      <c r="C135" s="29"/>
      <c r="D135" s="29"/>
      <c r="E135" s="29">
        <f>HLOOKUP($D$122,$B$3:$CW$114,94,0)</f>
        <v>1</v>
      </c>
      <c r="F135" s="29" t="s">
        <v>119</v>
      </c>
      <c r="G135" s="29"/>
      <c r="H135" s="29" t="s">
        <v>119</v>
      </c>
      <c r="I135" s="29"/>
      <c r="J135" s="29">
        <v>9.5</v>
      </c>
      <c r="K135" s="29">
        <v>7.5</v>
      </c>
      <c r="L135" s="29">
        <v>6.5</v>
      </c>
      <c r="M135" s="29">
        <v>2.5</v>
      </c>
      <c r="N135" s="29">
        <v>1.5</v>
      </c>
      <c r="O135" s="29">
        <v>-0.5</v>
      </c>
      <c r="P135" s="29">
        <f>DATA!E135</f>
        <v>1</v>
      </c>
      <c r="Q135" s="29"/>
      <c r="R135" s="29"/>
      <c r="S135" s="29"/>
      <c r="T135" s="29">
        <v>19.0</v>
      </c>
      <c r="U135" s="29" t="s">
        <v>185</v>
      </c>
      <c r="V135" s="29" t="s">
        <v>186</v>
      </c>
      <c r="W135" s="29" t="s">
        <v>187</v>
      </c>
      <c r="X135" s="29" t="s">
        <v>188</v>
      </c>
      <c r="Y135" s="29" t="s">
        <v>189</v>
      </c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29"/>
      <c r="BX135" s="29"/>
      <c r="BY135" s="29"/>
      <c r="BZ135" s="29"/>
      <c r="CA135" s="29"/>
      <c r="CB135" s="29"/>
      <c r="CC135" s="29"/>
      <c r="CD135" s="29"/>
      <c r="CE135" s="29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30"/>
      <c r="CY135" s="30"/>
      <c r="CZ135" s="30"/>
      <c r="DA135" s="30"/>
      <c r="DB135" s="30"/>
      <c r="DC135" s="30"/>
      <c r="DD135" s="3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30"/>
      <c r="DX135" s="3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  <c r="EO135" s="30"/>
      <c r="EP135" s="30"/>
      <c r="EQ135" s="30"/>
      <c r="ER135" s="30"/>
      <c r="ES135" s="30"/>
      <c r="ET135" s="30"/>
      <c r="EU135" s="30"/>
      <c r="EV135" s="30"/>
      <c r="EW135" s="30"/>
      <c r="EX135" s="30"/>
      <c r="EY135" s="30"/>
      <c r="EZ135" s="30"/>
      <c r="FA135" s="30"/>
      <c r="FB135" s="30"/>
      <c r="FC135" s="30"/>
      <c r="FD135" s="30"/>
      <c r="FE135" s="30"/>
      <c r="FF135" s="30"/>
      <c r="FG135" s="30"/>
      <c r="FH135" s="30"/>
      <c r="FI135" s="30"/>
      <c r="FJ135" s="30"/>
      <c r="FK135" s="30"/>
      <c r="FL135" s="30"/>
      <c r="FM135" s="30"/>
      <c r="FN135" s="30"/>
      <c r="FO135" s="30"/>
      <c r="FP135" s="30"/>
      <c r="FQ135" s="30"/>
      <c r="FR135" s="30"/>
      <c r="FS135" s="30"/>
      <c r="FT135" s="30"/>
      <c r="FU135" s="30"/>
      <c r="FV135" s="30"/>
      <c r="FW135" s="30"/>
      <c r="FX135" s="30"/>
      <c r="FY135" s="30"/>
      <c r="FZ135" s="30"/>
      <c r="GA135" s="30"/>
      <c r="GB135" s="30"/>
      <c r="GC135" s="30"/>
      <c r="GD135" s="30"/>
      <c r="GE135" s="30"/>
      <c r="GF135" s="30"/>
      <c r="GG135" s="30"/>
      <c r="GH135" s="30"/>
      <c r="GI135" s="30"/>
      <c r="GJ135" s="30"/>
      <c r="GK135" s="30"/>
      <c r="GL135" s="30"/>
      <c r="GM135" s="30"/>
      <c r="GN135" s="30"/>
      <c r="GO135" s="30"/>
      <c r="GP135" s="30"/>
      <c r="GQ135" s="30"/>
      <c r="GR135" s="30"/>
      <c r="GS135" s="30"/>
      <c r="GT135" s="30"/>
      <c r="GU135" s="30"/>
      <c r="GV135" s="30"/>
      <c r="GW135" s="30"/>
      <c r="GX135" s="30"/>
      <c r="GY135" s="30"/>
      <c r="GZ135" s="30"/>
      <c r="HA135" s="30"/>
      <c r="HB135" s="30"/>
      <c r="HC135" s="30"/>
      <c r="HD135" s="30"/>
      <c r="HE135" s="30"/>
      <c r="HF135" s="30"/>
      <c r="HG135" s="30"/>
      <c r="HH135" s="30"/>
      <c r="HI135" s="30"/>
      <c r="HJ135" s="30"/>
      <c r="HK135" s="30"/>
      <c r="HL135" s="30"/>
      <c r="HM135" s="30"/>
      <c r="HN135" s="30"/>
      <c r="HO135" s="30"/>
      <c r="HP135" s="30"/>
      <c r="HQ135" s="30"/>
      <c r="HR135" s="30"/>
      <c r="HS135" s="30"/>
      <c r="HT135" s="30"/>
      <c r="HU135" s="30"/>
      <c r="HV135" s="30"/>
      <c r="HW135" s="30"/>
      <c r="HX135" s="30"/>
      <c r="HY135" s="30"/>
      <c r="HZ135" s="30"/>
      <c r="IA135" s="30"/>
      <c r="IB135" s="30"/>
      <c r="IC135" s="30"/>
      <c r="ID135" s="30"/>
      <c r="IE135" s="30"/>
      <c r="IF135" s="30"/>
      <c r="IG135" s="30"/>
      <c r="IH135" s="30"/>
      <c r="II135" s="30"/>
      <c r="IJ135" s="30"/>
      <c r="IK135" s="30"/>
      <c r="IL135" s="30"/>
      <c r="IM135" s="30"/>
      <c r="IN135" s="30"/>
      <c r="IO135" s="30"/>
      <c r="IP135" s="30"/>
      <c r="IQ135" s="30"/>
      <c r="IR135" s="31"/>
      <c r="IS135" s="31"/>
      <c r="IT135" s="31"/>
      <c r="IU135" s="31"/>
      <c r="IV135" s="31"/>
    </row>
    <row r="136" ht="11.25" customHeight="1">
      <c r="A136" s="29"/>
      <c r="B136" s="29"/>
      <c r="C136" s="29"/>
      <c r="D136" s="29"/>
      <c r="E136" s="29">
        <f>HLOOKUP($D$122,$B$3:$CW$114,106,0)</f>
        <v>3</v>
      </c>
      <c r="F136" s="29" t="s">
        <v>130</v>
      </c>
      <c r="G136" s="29"/>
      <c r="H136" s="29" t="s">
        <v>130</v>
      </c>
      <c r="I136" s="29"/>
      <c r="J136" s="29">
        <v>2.5</v>
      </c>
      <c r="K136" s="29">
        <v>9.5</v>
      </c>
      <c r="L136" s="29">
        <v>8.5</v>
      </c>
      <c r="M136" s="29">
        <v>4.5</v>
      </c>
      <c r="N136" s="29">
        <v>2.5</v>
      </c>
      <c r="O136" s="29">
        <v>-0.5</v>
      </c>
      <c r="P136" s="29">
        <f>DATA!E136</f>
        <v>3</v>
      </c>
      <c r="Q136" s="29"/>
      <c r="R136" s="29"/>
      <c r="S136" s="29"/>
      <c r="T136" s="29">
        <v>20.0</v>
      </c>
      <c r="U136" s="29" t="s">
        <v>190</v>
      </c>
      <c r="V136" s="29" t="s">
        <v>191</v>
      </c>
      <c r="W136" s="29" t="s">
        <v>192</v>
      </c>
      <c r="X136" s="29" t="s">
        <v>147</v>
      </c>
      <c r="Y136" s="29" t="s">
        <v>147</v>
      </c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29"/>
      <c r="BX136" s="29"/>
      <c r="BY136" s="29"/>
      <c r="BZ136" s="29"/>
      <c r="CA136" s="29"/>
      <c r="CB136" s="29"/>
      <c r="CC136" s="29"/>
      <c r="CD136" s="29"/>
      <c r="CE136" s="29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30"/>
      <c r="CY136" s="30"/>
      <c r="CZ136" s="30"/>
      <c r="DA136" s="30"/>
      <c r="DB136" s="30"/>
      <c r="DC136" s="30"/>
      <c r="DD136" s="30"/>
      <c r="DE136" s="30"/>
      <c r="DF136" s="30"/>
      <c r="DG136" s="30"/>
      <c r="DH136" s="30"/>
      <c r="DI136" s="30"/>
      <c r="DJ136" s="30"/>
      <c r="DK136" s="30"/>
      <c r="DL136" s="30"/>
      <c r="DM136" s="30"/>
      <c r="DN136" s="30"/>
      <c r="DO136" s="30"/>
      <c r="DP136" s="30"/>
      <c r="DQ136" s="30"/>
      <c r="DR136" s="30"/>
      <c r="DS136" s="30"/>
      <c r="DT136" s="30"/>
      <c r="DU136" s="30"/>
      <c r="DV136" s="30"/>
      <c r="DW136" s="30"/>
      <c r="DX136" s="30"/>
      <c r="DY136" s="30"/>
      <c r="DZ136" s="30"/>
      <c r="EA136" s="30"/>
      <c r="EB136" s="30"/>
      <c r="EC136" s="30"/>
      <c r="ED136" s="30"/>
      <c r="EE136" s="30"/>
      <c r="EF136" s="30"/>
      <c r="EG136" s="30"/>
      <c r="EH136" s="30"/>
      <c r="EI136" s="30"/>
      <c r="EJ136" s="30"/>
      <c r="EK136" s="30"/>
      <c r="EL136" s="30"/>
      <c r="EM136" s="30"/>
      <c r="EN136" s="30"/>
      <c r="EO136" s="30"/>
      <c r="EP136" s="30"/>
      <c r="EQ136" s="30"/>
      <c r="ER136" s="30"/>
      <c r="ES136" s="30"/>
      <c r="ET136" s="30"/>
      <c r="EU136" s="30"/>
      <c r="EV136" s="30"/>
      <c r="EW136" s="30"/>
      <c r="EX136" s="30"/>
      <c r="EY136" s="30"/>
      <c r="EZ136" s="30"/>
      <c r="FA136" s="30"/>
      <c r="FB136" s="30"/>
      <c r="FC136" s="30"/>
      <c r="FD136" s="30"/>
      <c r="FE136" s="30"/>
      <c r="FF136" s="30"/>
      <c r="FG136" s="30"/>
      <c r="FH136" s="30"/>
      <c r="FI136" s="30"/>
      <c r="FJ136" s="30"/>
      <c r="FK136" s="30"/>
      <c r="FL136" s="30"/>
      <c r="FM136" s="30"/>
      <c r="FN136" s="30"/>
      <c r="FO136" s="30"/>
      <c r="FP136" s="30"/>
      <c r="FQ136" s="30"/>
      <c r="FR136" s="30"/>
      <c r="FS136" s="30"/>
      <c r="FT136" s="30"/>
      <c r="FU136" s="30"/>
      <c r="FV136" s="30"/>
      <c r="FW136" s="30"/>
      <c r="FX136" s="30"/>
      <c r="FY136" s="30"/>
      <c r="FZ136" s="30"/>
      <c r="GA136" s="30"/>
      <c r="GB136" s="30"/>
      <c r="GC136" s="30"/>
      <c r="GD136" s="30"/>
      <c r="GE136" s="30"/>
      <c r="GF136" s="30"/>
      <c r="GG136" s="30"/>
      <c r="GH136" s="30"/>
      <c r="GI136" s="30"/>
      <c r="GJ136" s="30"/>
      <c r="GK136" s="30"/>
      <c r="GL136" s="30"/>
      <c r="GM136" s="30"/>
      <c r="GN136" s="30"/>
      <c r="GO136" s="30"/>
      <c r="GP136" s="30"/>
      <c r="GQ136" s="30"/>
      <c r="GR136" s="30"/>
      <c r="GS136" s="30"/>
      <c r="GT136" s="30"/>
      <c r="GU136" s="30"/>
      <c r="GV136" s="30"/>
      <c r="GW136" s="30"/>
      <c r="GX136" s="30"/>
      <c r="GY136" s="30"/>
      <c r="GZ136" s="30"/>
      <c r="HA136" s="30"/>
      <c r="HB136" s="30"/>
      <c r="HC136" s="30"/>
      <c r="HD136" s="30"/>
      <c r="HE136" s="30"/>
      <c r="HF136" s="30"/>
      <c r="HG136" s="30"/>
      <c r="HH136" s="30"/>
      <c r="HI136" s="30"/>
      <c r="HJ136" s="30"/>
      <c r="HK136" s="30"/>
      <c r="HL136" s="30"/>
      <c r="HM136" s="30"/>
      <c r="HN136" s="30"/>
      <c r="HO136" s="30"/>
      <c r="HP136" s="30"/>
      <c r="HQ136" s="30"/>
      <c r="HR136" s="30"/>
      <c r="HS136" s="30"/>
      <c r="HT136" s="30"/>
      <c r="HU136" s="30"/>
      <c r="HV136" s="30"/>
      <c r="HW136" s="30"/>
      <c r="HX136" s="30"/>
      <c r="HY136" s="30"/>
      <c r="HZ136" s="30"/>
      <c r="IA136" s="30"/>
      <c r="IB136" s="30"/>
      <c r="IC136" s="30"/>
      <c r="ID136" s="30"/>
      <c r="IE136" s="30"/>
      <c r="IF136" s="30"/>
      <c r="IG136" s="30"/>
      <c r="IH136" s="30"/>
      <c r="II136" s="30"/>
      <c r="IJ136" s="30"/>
      <c r="IK136" s="30"/>
      <c r="IL136" s="30"/>
      <c r="IM136" s="30"/>
      <c r="IN136" s="30"/>
      <c r="IO136" s="30"/>
      <c r="IP136" s="30"/>
      <c r="IQ136" s="30"/>
      <c r="IR136" s="31"/>
      <c r="IS136" s="31"/>
      <c r="IT136" s="31"/>
      <c r="IU136" s="31"/>
      <c r="IV136" s="31"/>
    </row>
    <row r="137" ht="11.25" customHeight="1">
      <c r="A137" s="29"/>
      <c r="B137" s="29"/>
      <c r="C137" s="29"/>
      <c r="D137" s="29"/>
      <c r="E137" s="29">
        <f>HLOOKUP($D$122,$B$3:$CW$114,93,0)</f>
        <v>0</v>
      </c>
      <c r="F137" s="29" t="s">
        <v>118</v>
      </c>
      <c r="G137" s="29"/>
      <c r="H137" s="29" t="s">
        <v>118</v>
      </c>
      <c r="I137" s="29"/>
      <c r="J137" s="29">
        <v>9.5</v>
      </c>
      <c r="K137" s="29">
        <v>7.5</v>
      </c>
      <c r="L137" s="29">
        <v>5.5</v>
      </c>
      <c r="M137" s="29">
        <v>2.5</v>
      </c>
      <c r="N137" s="29">
        <v>0.5</v>
      </c>
      <c r="O137" s="29">
        <v>-0.5</v>
      </c>
      <c r="P137" s="29">
        <f>DATA!E137</f>
        <v>0</v>
      </c>
      <c r="Q137" s="29"/>
      <c r="R137" s="29"/>
      <c r="S137" s="29"/>
      <c r="T137" s="29">
        <v>21.0</v>
      </c>
      <c r="U137" s="29" t="s">
        <v>193</v>
      </c>
      <c r="V137" s="29" t="s">
        <v>194</v>
      </c>
      <c r="W137" s="29" t="s">
        <v>195</v>
      </c>
      <c r="X137" s="29" t="s">
        <v>147</v>
      </c>
      <c r="Y137" s="29" t="s">
        <v>147</v>
      </c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30"/>
      <c r="CY137" s="30"/>
      <c r="CZ137" s="30"/>
      <c r="DA137" s="30"/>
      <c r="DB137" s="30"/>
      <c r="DC137" s="30"/>
      <c r="DD137" s="3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30"/>
      <c r="DX137" s="30"/>
      <c r="DY137" s="30"/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0"/>
      <c r="EK137" s="30"/>
      <c r="EL137" s="30"/>
      <c r="EM137" s="30"/>
      <c r="EN137" s="30"/>
      <c r="EO137" s="30"/>
      <c r="EP137" s="30"/>
      <c r="EQ137" s="30"/>
      <c r="ER137" s="30"/>
      <c r="ES137" s="30"/>
      <c r="ET137" s="30"/>
      <c r="EU137" s="30"/>
      <c r="EV137" s="30"/>
      <c r="EW137" s="30"/>
      <c r="EX137" s="30"/>
      <c r="EY137" s="30"/>
      <c r="EZ137" s="30"/>
      <c r="FA137" s="30"/>
      <c r="FB137" s="30"/>
      <c r="FC137" s="30"/>
      <c r="FD137" s="30"/>
      <c r="FE137" s="30"/>
      <c r="FF137" s="30"/>
      <c r="FG137" s="30"/>
      <c r="FH137" s="30"/>
      <c r="FI137" s="30"/>
      <c r="FJ137" s="30"/>
      <c r="FK137" s="30"/>
      <c r="FL137" s="30"/>
      <c r="FM137" s="30"/>
      <c r="FN137" s="30"/>
      <c r="FO137" s="30"/>
      <c r="FP137" s="30"/>
      <c r="FQ137" s="30"/>
      <c r="FR137" s="30"/>
      <c r="FS137" s="30"/>
      <c r="FT137" s="30"/>
      <c r="FU137" s="30"/>
      <c r="FV137" s="30"/>
      <c r="FW137" s="30"/>
      <c r="FX137" s="30"/>
      <c r="FY137" s="30"/>
      <c r="FZ137" s="30"/>
      <c r="GA137" s="30"/>
      <c r="GB137" s="30"/>
      <c r="GC137" s="30"/>
      <c r="GD137" s="30"/>
      <c r="GE137" s="30"/>
      <c r="GF137" s="30"/>
      <c r="GG137" s="30"/>
      <c r="GH137" s="30"/>
      <c r="GI137" s="30"/>
      <c r="GJ137" s="30"/>
      <c r="GK137" s="30"/>
      <c r="GL137" s="30"/>
      <c r="GM137" s="30"/>
      <c r="GN137" s="30"/>
      <c r="GO137" s="30"/>
      <c r="GP137" s="30"/>
      <c r="GQ137" s="30"/>
      <c r="GR137" s="30"/>
      <c r="GS137" s="30"/>
      <c r="GT137" s="30"/>
      <c r="GU137" s="30"/>
      <c r="GV137" s="30"/>
      <c r="GW137" s="30"/>
      <c r="GX137" s="30"/>
      <c r="GY137" s="30"/>
      <c r="GZ137" s="30"/>
      <c r="HA137" s="30"/>
      <c r="HB137" s="30"/>
      <c r="HC137" s="30"/>
      <c r="HD137" s="30"/>
      <c r="HE137" s="30"/>
      <c r="HF137" s="30"/>
      <c r="HG137" s="30"/>
      <c r="HH137" s="30"/>
      <c r="HI137" s="30"/>
      <c r="HJ137" s="30"/>
      <c r="HK137" s="30"/>
      <c r="HL137" s="30"/>
      <c r="HM137" s="30"/>
      <c r="HN137" s="30"/>
      <c r="HO137" s="30"/>
      <c r="HP137" s="30"/>
      <c r="HQ137" s="30"/>
      <c r="HR137" s="30"/>
      <c r="HS137" s="30"/>
      <c r="HT137" s="30"/>
      <c r="HU137" s="30"/>
      <c r="HV137" s="30"/>
      <c r="HW137" s="30"/>
      <c r="HX137" s="30"/>
      <c r="HY137" s="30"/>
      <c r="HZ137" s="30"/>
      <c r="IA137" s="30"/>
      <c r="IB137" s="30"/>
      <c r="IC137" s="30"/>
      <c r="ID137" s="30"/>
      <c r="IE137" s="30"/>
      <c r="IF137" s="30"/>
      <c r="IG137" s="30"/>
      <c r="IH137" s="30"/>
      <c r="II137" s="30"/>
      <c r="IJ137" s="30"/>
      <c r="IK137" s="30"/>
      <c r="IL137" s="30"/>
      <c r="IM137" s="30"/>
      <c r="IN137" s="30"/>
      <c r="IO137" s="30"/>
      <c r="IP137" s="30"/>
      <c r="IQ137" s="30"/>
      <c r="IR137" s="31"/>
      <c r="IS137" s="31"/>
      <c r="IT137" s="31"/>
      <c r="IU137" s="31"/>
      <c r="IV137" s="31"/>
    </row>
    <row r="138" ht="11.25" customHeight="1">
      <c r="A138" s="29"/>
      <c r="B138" s="29"/>
      <c r="C138" s="29"/>
      <c r="D138" s="29"/>
      <c r="E138" s="29">
        <f>HLOOKUP($D$122,$B$3:$CW$114,105,0)</f>
        <v>4</v>
      </c>
      <c r="F138" s="29" t="s">
        <v>129</v>
      </c>
      <c r="G138" s="29"/>
      <c r="H138" s="29" t="s">
        <v>129</v>
      </c>
      <c r="I138" s="29"/>
      <c r="J138" s="29">
        <v>9.5</v>
      </c>
      <c r="K138" s="29">
        <v>7.5</v>
      </c>
      <c r="L138" s="29">
        <v>6.5</v>
      </c>
      <c r="M138" s="29">
        <v>3.5</v>
      </c>
      <c r="N138" s="29">
        <v>2.5</v>
      </c>
      <c r="O138" s="29">
        <v>-0.5</v>
      </c>
      <c r="P138" s="29">
        <f>DATA!E138</f>
        <v>4</v>
      </c>
      <c r="Q138" s="29"/>
      <c r="R138" s="29"/>
      <c r="S138" s="29"/>
      <c r="T138" s="29">
        <v>22.0</v>
      </c>
      <c r="U138" s="29" t="s">
        <v>196</v>
      </c>
      <c r="V138" s="29" t="s">
        <v>197</v>
      </c>
      <c r="W138" s="29" t="s">
        <v>198</v>
      </c>
      <c r="X138" s="29" t="s">
        <v>147</v>
      </c>
      <c r="Y138" s="29" t="s">
        <v>147</v>
      </c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30"/>
      <c r="CY138" s="30"/>
      <c r="CZ138" s="30"/>
      <c r="DA138" s="30"/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30"/>
      <c r="DX138" s="3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  <c r="EM138" s="30"/>
      <c r="EN138" s="30"/>
      <c r="EO138" s="30"/>
      <c r="EP138" s="30"/>
      <c r="EQ138" s="30"/>
      <c r="ER138" s="30"/>
      <c r="ES138" s="30"/>
      <c r="ET138" s="30"/>
      <c r="EU138" s="30"/>
      <c r="EV138" s="30"/>
      <c r="EW138" s="30"/>
      <c r="EX138" s="30"/>
      <c r="EY138" s="30"/>
      <c r="EZ138" s="30"/>
      <c r="FA138" s="30"/>
      <c r="FB138" s="30"/>
      <c r="FC138" s="30"/>
      <c r="FD138" s="30"/>
      <c r="FE138" s="30"/>
      <c r="FF138" s="30"/>
      <c r="FG138" s="30"/>
      <c r="FH138" s="30"/>
      <c r="FI138" s="30"/>
      <c r="FJ138" s="30"/>
      <c r="FK138" s="30"/>
      <c r="FL138" s="30"/>
      <c r="FM138" s="30"/>
      <c r="FN138" s="30"/>
      <c r="FO138" s="30"/>
      <c r="FP138" s="30"/>
      <c r="FQ138" s="30"/>
      <c r="FR138" s="30"/>
      <c r="FS138" s="30"/>
      <c r="FT138" s="30"/>
      <c r="FU138" s="30"/>
      <c r="FV138" s="30"/>
      <c r="FW138" s="30"/>
      <c r="FX138" s="30"/>
      <c r="FY138" s="30"/>
      <c r="FZ138" s="30"/>
      <c r="GA138" s="30"/>
      <c r="GB138" s="30"/>
      <c r="GC138" s="30"/>
      <c r="GD138" s="30"/>
      <c r="GE138" s="30"/>
      <c r="GF138" s="30"/>
      <c r="GG138" s="30"/>
      <c r="GH138" s="30"/>
      <c r="GI138" s="30"/>
      <c r="GJ138" s="30"/>
      <c r="GK138" s="30"/>
      <c r="GL138" s="30"/>
      <c r="GM138" s="30"/>
      <c r="GN138" s="30"/>
      <c r="GO138" s="30"/>
      <c r="GP138" s="30"/>
      <c r="GQ138" s="30"/>
      <c r="GR138" s="30"/>
      <c r="GS138" s="30"/>
      <c r="GT138" s="30"/>
      <c r="GU138" s="30"/>
      <c r="GV138" s="30"/>
      <c r="GW138" s="30"/>
      <c r="GX138" s="30"/>
      <c r="GY138" s="30"/>
      <c r="GZ138" s="30"/>
      <c r="HA138" s="30"/>
      <c r="HB138" s="30"/>
      <c r="HC138" s="30"/>
      <c r="HD138" s="30"/>
      <c r="HE138" s="30"/>
      <c r="HF138" s="30"/>
      <c r="HG138" s="30"/>
      <c r="HH138" s="30"/>
      <c r="HI138" s="30"/>
      <c r="HJ138" s="30"/>
      <c r="HK138" s="30"/>
      <c r="HL138" s="30"/>
      <c r="HM138" s="30"/>
      <c r="HN138" s="30"/>
      <c r="HO138" s="30"/>
      <c r="HP138" s="30"/>
      <c r="HQ138" s="30"/>
      <c r="HR138" s="30"/>
      <c r="HS138" s="30"/>
      <c r="HT138" s="30"/>
      <c r="HU138" s="30"/>
      <c r="HV138" s="30"/>
      <c r="HW138" s="30"/>
      <c r="HX138" s="30"/>
      <c r="HY138" s="30"/>
      <c r="HZ138" s="30"/>
      <c r="IA138" s="30"/>
      <c r="IB138" s="30"/>
      <c r="IC138" s="30"/>
      <c r="ID138" s="30"/>
      <c r="IE138" s="30"/>
      <c r="IF138" s="30"/>
      <c r="IG138" s="30"/>
      <c r="IH138" s="30"/>
      <c r="II138" s="30"/>
      <c r="IJ138" s="30"/>
      <c r="IK138" s="30"/>
      <c r="IL138" s="30"/>
      <c r="IM138" s="30"/>
      <c r="IN138" s="30"/>
      <c r="IO138" s="30"/>
      <c r="IP138" s="30"/>
      <c r="IQ138" s="30"/>
      <c r="IR138" s="31"/>
      <c r="IS138" s="31"/>
      <c r="IT138" s="31"/>
      <c r="IU138" s="31"/>
      <c r="IV138" s="31"/>
    </row>
    <row r="139" ht="11.25" customHeight="1">
      <c r="A139" s="29"/>
      <c r="B139" s="29"/>
      <c r="C139" s="29"/>
      <c r="D139" s="29"/>
      <c r="E139" s="29">
        <f>HLOOKUP($D$122,$B$3:$CW$114,104,0)</f>
        <v>5</v>
      </c>
      <c r="F139" s="29" t="s">
        <v>128</v>
      </c>
      <c r="G139" s="29"/>
      <c r="H139" s="29" t="s">
        <v>128</v>
      </c>
      <c r="I139" s="29"/>
      <c r="J139" s="29">
        <v>9.5</v>
      </c>
      <c r="K139" s="29">
        <v>7.5</v>
      </c>
      <c r="L139" s="29">
        <v>5.5</v>
      </c>
      <c r="M139" s="29">
        <v>2.5</v>
      </c>
      <c r="N139" s="29">
        <v>1.5</v>
      </c>
      <c r="O139" s="29">
        <v>-0.5</v>
      </c>
      <c r="P139" s="29">
        <f>DATA!E139</f>
        <v>5</v>
      </c>
      <c r="Q139" s="29"/>
      <c r="R139" s="29"/>
      <c r="S139" s="29"/>
      <c r="T139" s="29">
        <v>23.0</v>
      </c>
      <c r="U139" s="29" t="s">
        <v>199</v>
      </c>
      <c r="V139" s="29" t="s">
        <v>200</v>
      </c>
      <c r="W139" s="29" t="s">
        <v>201</v>
      </c>
      <c r="X139" s="29" t="s">
        <v>202</v>
      </c>
      <c r="Y139" s="29" t="s">
        <v>203</v>
      </c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29"/>
      <c r="BX139" s="29"/>
      <c r="BY139" s="29"/>
      <c r="BZ139" s="29"/>
      <c r="CA139" s="29"/>
      <c r="CB139" s="29"/>
      <c r="CC139" s="29"/>
      <c r="CD139" s="29"/>
      <c r="CE139" s="29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30"/>
      <c r="CY139" s="30"/>
      <c r="CZ139" s="30"/>
      <c r="DA139" s="30"/>
      <c r="DB139" s="30"/>
      <c r="DC139" s="30"/>
      <c r="DD139" s="30"/>
      <c r="DE139" s="30"/>
      <c r="DF139" s="30"/>
      <c r="DG139" s="30"/>
      <c r="DH139" s="30"/>
      <c r="DI139" s="30"/>
      <c r="DJ139" s="30"/>
      <c r="DK139" s="30"/>
      <c r="DL139" s="30"/>
      <c r="DM139" s="30"/>
      <c r="DN139" s="30"/>
      <c r="DO139" s="30"/>
      <c r="DP139" s="30"/>
      <c r="DQ139" s="30"/>
      <c r="DR139" s="30"/>
      <c r="DS139" s="30"/>
      <c r="DT139" s="30"/>
      <c r="DU139" s="30"/>
      <c r="DV139" s="30"/>
      <c r="DW139" s="30"/>
      <c r="DX139" s="30"/>
      <c r="DY139" s="30"/>
      <c r="DZ139" s="30"/>
      <c r="EA139" s="30"/>
      <c r="EB139" s="30"/>
      <c r="EC139" s="30"/>
      <c r="ED139" s="30"/>
      <c r="EE139" s="30"/>
      <c r="EF139" s="30"/>
      <c r="EG139" s="30"/>
      <c r="EH139" s="30"/>
      <c r="EI139" s="30"/>
      <c r="EJ139" s="30"/>
      <c r="EK139" s="30"/>
      <c r="EL139" s="30"/>
      <c r="EM139" s="30"/>
      <c r="EN139" s="30"/>
      <c r="EO139" s="30"/>
      <c r="EP139" s="30"/>
      <c r="EQ139" s="30"/>
      <c r="ER139" s="30"/>
      <c r="ES139" s="30"/>
      <c r="ET139" s="30"/>
      <c r="EU139" s="30"/>
      <c r="EV139" s="30"/>
      <c r="EW139" s="30"/>
      <c r="EX139" s="30"/>
      <c r="EY139" s="30"/>
      <c r="EZ139" s="30"/>
      <c r="FA139" s="30"/>
      <c r="FB139" s="30"/>
      <c r="FC139" s="30"/>
      <c r="FD139" s="30"/>
      <c r="FE139" s="30"/>
      <c r="FF139" s="30"/>
      <c r="FG139" s="30"/>
      <c r="FH139" s="30"/>
      <c r="FI139" s="30"/>
      <c r="FJ139" s="30"/>
      <c r="FK139" s="30"/>
      <c r="FL139" s="30"/>
      <c r="FM139" s="30"/>
      <c r="FN139" s="30"/>
      <c r="FO139" s="30"/>
      <c r="FP139" s="30"/>
      <c r="FQ139" s="30"/>
      <c r="FR139" s="30"/>
      <c r="FS139" s="30"/>
      <c r="FT139" s="30"/>
      <c r="FU139" s="30"/>
      <c r="FV139" s="30"/>
      <c r="FW139" s="30"/>
      <c r="FX139" s="30"/>
      <c r="FY139" s="30"/>
      <c r="FZ139" s="30"/>
      <c r="GA139" s="30"/>
      <c r="GB139" s="30"/>
      <c r="GC139" s="30"/>
      <c r="GD139" s="30"/>
      <c r="GE139" s="30"/>
      <c r="GF139" s="30"/>
      <c r="GG139" s="30"/>
      <c r="GH139" s="30"/>
      <c r="GI139" s="30"/>
      <c r="GJ139" s="30"/>
      <c r="GK139" s="30"/>
      <c r="GL139" s="30"/>
      <c r="GM139" s="30"/>
      <c r="GN139" s="30"/>
      <c r="GO139" s="30"/>
      <c r="GP139" s="30"/>
      <c r="GQ139" s="30"/>
      <c r="GR139" s="30"/>
      <c r="GS139" s="30"/>
      <c r="GT139" s="30"/>
      <c r="GU139" s="30"/>
      <c r="GV139" s="30"/>
      <c r="GW139" s="30"/>
      <c r="GX139" s="30"/>
      <c r="GY139" s="30"/>
      <c r="GZ139" s="30"/>
      <c r="HA139" s="30"/>
      <c r="HB139" s="30"/>
      <c r="HC139" s="30"/>
      <c r="HD139" s="30"/>
      <c r="HE139" s="30"/>
      <c r="HF139" s="30"/>
      <c r="HG139" s="30"/>
      <c r="HH139" s="30"/>
      <c r="HI139" s="30"/>
      <c r="HJ139" s="30"/>
      <c r="HK139" s="30"/>
      <c r="HL139" s="30"/>
      <c r="HM139" s="30"/>
      <c r="HN139" s="30"/>
      <c r="HO139" s="30"/>
      <c r="HP139" s="30"/>
      <c r="HQ139" s="30"/>
      <c r="HR139" s="30"/>
      <c r="HS139" s="30"/>
      <c r="HT139" s="30"/>
      <c r="HU139" s="30"/>
      <c r="HV139" s="30"/>
      <c r="HW139" s="30"/>
      <c r="HX139" s="30"/>
      <c r="HY139" s="30"/>
      <c r="HZ139" s="30"/>
      <c r="IA139" s="30"/>
      <c r="IB139" s="30"/>
      <c r="IC139" s="30"/>
      <c r="ID139" s="30"/>
      <c r="IE139" s="30"/>
      <c r="IF139" s="30"/>
      <c r="IG139" s="30"/>
      <c r="IH139" s="30"/>
      <c r="II139" s="30"/>
      <c r="IJ139" s="30"/>
      <c r="IK139" s="30"/>
      <c r="IL139" s="30"/>
      <c r="IM139" s="30"/>
      <c r="IN139" s="30"/>
      <c r="IO139" s="30"/>
      <c r="IP139" s="30"/>
      <c r="IQ139" s="30"/>
      <c r="IR139" s="31"/>
      <c r="IS139" s="31"/>
      <c r="IT139" s="31"/>
      <c r="IU139" s="31"/>
      <c r="IV139" s="31"/>
    </row>
    <row r="140" ht="11.25" customHeight="1">
      <c r="A140" s="29"/>
      <c r="B140" s="29"/>
      <c r="C140" s="29"/>
      <c r="D140" s="29"/>
      <c r="E140" s="29">
        <f>HLOOKUP($D$122,$B$3:$CW$114,103,0)</f>
        <v>6</v>
      </c>
      <c r="F140" s="29" t="s">
        <v>127</v>
      </c>
      <c r="G140" s="29"/>
      <c r="H140" s="29" t="s">
        <v>127</v>
      </c>
      <c r="I140" s="29"/>
      <c r="J140" s="29">
        <v>9.5</v>
      </c>
      <c r="K140" s="29">
        <v>5.5</v>
      </c>
      <c r="L140" s="29">
        <v>1.5</v>
      </c>
      <c r="M140" s="29">
        <v>-0.5</v>
      </c>
      <c r="N140" s="29">
        <v>-0.5</v>
      </c>
      <c r="O140" s="29">
        <v>-0.5</v>
      </c>
      <c r="P140" s="29">
        <f>DATA!E140</f>
        <v>6</v>
      </c>
      <c r="Q140" s="29"/>
      <c r="R140" s="29"/>
      <c r="S140" s="29"/>
      <c r="T140" s="29">
        <v>24.0</v>
      </c>
      <c r="U140" s="29" t="s">
        <v>204</v>
      </c>
      <c r="V140" s="29" t="s">
        <v>205</v>
      </c>
      <c r="W140" s="29" t="s">
        <v>147</v>
      </c>
      <c r="X140" s="29" t="s">
        <v>147</v>
      </c>
      <c r="Y140" s="29" t="s">
        <v>147</v>
      </c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29"/>
      <c r="BX140" s="29"/>
      <c r="BY140" s="29"/>
      <c r="BZ140" s="29"/>
      <c r="CA140" s="29"/>
      <c r="CB140" s="29"/>
      <c r="CC140" s="29"/>
      <c r="CD140" s="29"/>
      <c r="CE140" s="29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30"/>
      <c r="CY140" s="30"/>
      <c r="CZ140" s="30"/>
      <c r="DA140" s="30"/>
      <c r="DB140" s="30"/>
      <c r="DC140" s="30"/>
      <c r="DD140" s="3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30"/>
      <c r="DX140" s="3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  <c r="EM140" s="30"/>
      <c r="EN140" s="30"/>
      <c r="EO140" s="30"/>
      <c r="EP140" s="30"/>
      <c r="EQ140" s="30"/>
      <c r="ER140" s="30"/>
      <c r="ES140" s="30"/>
      <c r="ET140" s="30"/>
      <c r="EU140" s="30"/>
      <c r="EV140" s="30"/>
      <c r="EW140" s="30"/>
      <c r="EX140" s="30"/>
      <c r="EY140" s="30"/>
      <c r="EZ140" s="30"/>
      <c r="FA140" s="30"/>
      <c r="FB140" s="30"/>
      <c r="FC140" s="30"/>
      <c r="FD140" s="30"/>
      <c r="FE140" s="30"/>
      <c r="FF140" s="30"/>
      <c r="FG140" s="30"/>
      <c r="FH140" s="30"/>
      <c r="FI140" s="30"/>
      <c r="FJ140" s="30"/>
      <c r="FK140" s="30"/>
      <c r="FL140" s="30"/>
      <c r="FM140" s="30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0"/>
      <c r="FZ140" s="30"/>
      <c r="GA140" s="30"/>
      <c r="GB140" s="30"/>
      <c r="GC140" s="30"/>
      <c r="GD140" s="30"/>
      <c r="GE140" s="30"/>
      <c r="GF140" s="30"/>
      <c r="GG140" s="30"/>
      <c r="GH140" s="30"/>
      <c r="GI140" s="30"/>
      <c r="GJ140" s="30"/>
      <c r="GK140" s="30"/>
      <c r="GL140" s="30"/>
      <c r="GM140" s="30"/>
      <c r="GN140" s="30"/>
      <c r="GO140" s="30"/>
      <c r="GP140" s="30"/>
      <c r="GQ140" s="30"/>
      <c r="GR140" s="30"/>
      <c r="GS140" s="30"/>
      <c r="GT140" s="30"/>
      <c r="GU140" s="30"/>
      <c r="GV140" s="30"/>
      <c r="GW140" s="30"/>
      <c r="GX140" s="30"/>
      <c r="GY140" s="30"/>
      <c r="GZ140" s="30"/>
      <c r="HA140" s="30"/>
      <c r="HB140" s="30"/>
      <c r="HC140" s="30"/>
      <c r="HD140" s="30"/>
      <c r="HE140" s="30"/>
      <c r="HF140" s="30"/>
      <c r="HG140" s="30"/>
      <c r="HH140" s="30"/>
      <c r="HI140" s="30"/>
      <c r="HJ140" s="30"/>
      <c r="HK140" s="30"/>
      <c r="HL140" s="30"/>
      <c r="HM140" s="30"/>
      <c r="HN140" s="30"/>
      <c r="HO140" s="30"/>
      <c r="HP140" s="30"/>
      <c r="HQ140" s="30"/>
      <c r="HR140" s="30"/>
      <c r="HS140" s="30"/>
      <c r="HT140" s="30"/>
      <c r="HU140" s="30"/>
      <c r="HV140" s="30"/>
      <c r="HW140" s="30"/>
      <c r="HX140" s="30"/>
      <c r="HY140" s="30"/>
      <c r="HZ140" s="30"/>
      <c r="IA140" s="30"/>
      <c r="IB140" s="30"/>
      <c r="IC140" s="30"/>
      <c r="ID140" s="30"/>
      <c r="IE140" s="30"/>
      <c r="IF140" s="30"/>
      <c r="IG140" s="30"/>
      <c r="IH140" s="30"/>
      <c r="II140" s="30"/>
      <c r="IJ140" s="30"/>
      <c r="IK140" s="30"/>
      <c r="IL140" s="30"/>
      <c r="IM140" s="30"/>
      <c r="IN140" s="30"/>
      <c r="IO140" s="30"/>
      <c r="IP140" s="30"/>
      <c r="IQ140" s="30"/>
      <c r="IR140" s="31"/>
      <c r="IS140" s="31"/>
      <c r="IT140" s="31"/>
      <c r="IU140" s="31"/>
      <c r="IV140" s="31"/>
    </row>
    <row r="141" ht="11.25" customHeight="1">
      <c r="A141" s="29"/>
      <c r="B141" s="29"/>
      <c r="C141" s="29"/>
      <c r="D141" s="29"/>
      <c r="E141" s="29">
        <f>HLOOKUP($D$122,$B$3:$CW$114,112,0)</f>
        <v>9</v>
      </c>
      <c r="F141" s="29" t="s">
        <v>136</v>
      </c>
      <c r="G141" s="29"/>
      <c r="H141" s="29" t="s">
        <v>136</v>
      </c>
      <c r="I141" s="29"/>
      <c r="J141" s="29">
        <v>9.5</v>
      </c>
      <c r="K141" s="29">
        <v>7.5</v>
      </c>
      <c r="L141" s="29">
        <v>5.5</v>
      </c>
      <c r="M141" s="29">
        <v>2.5</v>
      </c>
      <c r="N141" s="29">
        <v>0.5</v>
      </c>
      <c r="O141" s="29">
        <v>-0.5</v>
      </c>
      <c r="P141" s="29">
        <f>DATA!E141</f>
        <v>9</v>
      </c>
      <c r="Q141" s="29"/>
      <c r="R141" s="29"/>
      <c r="S141" s="29"/>
      <c r="T141" s="29">
        <v>25.0</v>
      </c>
      <c r="U141" s="29" t="s">
        <v>206</v>
      </c>
      <c r="V141" s="29" t="s">
        <v>207</v>
      </c>
      <c r="W141" s="29" t="s">
        <v>147</v>
      </c>
      <c r="X141" s="29" t="s">
        <v>147</v>
      </c>
      <c r="Y141" s="29" t="s">
        <v>147</v>
      </c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C141" s="29"/>
      <c r="BD141" s="29"/>
      <c r="BE141" s="29"/>
      <c r="BF141" s="29"/>
      <c r="BG141" s="29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29"/>
      <c r="BX141" s="29"/>
      <c r="BY141" s="29"/>
      <c r="BZ141" s="29"/>
      <c r="CA141" s="29"/>
      <c r="CB141" s="29"/>
      <c r="CC141" s="29"/>
      <c r="CD141" s="29"/>
      <c r="CE141" s="29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30"/>
      <c r="CY141" s="30"/>
      <c r="CZ141" s="30"/>
      <c r="DA141" s="30"/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30"/>
      <c r="DX141" s="3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  <c r="EM141" s="30"/>
      <c r="EN141" s="30"/>
      <c r="EO141" s="30"/>
      <c r="EP141" s="30"/>
      <c r="EQ141" s="30"/>
      <c r="ER141" s="30"/>
      <c r="ES141" s="30"/>
      <c r="ET141" s="30"/>
      <c r="EU141" s="30"/>
      <c r="EV141" s="30"/>
      <c r="EW141" s="30"/>
      <c r="EX141" s="30"/>
      <c r="EY141" s="30"/>
      <c r="EZ141" s="30"/>
      <c r="FA141" s="30"/>
      <c r="FB141" s="30"/>
      <c r="FC141" s="30"/>
      <c r="FD141" s="30"/>
      <c r="FE141" s="30"/>
      <c r="FF141" s="30"/>
      <c r="FG141" s="30"/>
      <c r="FH141" s="30"/>
      <c r="FI141" s="30"/>
      <c r="FJ141" s="30"/>
      <c r="FK141" s="30"/>
      <c r="FL141" s="30"/>
      <c r="FM141" s="30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0"/>
      <c r="FZ141" s="30"/>
      <c r="GA141" s="30"/>
      <c r="GB141" s="30"/>
      <c r="GC141" s="30"/>
      <c r="GD141" s="30"/>
      <c r="GE141" s="30"/>
      <c r="GF141" s="30"/>
      <c r="GG141" s="30"/>
      <c r="GH141" s="30"/>
      <c r="GI141" s="30"/>
      <c r="GJ141" s="30"/>
      <c r="GK141" s="30"/>
      <c r="GL141" s="30"/>
      <c r="GM141" s="30"/>
      <c r="GN141" s="30"/>
      <c r="GO141" s="30"/>
      <c r="GP141" s="30"/>
      <c r="GQ141" s="30"/>
      <c r="GR141" s="30"/>
      <c r="GS141" s="30"/>
      <c r="GT141" s="30"/>
      <c r="GU141" s="30"/>
      <c r="GV141" s="30"/>
      <c r="GW141" s="30"/>
      <c r="GX141" s="30"/>
      <c r="GY141" s="30"/>
      <c r="GZ141" s="30"/>
      <c r="HA141" s="30"/>
      <c r="HB141" s="30"/>
      <c r="HC141" s="30"/>
      <c r="HD141" s="30"/>
      <c r="HE141" s="30"/>
      <c r="HF141" s="30"/>
      <c r="HG141" s="30"/>
      <c r="HH141" s="30"/>
      <c r="HI141" s="30"/>
      <c r="HJ141" s="30"/>
      <c r="HK141" s="30"/>
      <c r="HL141" s="30"/>
      <c r="HM141" s="30"/>
      <c r="HN141" s="30"/>
      <c r="HO141" s="30"/>
      <c r="HP141" s="30"/>
      <c r="HQ141" s="30"/>
      <c r="HR141" s="30"/>
      <c r="HS141" s="30"/>
      <c r="HT141" s="30"/>
      <c r="HU141" s="30"/>
      <c r="HV141" s="30"/>
      <c r="HW141" s="30"/>
      <c r="HX141" s="30"/>
      <c r="HY141" s="30"/>
      <c r="HZ141" s="30"/>
      <c r="IA141" s="30"/>
      <c r="IB141" s="30"/>
      <c r="IC141" s="30"/>
      <c r="ID141" s="30"/>
      <c r="IE141" s="30"/>
      <c r="IF141" s="30"/>
      <c r="IG141" s="30"/>
      <c r="IH141" s="30"/>
      <c r="II141" s="30"/>
      <c r="IJ141" s="30"/>
      <c r="IK141" s="30"/>
      <c r="IL141" s="30"/>
      <c r="IM141" s="30"/>
      <c r="IN141" s="30"/>
      <c r="IO141" s="30"/>
      <c r="IP141" s="30"/>
      <c r="IQ141" s="30"/>
      <c r="IR141" s="31"/>
      <c r="IS141" s="31"/>
      <c r="IT141" s="31"/>
      <c r="IU141" s="31"/>
      <c r="IV141" s="31"/>
    </row>
    <row r="142" ht="11.25" customHeight="1">
      <c r="A142" s="29"/>
      <c r="B142" s="29"/>
      <c r="C142" s="29"/>
      <c r="D142" s="29"/>
      <c r="E142" s="32" t="str">
        <f>VLOOKUP(D122,PESERTA!B5:F254,3,0)</f>
        <v>Riski</v>
      </c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>
        <v>26.0</v>
      </c>
      <c r="U142" s="29" t="s">
        <v>208</v>
      </c>
      <c r="V142" s="29" t="s">
        <v>209</v>
      </c>
      <c r="W142" s="29" t="s">
        <v>210</v>
      </c>
      <c r="X142" s="29" t="s">
        <v>211</v>
      </c>
      <c r="Y142" s="29" t="s">
        <v>147</v>
      </c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C142" s="29"/>
      <c r="BD142" s="29"/>
      <c r="BE142" s="29"/>
      <c r="BF142" s="29"/>
      <c r="BG142" s="29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29"/>
      <c r="BX142" s="29"/>
      <c r="BY142" s="29"/>
      <c r="BZ142" s="29"/>
      <c r="CA142" s="29"/>
      <c r="CB142" s="29"/>
      <c r="CC142" s="29"/>
      <c r="CD142" s="29"/>
      <c r="CE142" s="29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V142" s="30"/>
      <c r="EW142" s="30"/>
      <c r="EX142" s="30"/>
      <c r="EY142" s="30"/>
      <c r="EZ142" s="30"/>
      <c r="FA142" s="30"/>
      <c r="FB142" s="30"/>
      <c r="FC142" s="30"/>
      <c r="FD142" s="30"/>
      <c r="FE142" s="30"/>
      <c r="FF142" s="30"/>
      <c r="FG142" s="30"/>
      <c r="FH142" s="30"/>
      <c r="FI142" s="30"/>
      <c r="FJ142" s="30"/>
      <c r="FK142" s="30"/>
      <c r="FL142" s="30"/>
      <c r="FM142" s="30"/>
      <c r="FN142" s="30"/>
      <c r="FO142" s="30"/>
      <c r="FP142" s="30"/>
      <c r="FQ142" s="30"/>
      <c r="FR142" s="30"/>
      <c r="FS142" s="30"/>
      <c r="FT142" s="30"/>
      <c r="FU142" s="30"/>
      <c r="FV142" s="30"/>
      <c r="FW142" s="30"/>
      <c r="FX142" s="30"/>
      <c r="FY142" s="30"/>
      <c r="FZ142" s="30"/>
      <c r="GA142" s="30"/>
      <c r="GB142" s="30"/>
      <c r="GC142" s="30"/>
      <c r="GD142" s="30"/>
      <c r="GE142" s="30"/>
      <c r="GF142" s="30"/>
      <c r="GG142" s="30"/>
      <c r="GH142" s="30"/>
      <c r="GI142" s="30"/>
      <c r="GJ142" s="30"/>
      <c r="GK142" s="30"/>
      <c r="GL142" s="30"/>
      <c r="GM142" s="30"/>
      <c r="GN142" s="30"/>
      <c r="GO142" s="30"/>
      <c r="GP142" s="30"/>
      <c r="GQ142" s="30"/>
      <c r="GR142" s="30"/>
      <c r="GS142" s="30"/>
      <c r="GT142" s="30"/>
      <c r="GU142" s="30"/>
      <c r="GV142" s="30"/>
      <c r="GW142" s="30"/>
      <c r="GX142" s="30"/>
      <c r="GY142" s="30"/>
      <c r="GZ142" s="30"/>
      <c r="HA142" s="30"/>
      <c r="HB142" s="30"/>
      <c r="HC142" s="30"/>
      <c r="HD142" s="30"/>
      <c r="HE142" s="30"/>
      <c r="HF142" s="30"/>
      <c r="HG142" s="30"/>
      <c r="HH142" s="30"/>
      <c r="HI142" s="30"/>
      <c r="HJ142" s="30"/>
      <c r="HK142" s="30"/>
      <c r="HL142" s="30"/>
      <c r="HM142" s="30"/>
      <c r="HN142" s="30"/>
      <c r="HO142" s="30"/>
      <c r="HP142" s="30"/>
      <c r="HQ142" s="30"/>
      <c r="HR142" s="30"/>
      <c r="HS142" s="30"/>
      <c r="HT142" s="30"/>
      <c r="HU142" s="30"/>
      <c r="HV142" s="30"/>
      <c r="HW142" s="30"/>
      <c r="HX142" s="30"/>
      <c r="HY142" s="30"/>
      <c r="HZ142" s="30"/>
      <c r="IA142" s="30"/>
      <c r="IB142" s="30"/>
      <c r="IC142" s="30"/>
      <c r="ID142" s="30"/>
      <c r="IE142" s="30"/>
      <c r="IF142" s="30"/>
      <c r="IG142" s="30"/>
      <c r="IH142" s="30"/>
      <c r="II142" s="30"/>
      <c r="IJ142" s="30"/>
      <c r="IK142" s="30"/>
      <c r="IL142" s="30"/>
      <c r="IM142" s="30"/>
      <c r="IN142" s="30"/>
      <c r="IO142" s="30"/>
      <c r="IP142" s="30"/>
      <c r="IQ142" s="30"/>
      <c r="IR142" s="31"/>
      <c r="IS142" s="31"/>
      <c r="IT142" s="31"/>
      <c r="IU142" s="31"/>
      <c r="IV142" s="31"/>
    </row>
    <row r="143" ht="11.25" customHeight="1">
      <c r="A143" s="29"/>
      <c r="B143" s="29"/>
      <c r="C143" s="29"/>
      <c r="D143" s="29"/>
      <c r="E143" s="32" t="str">
        <f>VLOOKUP(D122,PESERTA!B5:F254,2,0)</f>
        <v>1</v>
      </c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>
        <v>27.0</v>
      </c>
      <c r="U143" s="29" t="s">
        <v>212</v>
      </c>
      <c r="V143" s="29" t="s">
        <v>213</v>
      </c>
      <c r="W143" s="29" t="s">
        <v>214</v>
      </c>
      <c r="X143" s="29" t="s">
        <v>215</v>
      </c>
      <c r="Y143" s="29" t="s">
        <v>147</v>
      </c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C143" s="29"/>
      <c r="BD143" s="29"/>
      <c r="BE143" s="29"/>
      <c r="BF143" s="29"/>
      <c r="BG143" s="29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29"/>
      <c r="BX143" s="29"/>
      <c r="BY143" s="29"/>
      <c r="BZ143" s="29"/>
      <c r="CA143" s="29"/>
      <c r="CB143" s="29"/>
      <c r="CC143" s="29"/>
      <c r="CD143" s="29"/>
      <c r="CE143" s="29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30"/>
      <c r="FL143" s="3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0"/>
      <c r="FZ143" s="30"/>
      <c r="GA143" s="30"/>
      <c r="GB143" s="30"/>
      <c r="GC143" s="30"/>
      <c r="GD143" s="30"/>
      <c r="GE143" s="30"/>
      <c r="GF143" s="30"/>
      <c r="GG143" s="30"/>
      <c r="GH143" s="30"/>
      <c r="GI143" s="30"/>
      <c r="GJ143" s="30"/>
      <c r="GK143" s="30"/>
      <c r="GL143" s="30"/>
      <c r="GM143" s="30"/>
      <c r="GN143" s="30"/>
      <c r="GO143" s="30"/>
      <c r="GP143" s="30"/>
      <c r="GQ143" s="30"/>
      <c r="GR143" s="30"/>
      <c r="GS143" s="30"/>
      <c r="GT143" s="30"/>
      <c r="GU143" s="30"/>
      <c r="GV143" s="30"/>
      <c r="GW143" s="30"/>
      <c r="GX143" s="30"/>
      <c r="GY143" s="30"/>
      <c r="GZ143" s="30"/>
      <c r="HA143" s="30"/>
      <c r="HB143" s="30"/>
      <c r="HC143" s="30"/>
      <c r="HD143" s="30"/>
      <c r="HE143" s="30"/>
      <c r="HF143" s="30"/>
      <c r="HG143" s="30"/>
      <c r="HH143" s="30"/>
      <c r="HI143" s="30"/>
      <c r="HJ143" s="30"/>
      <c r="HK143" s="30"/>
      <c r="HL143" s="30"/>
      <c r="HM143" s="30"/>
      <c r="HN143" s="30"/>
      <c r="HO143" s="30"/>
      <c r="HP143" s="30"/>
      <c r="HQ143" s="30"/>
      <c r="HR143" s="30"/>
      <c r="HS143" s="30"/>
      <c r="HT143" s="30"/>
      <c r="HU143" s="30"/>
      <c r="HV143" s="30"/>
      <c r="HW143" s="30"/>
      <c r="HX143" s="30"/>
      <c r="HY143" s="30"/>
      <c r="HZ143" s="30"/>
      <c r="IA143" s="30"/>
      <c r="IB143" s="30"/>
      <c r="IC143" s="30"/>
      <c r="ID143" s="30"/>
      <c r="IE143" s="30"/>
      <c r="IF143" s="30"/>
      <c r="IG143" s="30"/>
      <c r="IH143" s="30"/>
      <c r="II143" s="30"/>
      <c r="IJ143" s="30"/>
      <c r="IK143" s="30"/>
      <c r="IL143" s="30"/>
      <c r="IM143" s="30"/>
      <c r="IN143" s="30"/>
      <c r="IO143" s="30"/>
      <c r="IP143" s="30"/>
      <c r="IQ143" s="30"/>
      <c r="IR143" s="31"/>
      <c r="IS143" s="31"/>
      <c r="IT143" s="31"/>
      <c r="IU143" s="31"/>
      <c r="IV143" s="31"/>
    </row>
    <row r="144" ht="11.25" customHeight="1">
      <c r="A144" s="29"/>
      <c r="B144" s="29"/>
      <c r="C144" s="29"/>
      <c r="D144" s="29"/>
      <c r="E144" s="32" t="str">
        <f>VLOOKUP(D122,PESERTA!B5:F254,4,0)</f>
        <v>Hr</v>
      </c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>
        <v>28.0</v>
      </c>
      <c r="U144" s="29" t="s">
        <v>216</v>
      </c>
      <c r="V144" s="29" t="s">
        <v>217</v>
      </c>
      <c r="W144" s="29" t="s">
        <v>218</v>
      </c>
      <c r="X144" s="29" t="s">
        <v>147</v>
      </c>
      <c r="Y144" s="29" t="s">
        <v>147</v>
      </c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  <c r="BC144" s="29"/>
      <c r="BD144" s="29"/>
      <c r="BE144" s="29"/>
      <c r="BF144" s="29"/>
      <c r="BG144" s="29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29"/>
      <c r="BX144" s="29"/>
      <c r="BY144" s="29"/>
      <c r="BZ144" s="29"/>
      <c r="CA144" s="29"/>
      <c r="CB144" s="29"/>
      <c r="CC144" s="29"/>
      <c r="CD144" s="29"/>
      <c r="CE144" s="29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30"/>
      <c r="CY144" s="30"/>
      <c r="CZ144" s="30"/>
      <c r="DA144" s="30"/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30"/>
      <c r="DX144" s="3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  <c r="EM144" s="30"/>
      <c r="EN144" s="30"/>
      <c r="EO144" s="30"/>
      <c r="EP144" s="30"/>
      <c r="EQ144" s="30"/>
      <c r="ER144" s="30"/>
      <c r="ES144" s="30"/>
      <c r="ET144" s="30"/>
      <c r="EU144" s="30"/>
      <c r="EV144" s="30"/>
      <c r="EW144" s="30"/>
      <c r="EX144" s="30"/>
      <c r="EY144" s="30"/>
      <c r="EZ144" s="30"/>
      <c r="FA144" s="30"/>
      <c r="FB144" s="30"/>
      <c r="FC144" s="30"/>
      <c r="FD144" s="30"/>
      <c r="FE144" s="30"/>
      <c r="FF144" s="30"/>
      <c r="FG144" s="30"/>
      <c r="FH144" s="30"/>
      <c r="FI144" s="30"/>
      <c r="FJ144" s="30"/>
      <c r="FK144" s="30"/>
      <c r="FL144" s="30"/>
      <c r="FM144" s="30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0"/>
      <c r="FZ144" s="30"/>
      <c r="GA144" s="30"/>
      <c r="GB144" s="30"/>
      <c r="GC144" s="30"/>
      <c r="GD144" s="30"/>
      <c r="GE144" s="30"/>
      <c r="GF144" s="30"/>
      <c r="GG144" s="30"/>
      <c r="GH144" s="30"/>
      <c r="GI144" s="30"/>
      <c r="GJ144" s="30"/>
      <c r="GK144" s="30"/>
      <c r="GL144" s="30"/>
      <c r="GM144" s="30"/>
      <c r="GN144" s="30"/>
      <c r="GO144" s="30"/>
      <c r="GP144" s="30"/>
      <c r="GQ144" s="30"/>
      <c r="GR144" s="30"/>
      <c r="GS144" s="30"/>
      <c r="GT144" s="30"/>
      <c r="GU144" s="30"/>
      <c r="GV144" s="30"/>
      <c r="GW144" s="30"/>
      <c r="GX144" s="30"/>
      <c r="GY144" s="30"/>
      <c r="GZ144" s="30"/>
      <c r="HA144" s="30"/>
      <c r="HB144" s="30"/>
      <c r="HC144" s="30"/>
      <c r="HD144" s="30"/>
      <c r="HE144" s="30"/>
      <c r="HF144" s="30"/>
      <c r="HG144" s="30"/>
      <c r="HH144" s="30"/>
      <c r="HI144" s="30"/>
      <c r="HJ144" s="30"/>
      <c r="HK144" s="30"/>
      <c r="HL144" s="30"/>
      <c r="HM144" s="30"/>
      <c r="HN144" s="30"/>
      <c r="HO144" s="30"/>
      <c r="HP144" s="30"/>
      <c r="HQ144" s="30"/>
      <c r="HR144" s="30"/>
      <c r="HS144" s="30"/>
      <c r="HT144" s="30"/>
      <c r="HU144" s="30"/>
      <c r="HV144" s="30"/>
      <c r="HW144" s="30"/>
      <c r="HX144" s="30"/>
      <c r="HY144" s="30"/>
      <c r="HZ144" s="30"/>
      <c r="IA144" s="30"/>
      <c r="IB144" s="30"/>
      <c r="IC144" s="30"/>
      <c r="ID144" s="30"/>
      <c r="IE144" s="30"/>
      <c r="IF144" s="30"/>
      <c r="IG144" s="30"/>
      <c r="IH144" s="30"/>
      <c r="II144" s="30"/>
      <c r="IJ144" s="30"/>
      <c r="IK144" s="30"/>
      <c r="IL144" s="30"/>
      <c r="IM144" s="30"/>
      <c r="IN144" s="30"/>
      <c r="IO144" s="30"/>
      <c r="IP144" s="30"/>
      <c r="IQ144" s="30"/>
      <c r="IR144" s="31"/>
      <c r="IS144" s="31"/>
      <c r="IT144" s="31"/>
      <c r="IU144" s="31"/>
      <c r="IV144" s="31"/>
    </row>
    <row r="145" ht="11.25" customHeight="1">
      <c r="A145" s="29"/>
      <c r="B145" s="29"/>
      <c r="C145" s="29"/>
      <c r="D145" s="29"/>
      <c r="E145" s="32" t="str">
        <f>VLOOKUP(D122,PESERTA!B5:F254,5,0)</f>
        <v>S1</v>
      </c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>
        <v>29.0</v>
      </c>
      <c r="U145" s="29" t="s">
        <v>219</v>
      </c>
      <c r="V145" s="29" t="s">
        <v>220</v>
      </c>
      <c r="W145" s="29" t="s">
        <v>221</v>
      </c>
      <c r="X145" s="29" t="s">
        <v>147</v>
      </c>
      <c r="Y145" s="29" t="s">
        <v>147</v>
      </c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  <c r="BC145" s="29"/>
      <c r="BD145" s="29"/>
      <c r="BE145" s="29"/>
      <c r="BF145" s="29"/>
      <c r="BG145" s="29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29"/>
      <c r="BX145" s="29"/>
      <c r="BY145" s="29"/>
      <c r="BZ145" s="29"/>
      <c r="CA145" s="29"/>
      <c r="CB145" s="29"/>
      <c r="CC145" s="29"/>
      <c r="CD145" s="29"/>
      <c r="CE145" s="29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30"/>
      <c r="CY145" s="30"/>
      <c r="CZ145" s="30"/>
      <c r="DA145" s="30"/>
      <c r="DB145" s="30"/>
      <c r="DC145" s="30"/>
      <c r="DD145" s="30"/>
      <c r="DE145" s="30"/>
      <c r="DF145" s="30"/>
      <c r="DG145" s="30"/>
      <c r="DH145" s="30"/>
      <c r="DI145" s="30"/>
      <c r="DJ145" s="30"/>
      <c r="DK145" s="30"/>
      <c r="DL145" s="30"/>
      <c r="DM145" s="30"/>
      <c r="DN145" s="30"/>
      <c r="DO145" s="30"/>
      <c r="DP145" s="30"/>
      <c r="DQ145" s="30"/>
      <c r="DR145" s="30"/>
      <c r="DS145" s="30"/>
      <c r="DT145" s="30"/>
      <c r="DU145" s="30"/>
      <c r="DV145" s="30"/>
      <c r="DW145" s="30"/>
      <c r="DX145" s="30"/>
      <c r="DY145" s="30"/>
      <c r="DZ145" s="30"/>
      <c r="EA145" s="30"/>
      <c r="EB145" s="30"/>
      <c r="EC145" s="30"/>
      <c r="ED145" s="30"/>
      <c r="EE145" s="30"/>
      <c r="EF145" s="30"/>
      <c r="EG145" s="30"/>
      <c r="EH145" s="30"/>
      <c r="EI145" s="30"/>
      <c r="EJ145" s="30"/>
      <c r="EK145" s="30"/>
      <c r="EL145" s="30"/>
      <c r="EM145" s="30"/>
      <c r="EN145" s="30"/>
      <c r="EO145" s="30"/>
      <c r="EP145" s="30"/>
      <c r="EQ145" s="30"/>
      <c r="ER145" s="30"/>
      <c r="ES145" s="30"/>
      <c r="ET145" s="30"/>
      <c r="EU145" s="30"/>
      <c r="EV145" s="30"/>
      <c r="EW145" s="30"/>
      <c r="EX145" s="30"/>
      <c r="EY145" s="30"/>
      <c r="EZ145" s="30"/>
      <c r="FA145" s="30"/>
      <c r="FB145" s="30"/>
      <c r="FC145" s="30"/>
      <c r="FD145" s="30"/>
      <c r="FE145" s="30"/>
      <c r="FF145" s="30"/>
      <c r="FG145" s="30"/>
      <c r="FH145" s="30"/>
      <c r="FI145" s="30"/>
      <c r="FJ145" s="30"/>
      <c r="FK145" s="30"/>
      <c r="FL145" s="30"/>
      <c r="FM145" s="30"/>
      <c r="FN145" s="30"/>
      <c r="FO145" s="30"/>
      <c r="FP145" s="30"/>
      <c r="FQ145" s="30"/>
      <c r="FR145" s="30"/>
      <c r="FS145" s="30"/>
      <c r="FT145" s="30"/>
      <c r="FU145" s="30"/>
      <c r="FV145" s="30"/>
      <c r="FW145" s="30"/>
      <c r="FX145" s="30"/>
      <c r="FY145" s="30"/>
      <c r="FZ145" s="30"/>
      <c r="GA145" s="30"/>
      <c r="GB145" s="30"/>
      <c r="GC145" s="30"/>
      <c r="GD145" s="30"/>
      <c r="GE145" s="30"/>
      <c r="GF145" s="30"/>
      <c r="GG145" s="30"/>
      <c r="GH145" s="30"/>
      <c r="GI145" s="30"/>
      <c r="GJ145" s="30"/>
      <c r="GK145" s="30"/>
      <c r="GL145" s="30"/>
      <c r="GM145" s="30"/>
      <c r="GN145" s="30"/>
      <c r="GO145" s="30"/>
      <c r="GP145" s="30"/>
      <c r="GQ145" s="30"/>
      <c r="GR145" s="30"/>
      <c r="GS145" s="30"/>
      <c r="GT145" s="30"/>
      <c r="GU145" s="30"/>
      <c r="GV145" s="30"/>
      <c r="GW145" s="30"/>
      <c r="GX145" s="30"/>
      <c r="GY145" s="30"/>
      <c r="GZ145" s="30"/>
      <c r="HA145" s="30"/>
      <c r="HB145" s="30"/>
      <c r="HC145" s="30"/>
      <c r="HD145" s="30"/>
      <c r="HE145" s="30"/>
      <c r="HF145" s="30"/>
      <c r="HG145" s="30"/>
      <c r="HH145" s="30"/>
      <c r="HI145" s="30"/>
      <c r="HJ145" s="30"/>
      <c r="HK145" s="30"/>
      <c r="HL145" s="30"/>
      <c r="HM145" s="30"/>
      <c r="HN145" s="30"/>
      <c r="HO145" s="30"/>
      <c r="HP145" s="30"/>
      <c r="HQ145" s="30"/>
      <c r="HR145" s="30"/>
      <c r="HS145" s="30"/>
      <c r="HT145" s="30"/>
      <c r="HU145" s="30"/>
      <c r="HV145" s="30"/>
      <c r="HW145" s="30"/>
      <c r="HX145" s="30"/>
      <c r="HY145" s="30"/>
      <c r="HZ145" s="30"/>
      <c r="IA145" s="30"/>
      <c r="IB145" s="30"/>
      <c r="IC145" s="30"/>
      <c r="ID145" s="30"/>
      <c r="IE145" s="30"/>
      <c r="IF145" s="30"/>
      <c r="IG145" s="30"/>
      <c r="IH145" s="30"/>
      <c r="II145" s="30"/>
      <c r="IJ145" s="30"/>
      <c r="IK145" s="30"/>
      <c r="IL145" s="30"/>
      <c r="IM145" s="30"/>
      <c r="IN145" s="30"/>
      <c r="IO145" s="30"/>
      <c r="IP145" s="30"/>
      <c r="IQ145" s="30"/>
      <c r="IR145" s="31"/>
      <c r="IS145" s="31"/>
      <c r="IT145" s="31"/>
      <c r="IU145" s="31"/>
      <c r="IV145" s="31"/>
    </row>
    <row r="146" ht="11.25" customHeight="1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>
        <v>30.0</v>
      </c>
      <c r="U146" s="29" t="s">
        <v>222</v>
      </c>
      <c r="V146" s="29" t="s">
        <v>223</v>
      </c>
      <c r="W146" s="29" t="s">
        <v>224</v>
      </c>
      <c r="X146" s="29" t="s">
        <v>225</v>
      </c>
      <c r="Y146" s="29" t="s">
        <v>226</v>
      </c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  <c r="BC146" s="29"/>
      <c r="BD146" s="29"/>
      <c r="BE146" s="29"/>
      <c r="BF146" s="29"/>
      <c r="BG146" s="29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29"/>
      <c r="BX146" s="29"/>
      <c r="BY146" s="29"/>
      <c r="BZ146" s="29"/>
      <c r="CA146" s="29"/>
      <c r="CB146" s="29"/>
      <c r="CC146" s="29"/>
      <c r="CD146" s="29"/>
      <c r="CE146" s="29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30"/>
      <c r="FL146" s="3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0"/>
      <c r="FZ146" s="30"/>
      <c r="GA146" s="30"/>
      <c r="GB146" s="30"/>
      <c r="GC146" s="30"/>
      <c r="GD146" s="30"/>
      <c r="GE146" s="30"/>
      <c r="GF146" s="30"/>
      <c r="GG146" s="30"/>
      <c r="GH146" s="30"/>
      <c r="GI146" s="30"/>
      <c r="GJ146" s="30"/>
      <c r="GK146" s="30"/>
      <c r="GL146" s="30"/>
      <c r="GM146" s="30"/>
      <c r="GN146" s="30"/>
      <c r="GO146" s="30"/>
      <c r="GP146" s="30"/>
      <c r="GQ146" s="30"/>
      <c r="GR146" s="30"/>
      <c r="GS146" s="30"/>
      <c r="GT146" s="30"/>
      <c r="GU146" s="30"/>
      <c r="GV146" s="30"/>
      <c r="GW146" s="30"/>
      <c r="GX146" s="30"/>
      <c r="GY146" s="30"/>
      <c r="GZ146" s="30"/>
      <c r="HA146" s="30"/>
      <c r="HB146" s="30"/>
      <c r="HC146" s="30"/>
      <c r="HD146" s="30"/>
      <c r="HE146" s="30"/>
      <c r="HF146" s="30"/>
      <c r="HG146" s="30"/>
      <c r="HH146" s="30"/>
      <c r="HI146" s="30"/>
      <c r="HJ146" s="30"/>
      <c r="HK146" s="30"/>
      <c r="HL146" s="30"/>
      <c r="HM146" s="30"/>
      <c r="HN146" s="30"/>
      <c r="HO146" s="30"/>
      <c r="HP146" s="30"/>
      <c r="HQ146" s="30"/>
      <c r="HR146" s="30"/>
      <c r="HS146" s="30"/>
      <c r="HT146" s="30"/>
      <c r="HU146" s="30"/>
      <c r="HV146" s="30"/>
      <c r="HW146" s="30"/>
      <c r="HX146" s="30"/>
      <c r="HY146" s="30"/>
      <c r="HZ146" s="30"/>
      <c r="IA146" s="30"/>
      <c r="IB146" s="30"/>
      <c r="IC146" s="30"/>
      <c r="ID146" s="30"/>
      <c r="IE146" s="30"/>
      <c r="IF146" s="30"/>
      <c r="IG146" s="30"/>
      <c r="IH146" s="30"/>
      <c r="II146" s="30"/>
      <c r="IJ146" s="30"/>
      <c r="IK146" s="30"/>
      <c r="IL146" s="30"/>
      <c r="IM146" s="30"/>
      <c r="IN146" s="30"/>
      <c r="IO146" s="30"/>
      <c r="IP146" s="30"/>
      <c r="IQ146" s="30"/>
      <c r="IR146" s="31"/>
      <c r="IS146" s="31"/>
      <c r="IT146" s="31"/>
      <c r="IU146" s="31"/>
      <c r="IV146" s="31"/>
    </row>
    <row r="147" ht="11.25" customHeight="1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>
        <v>31.0</v>
      </c>
      <c r="U147" s="29" t="s">
        <v>227</v>
      </c>
      <c r="V147" s="29" t="s">
        <v>228</v>
      </c>
      <c r="W147" s="29" t="s">
        <v>229</v>
      </c>
      <c r="X147" s="29" t="s">
        <v>147</v>
      </c>
      <c r="Y147" s="29" t="s">
        <v>147</v>
      </c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29"/>
      <c r="BX147" s="29"/>
      <c r="BY147" s="29"/>
      <c r="BZ147" s="29"/>
      <c r="CA147" s="29"/>
      <c r="CB147" s="29"/>
      <c r="CC147" s="29"/>
      <c r="CD147" s="29"/>
      <c r="CE147" s="29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30"/>
      <c r="FL147" s="3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0"/>
      <c r="FZ147" s="30"/>
      <c r="GA147" s="30"/>
      <c r="GB147" s="30"/>
      <c r="GC147" s="30"/>
      <c r="GD147" s="30"/>
      <c r="GE147" s="30"/>
      <c r="GF147" s="30"/>
      <c r="GG147" s="30"/>
      <c r="GH147" s="30"/>
      <c r="GI147" s="30"/>
      <c r="GJ147" s="30"/>
      <c r="GK147" s="30"/>
      <c r="GL147" s="30"/>
      <c r="GM147" s="30"/>
      <c r="GN147" s="30"/>
      <c r="GO147" s="30"/>
      <c r="GP147" s="30"/>
      <c r="GQ147" s="30"/>
      <c r="GR147" s="30"/>
      <c r="GS147" s="30"/>
      <c r="GT147" s="30"/>
      <c r="GU147" s="30"/>
      <c r="GV147" s="30"/>
      <c r="GW147" s="30"/>
      <c r="GX147" s="30"/>
      <c r="GY147" s="30"/>
      <c r="GZ147" s="30"/>
      <c r="HA147" s="30"/>
      <c r="HB147" s="30"/>
      <c r="HC147" s="30"/>
      <c r="HD147" s="30"/>
      <c r="HE147" s="30"/>
      <c r="HF147" s="30"/>
      <c r="HG147" s="30"/>
      <c r="HH147" s="30"/>
      <c r="HI147" s="30"/>
      <c r="HJ147" s="30"/>
      <c r="HK147" s="30"/>
      <c r="HL147" s="30"/>
      <c r="HM147" s="30"/>
      <c r="HN147" s="30"/>
      <c r="HO147" s="30"/>
      <c r="HP147" s="30"/>
      <c r="HQ147" s="30"/>
      <c r="HR147" s="30"/>
      <c r="HS147" s="30"/>
      <c r="HT147" s="30"/>
      <c r="HU147" s="30"/>
      <c r="HV147" s="30"/>
      <c r="HW147" s="30"/>
      <c r="HX147" s="30"/>
      <c r="HY147" s="30"/>
      <c r="HZ147" s="30"/>
      <c r="IA147" s="30"/>
      <c r="IB147" s="30"/>
      <c r="IC147" s="30"/>
      <c r="ID147" s="30"/>
      <c r="IE147" s="30"/>
      <c r="IF147" s="30"/>
      <c r="IG147" s="30"/>
      <c r="IH147" s="30"/>
      <c r="II147" s="30"/>
      <c r="IJ147" s="30"/>
      <c r="IK147" s="30"/>
      <c r="IL147" s="30"/>
      <c r="IM147" s="30"/>
      <c r="IN147" s="30"/>
      <c r="IO147" s="30"/>
      <c r="IP147" s="30"/>
      <c r="IQ147" s="30"/>
      <c r="IR147" s="31"/>
      <c r="IS147" s="31"/>
      <c r="IT147" s="31"/>
      <c r="IU147" s="31"/>
      <c r="IV147" s="31"/>
    </row>
    <row r="148" ht="11.25" customHeight="1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>
        <v>32.0</v>
      </c>
      <c r="U148" s="29" t="s">
        <v>230</v>
      </c>
      <c r="V148" s="29" t="s">
        <v>231</v>
      </c>
      <c r="W148" s="29" t="s">
        <v>232</v>
      </c>
      <c r="X148" s="29" t="s">
        <v>147</v>
      </c>
      <c r="Y148" s="29" t="s">
        <v>147</v>
      </c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  <c r="BC148" s="29"/>
      <c r="BD148" s="29"/>
      <c r="BE148" s="29"/>
      <c r="BF148" s="29"/>
      <c r="BG148" s="29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29"/>
      <c r="BX148" s="29"/>
      <c r="BY148" s="29"/>
      <c r="BZ148" s="29"/>
      <c r="CA148" s="29"/>
      <c r="CB148" s="29"/>
      <c r="CC148" s="29"/>
      <c r="CD148" s="29"/>
      <c r="CE148" s="29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30"/>
      <c r="CY148" s="30"/>
      <c r="CZ148" s="30"/>
      <c r="DA148" s="30"/>
      <c r="DB148" s="30"/>
      <c r="DC148" s="30"/>
      <c r="DD148" s="30"/>
      <c r="DE148" s="30"/>
      <c r="DF148" s="30"/>
      <c r="DG148" s="30"/>
      <c r="DH148" s="30"/>
      <c r="DI148" s="30"/>
      <c r="DJ148" s="30"/>
      <c r="DK148" s="30"/>
      <c r="DL148" s="30"/>
      <c r="DM148" s="30"/>
      <c r="DN148" s="30"/>
      <c r="DO148" s="30"/>
      <c r="DP148" s="30"/>
      <c r="DQ148" s="30"/>
      <c r="DR148" s="30"/>
      <c r="DS148" s="30"/>
      <c r="DT148" s="30"/>
      <c r="DU148" s="30"/>
      <c r="DV148" s="30"/>
      <c r="DW148" s="30"/>
      <c r="DX148" s="30"/>
      <c r="DY148" s="30"/>
      <c r="DZ148" s="30"/>
      <c r="EA148" s="30"/>
      <c r="EB148" s="30"/>
      <c r="EC148" s="30"/>
      <c r="ED148" s="30"/>
      <c r="EE148" s="30"/>
      <c r="EF148" s="30"/>
      <c r="EG148" s="30"/>
      <c r="EH148" s="30"/>
      <c r="EI148" s="30"/>
      <c r="EJ148" s="30"/>
      <c r="EK148" s="30"/>
      <c r="EL148" s="30"/>
      <c r="EM148" s="30"/>
      <c r="EN148" s="30"/>
      <c r="EO148" s="30"/>
      <c r="EP148" s="30"/>
      <c r="EQ148" s="30"/>
      <c r="ER148" s="30"/>
      <c r="ES148" s="30"/>
      <c r="ET148" s="30"/>
      <c r="EU148" s="30"/>
      <c r="EV148" s="30"/>
      <c r="EW148" s="30"/>
      <c r="EX148" s="30"/>
      <c r="EY148" s="30"/>
      <c r="EZ148" s="30"/>
      <c r="FA148" s="30"/>
      <c r="FB148" s="30"/>
      <c r="FC148" s="30"/>
      <c r="FD148" s="30"/>
      <c r="FE148" s="30"/>
      <c r="FF148" s="30"/>
      <c r="FG148" s="30"/>
      <c r="FH148" s="30"/>
      <c r="FI148" s="30"/>
      <c r="FJ148" s="30"/>
      <c r="FK148" s="30"/>
      <c r="FL148" s="30"/>
      <c r="FM148" s="30"/>
      <c r="FN148" s="30"/>
      <c r="FO148" s="30"/>
      <c r="FP148" s="30"/>
      <c r="FQ148" s="30"/>
      <c r="FR148" s="30"/>
      <c r="FS148" s="30"/>
      <c r="FT148" s="30"/>
      <c r="FU148" s="30"/>
      <c r="FV148" s="30"/>
      <c r="FW148" s="30"/>
      <c r="FX148" s="30"/>
      <c r="FY148" s="30"/>
      <c r="FZ148" s="30"/>
      <c r="GA148" s="30"/>
      <c r="GB148" s="30"/>
      <c r="GC148" s="30"/>
      <c r="GD148" s="30"/>
      <c r="GE148" s="30"/>
      <c r="GF148" s="30"/>
      <c r="GG148" s="30"/>
      <c r="GH148" s="30"/>
      <c r="GI148" s="30"/>
      <c r="GJ148" s="30"/>
      <c r="GK148" s="30"/>
      <c r="GL148" s="30"/>
      <c r="GM148" s="30"/>
      <c r="GN148" s="30"/>
      <c r="GO148" s="30"/>
      <c r="GP148" s="30"/>
      <c r="GQ148" s="30"/>
      <c r="GR148" s="30"/>
      <c r="GS148" s="30"/>
      <c r="GT148" s="30"/>
      <c r="GU148" s="30"/>
      <c r="GV148" s="30"/>
      <c r="GW148" s="30"/>
      <c r="GX148" s="30"/>
      <c r="GY148" s="30"/>
      <c r="GZ148" s="30"/>
      <c r="HA148" s="30"/>
      <c r="HB148" s="30"/>
      <c r="HC148" s="30"/>
      <c r="HD148" s="30"/>
      <c r="HE148" s="30"/>
      <c r="HF148" s="30"/>
      <c r="HG148" s="30"/>
      <c r="HH148" s="30"/>
      <c r="HI148" s="30"/>
      <c r="HJ148" s="30"/>
      <c r="HK148" s="30"/>
      <c r="HL148" s="30"/>
      <c r="HM148" s="30"/>
      <c r="HN148" s="30"/>
      <c r="HO148" s="30"/>
      <c r="HP148" s="30"/>
      <c r="HQ148" s="30"/>
      <c r="HR148" s="30"/>
      <c r="HS148" s="30"/>
      <c r="HT148" s="30"/>
      <c r="HU148" s="30"/>
      <c r="HV148" s="30"/>
      <c r="HW148" s="30"/>
      <c r="HX148" s="30"/>
      <c r="HY148" s="30"/>
      <c r="HZ148" s="30"/>
      <c r="IA148" s="30"/>
      <c r="IB148" s="30"/>
      <c r="IC148" s="30"/>
      <c r="ID148" s="30"/>
      <c r="IE148" s="30"/>
      <c r="IF148" s="30"/>
      <c r="IG148" s="30"/>
      <c r="IH148" s="30"/>
      <c r="II148" s="30"/>
      <c r="IJ148" s="30"/>
      <c r="IK148" s="30"/>
      <c r="IL148" s="30"/>
      <c r="IM148" s="30"/>
      <c r="IN148" s="30"/>
      <c r="IO148" s="30"/>
      <c r="IP148" s="30"/>
      <c r="IQ148" s="30"/>
      <c r="IR148" s="31"/>
      <c r="IS148" s="31"/>
      <c r="IT148" s="31"/>
      <c r="IU148" s="31"/>
      <c r="IV148" s="31"/>
    </row>
    <row r="149" ht="11.25" customHeight="1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>
        <v>33.0</v>
      </c>
      <c r="U149" s="29" t="s">
        <v>233</v>
      </c>
      <c r="V149" s="29" t="s">
        <v>234</v>
      </c>
      <c r="W149" s="29" t="s">
        <v>235</v>
      </c>
      <c r="X149" s="29" t="s">
        <v>236</v>
      </c>
      <c r="Y149" s="29" t="s">
        <v>147</v>
      </c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  <c r="BC149" s="29"/>
      <c r="BD149" s="29"/>
      <c r="BE149" s="29"/>
      <c r="BF149" s="29"/>
      <c r="BG149" s="29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29"/>
      <c r="BX149" s="29"/>
      <c r="BY149" s="29"/>
      <c r="BZ149" s="29"/>
      <c r="CA149" s="29"/>
      <c r="CB149" s="29"/>
      <c r="CC149" s="29"/>
      <c r="CD149" s="29"/>
      <c r="CE149" s="29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30"/>
      <c r="CY149" s="30"/>
      <c r="CZ149" s="30"/>
      <c r="DA149" s="30"/>
      <c r="DB149" s="30"/>
      <c r="DC149" s="30"/>
      <c r="DD149" s="3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30"/>
      <c r="DX149" s="30"/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0"/>
      <c r="EK149" s="30"/>
      <c r="EL149" s="30"/>
      <c r="EM149" s="30"/>
      <c r="EN149" s="30"/>
      <c r="EO149" s="30"/>
      <c r="EP149" s="30"/>
      <c r="EQ149" s="30"/>
      <c r="ER149" s="30"/>
      <c r="ES149" s="30"/>
      <c r="ET149" s="30"/>
      <c r="EU149" s="30"/>
      <c r="EV149" s="30"/>
      <c r="EW149" s="30"/>
      <c r="EX149" s="30"/>
      <c r="EY149" s="30"/>
      <c r="EZ149" s="30"/>
      <c r="FA149" s="30"/>
      <c r="FB149" s="30"/>
      <c r="FC149" s="30"/>
      <c r="FD149" s="30"/>
      <c r="FE149" s="30"/>
      <c r="FF149" s="30"/>
      <c r="FG149" s="30"/>
      <c r="FH149" s="30"/>
      <c r="FI149" s="30"/>
      <c r="FJ149" s="30"/>
      <c r="FK149" s="30"/>
      <c r="FL149" s="30"/>
      <c r="FM149" s="30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0"/>
      <c r="FZ149" s="30"/>
      <c r="GA149" s="30"/>
      <c r="GB149" s="30"/>
      <c r="GC149" s="30"/>
      <c r="GD149" s="30"/>
      <c r="GE149" s="30"/>
      <c r="GF149" s="30"/>
      <c r="GG149" s="30"/>
      <c r="GH149" s="30"/>
      <c r="GI149" s="30"/>
      <c r="GJ149" s="30"/>
      <c r="GK149" s="30"/>
      <c r="GL149" s="30"/>
      <c r="GM149" s="30"/>
      <c r="GN149" s="30"/>
      <c r="GO149" s="30"/>
      <c r="GP149" s="30"/>
      <c r="GQ149" s="30"/>
      <c r="GR149" s="30"/>
      <c r="GS149" s="30"/>
      <c r="GT149" s="30"/>
      <c r="GU149" s="30"/>
      <c r="GV149" s="30"/>
      <c r="GW149" s="30"/>
      <c r="GX149" s="30"/>
      <c r="GY149" s="30"/>
      <c r="GZ149" s="30"/>
      <c r="HA149" s="30"/>
      <c r="HB149" s="30"/>
      <c r="HC149" s="30"/>
      <c r="HD149" s="30"/>
      <c r="HE149" s="30"/>
      <c r="HF149" s="30"/>
      <c r="HG149" s="30"/>
      <c r="HH149" s="30"/>
      <c r="HI149" s="30"/>
      <c r="HJ149" s="30"/>
      <c r="HK149" s="30"/>
      <c r="HL149" s="30"/>
      <c r="HM149" s="30"/>
      <c r="HN149" s="30"/>
      <c r="HO149" s="30"/>
      <c r="HP149" s="30"/>
      <c r="HQ149" s="30"/>
      <c r="HR149" s="30"/>
      <c r="HS149" s="30"/>
      <c r="HT149" s="30"/>
      <c r="HU149" s="30"/>
      <c r="HV149" s="30"/>
      <c r="HW149" s="30"/>
      <c r="HX149" s="30"/>
      <c r="HY149" s="30"/>
      <c r="HZ149" s="30"/>
      <c r="IA149" s="30"/>
      <c r="IB149" s="30"/>
      <c r="IC149" s="30"/>
      <c r="ID149" s="30"/>
      <c r="IE149" s="30"/>
      <c r="IF149" s="30"/>
      <c r="IG149" s="30"/>
      <c r="IH149" s="30"/>
      <c r="II149" s="30"/>
      <c r="IJ149" s="30"/>
      <c r="IK149" s="30"/>
      <c r="IL149" s="30"/>
      <c r="IM149" s="30"/>
      <c r="IN149" s="30"/>
      <c r="IO149" s="30"/>
      <c r="IP149" s="30"/>
      <c r="IQ149" s="30"/>
      <c r="IR149" s="31"/>
      <c r="IS149" s="31"/>
      <c r="IT149" s="31"/>
      <c r="IU149" s="31"/>
      <c r="IV149" s="31"/>
    </row>
    <row r="150" ht="11.25" customHeight="1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>
        <v>34.0</v>
      </c>
      <c r="U150" s="29" t="s">
        <v>237</v>
      </c>
      <c r="V150" s="29" t="s">
        <v>238</v>
      </c>
      <c r="W150" s="29" t="s">
        <v>239</v>
      </c>
      <c r="X150" s="29" t="s">
        <v>147</v>
      </c>
      <c r="Y150" s="29" t="s">
        <v>147</v>
      </c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  <c r="BC150" s="29"/>
      <c r="BD150" s="29"/>
      <c r="BE150" s="29"/>
      <c r="BF150" s="29"/>
      <c r="BG150" s="29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29"/>
      <c r="BX150" s="29"/>
      <c r="BY150" s="29"/>
      <c r="BZ150" s="29"/>
      <c r="CA150" s="29"/>
      <c r="CB150" s="29"/>
      <c r="CC150" s="29"/>
      <c r="CD150" s="29"/>
      <c r="CE150" s="29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30"/>
      <c r="CY150" s="30"/>
      <c r="CZ150" s="30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30"/>
      <c r="FL150" s="3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0"/>
      <c r="FZ150" s="30"/>
      <c r="GA150" s="30"/>
      <c r="GB150" s="30"/>
      <c r="GC150" s="30"/>
      <c r="GD150" s="30"/>
      <c r="GE150" s="30"/>
      <c r="GF150" s="30"/>
      <c r="GG150" s="30"/>
      <c r="GH150" s="30"/>
      <c r="GI150" s="30"/>
      <c r="GJ150" s="30"/>
      <c r="GK150" s="30"/>
      <c r="GL150" s="30"/>
      <c r="GM150" s="30"/>
      <c r="GN150" s="30"/>
      <c r="GO150" s="30"/>
      <c r="GP150" s="30"/>
      <c r="GQ150" s="30"/>
      <c r="GR150" s="30"/>
      <c r="GS150" s="30"/>
      <c r="GT150" s="30"/>
      <c r="GU150" s="30"/>
      <c r="GV150" s="30"/>
      <c r="GW150" s="30"/>
      <c r="GX150" s="30"/>
      <c r="GY150" s="30"/>
      <c r="GZ150" s="30"/>
      <c r="HA150" s="30"/>
      <c r="HB150" s="30"/>
      <c r="HC150" s="30"/>
      <c r="HD150" s="30"/>
      <c r="HE150" s="30"/>
      <c r="HF150" s="30"/>
      <c r="HG150" s="30"/>
      <c r="HH150" s="30"/>
      <c r="HI150" s="30"/>
      <c r="HJ150" s="30"/>
      <c r="HK150" s="30"/>
      <c r="HL150" s="30"/>
      <c r="HM150" s="30"/>
      <c r="HN150" s="30"/>
      <c r="HO150" s="30"/>
      <c r="HP150" s="30"/>
      <c r="HQ150" s="30"/>
      <c r="HR150" s="30"/>
      <c r="HS150" s="30"/>
      <c r="HT150" s="30"/>
      <c r="HU150" s="30"/>
      <c r="HV150" s="30"/>
      <c r="HW150" s="30"/>
      <c r="HX150" s="30"/>
      <c r="HY150" s="30"/>
      <c r="HZ150" s="30"/>
      <c r="IA150" s="30"/>
      <c r="IB150" s="30"/>
      <c r="IC150" s="30"/>
      <c r="ID150" s="30"/>
      <c r="IE150" s="30"/>
      <c r="IF150" s="30"/>
      <c r="IG150" s="30"/>
      <c r="IH150" s="30"/>
      <c r="II150" s="30"/>
      <c r="IJ150" s="30"/>
      <c r="IK150" s="30"/>
      <c r="IL150" s="30"/>
      <c r="IM150" s="30"/>
      <c r="IN150" s="30"/>
      <c r="IO150" s="30"/>
      <c r="IP150" s="30"/>
      <c r="IQ150" s="30"/>
      <c r="IR150" s="31"/>
      <c r="IS150" s="31"/>
      <c r="IT150" s="31"/>
      <c r="IU150" s="31"/>
      <c r="IV150" s="31"/>
    </row>
    <row r="151" ht="11.25" customHeight="1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>
        <v>35.0</v>
      </c>
      <c r="U151" s="29" t="s">
        <v>240</v>
      </c>
      <c r="V151" s="29" t="s">
        <v>241</v>
      </c>
      <c r="W151" s="29" t="s">
        <v>242</v>
      </c>
      <c r="X151" s="33" t="s">
        <v>243</v>
      </c>
      <c r="Y151" s="29" t="s">
        <v>147</v>
      </c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  <c r="BC151" s="29"/>
      <c r="BD151" s="29"/>
      <c r="BE151" s="29"/>
      <c r="BF151" s="29"/>
      <c r="BG151" s="29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29"/>
      <c r="BX151" s="29"/>
      <c r="BY151" s="29"/>
      <c r="BZ151" s="29"/>
      <c r="CA151" s="29"/>
      <c r="CB151" s="29"/>
      <c r="CC151" s="29"/>
      <c r="CD151" s="29"/>
      <c r="CE151" s="29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30"/>
      <c r="CY151" s="30"/>
      <c r="CZ151" s="30"/>
      <c r="DA151" s="30"/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0"/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V151" s="30"/>
      <c r="EW151" s="30"/>
      <c r="EX151" s="30"/>
      <c r="EY151" s="30"/>
      <c r="EZ151" s="30"/>
      <c r="FA151" s="30"/>
      <c r="FB151" s="30"/>
      <c r="FC151" s="30"/>
      <c r="FD151" s="30"/>
      <c r="FE151" s="30"/>
      <c r="FF151" s="30"/>
      <c r="FG151" s="30"/>
      <c r="FH151" s="30"/>
      <c r="FI151" s="30"/>
      <c r="FJ151" s="30"/>
      <c r="FK151" s="30"/>
      <c r="FL151" s="30"/>
      <c r="FM151" s="30"/>
      <c r="FN151" s="30"/>
      <c r="FO151" s="30"/>
      <c r="FP151" s="30"/>
      <c r="FQ151" s="30"/>
      <c r="FR151" s="30"/>
      <c r="FS151" s="30"/>
      <c r="FT151" s="30"/>
      <c r="FU151" s="30"/>
      <c r="FV151" s="30"/>
      <c r="FW151" s="30"/>
      <c r="FX151" s="30"/>
      <c r="FY151" s="30"/>
      <c r="FZ151" s="30"/>
      <c r="GA151" s="30"/>
      <c r="GB151" s="30"/>
      <c r="GC151" s="30"/>
      <c r="GD151" s="30"/>
      <c r="GE151" s="30"/>
      <c r="GF151" s="30"/>
      <c r="GG151" s="30"/>
      <c r="GH151" s="30"/>
      <c r="GI151" s="30"/>
      <c r="GJ151" s="30"/>
      <c r="GK151" s="30"/>
      <c r="GL151" s="30"/>
      <c r="GM151" s="30"/>
      <c r="GN151" s="30"/>
      <c r="GO151" s="30"/>
      <c r="GP151" s="30"/>
      <c r="GQ151" s="30"/>
      <c r="GR151" s="30"/>
      <c r="GS151" s="30"/>
      <c r="GT151" s="30"/>
      <c r="GU151" s="30"/>
      <c r="GV151" s="30"/>
      <c r="GW151" s="30"/>
      <c r="GX151" s="30"/>
      <c r="GY151" s="30"/>
      <c r="GZ151" s="30"/>
      <c r="HA151" s="30"/>
      <c r="HB151" s="30"/>
      <c r="HC151" s="30"/>
      <c r="HD151" s="30"/>
      <c r="HE151" s="30"/>
      <c r="HF151" s="30"/>
      <c r="HG151" s="30"/>
      <c r="HH151" s="30"/>
      <c r="HI151" s="30"/>
      <c r="HJ151" s="30"/>
      <c r="HK151" s="30"/>
      <c r="HL151" s="30"/>
      <c r="HM151" s="30"/>
      <c r="HN151" s="30"/>
      <c r="HO151" s="30"/>
      <c r="HP151" s="30"/>
      <c r="HQ151" s="30"/>
      <c r="HR151" s="30"/>
      <c r="HS151" s="30"/>
      <c r="HT151" s="30"/>
      <c r="HU151" s="30"/>
      <c r="HV151" s="30"/>
      <c r="HW151" s="30"/>
      <c r="HX151" s="30"/>
      <c r="HY151" s="30"/>
      <c r="HZ151" s="30"/>
      <c r="IA151" s="30"/>
      <c r="IB151" s="30"/>
      <c r="IC151" s="30"/>
      <c r="ID151" s="30"/>
      <c r="IE151" s="30"/>
      <c r="IF151" s="30"/>
      <c r="IG151" s="30"/>
      <c r="IH151" s="30"/>
      <c r="II151" s="30"/>
      <c r="IJ151" s="30"/>
      <c r="IK151" s="30"/>
      <c r="IL151" s="30"/>
      <c r="IM151" s="30"/>
      <c r="IN151" s="30"/>
      <c r="IO151" s="30"/>
      <c r="IP151" s="30"/>
      <c r="IQ151" s="30"/>
      <c r="IR151" s="31"/>
      <c r="IS151" s="31"/>
      <c r="IT151" s="31"/>
      <c r="IU151" s="31"/>
      <c r="IV151" s="31"/>
    </row>
    <row r="152" ht="11.25" customHeight="1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>
        <v>36.0</v>
      </c>
      <c r="U152" s="29" t="s">
        <v>244</v>
      </c>
      <c r="V152" s="29" t="s">
        <v>245</v>
      </c>
      <c r="W152" s="29" t="s">
        <v>246</v>
      </c>
      <c r="X152" s="29" t="s">
        <v>247</v>
      </c>
      <c r="Y152" s="29" t="s">
        <v>147</v>
      </c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  <c r="BC152" s="29"/>
      <c r="BD152" s="29"/>
      <c r="BE152" s="29"/>
      <c r="BF152" s="29"/>
      <c r="BG152" s="29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29"/>
      <c r="BX152" s="29"/>
      <c r="BY152" s="29"/>
      <c r="BZ152" s="29"/>
      <c r="CA152" s="29"/>
      <c r="CB152" s="29"/>
      <c r="CC152" s="29"/>
      <c r="CD152" s="29"/>
      <c r="CE152" s="29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30"/>
      <c r="CY152" s="30"/>
      <c r="CZ152" s="30"/>
      <c r="DA152" s="30"/>
      <c r="DB152" s="30"/>
      <c r="DC152" s="30"/>
      <c r="DD152" s="3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30"/>
      <c r="DX152" s="30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0"/>
      <c r="EK152" s="30"/>
      <c r="EL152" s="30"/>
      <c r="EM152" s="30"/>
      <c r="EN152" s="30"/>
      <c r="EO152" s="30"/>
      <c r="EP152" s="30"/>
      <c r="EQ152" s="30"/>
      <c r="ER152" s="30"/>
      <c r="ES152" s="30"/>
      <c r="ET152" s="30"/>
      <c r="EU152" s="30"/>
      <c r="EV152" s="30"/>
      <c r="EW152" s="30"/>
      <c r="EX152" s="30"/>
      <c r="EY152" s="30"/>
      <c r="EZ152" s="30"/>
      <c r="FA152" s="30"/>
      <c r="FB152" s="30"/>
      <c r="FC152" s="30"/>
      <c r="FD152" s="30"/>
      <c r="FE152" s="30"/>
      <c r="FF152" s="30"/>
      <c r="FG152" s="30"/>
      <c r="FH152" s="30"/>
      <c r="FI152" s="30"/>
      <c r="FJ152" s="30"/>
      <c r="FK152" s="30"/>
      <c r="FL152" s="30"/>
      <c r="FM152" s="30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0"/>
      <c r="FZ152" s="30"/>
      <c r="GA152" s="30"/>
      <c r="GB152" s="30"/>
      <c r="GC152" s="30"/>
      <c r="GD152" s="30"/>
      <c r="GE152" s="30"/>
      <c r="GF152" s="30"/>
      <c r="GG152" s="30"/>
      <c r="GH152" s="30"/>
      <c r="GI152" s="30"/>
      <c r="GJ152" s="30"/>
      <c r="GK152" s="30"/>
      <c r="GL152" s="30"/>
      <c r="GM152" s="30"/>
      <c r="GN152" s="30"/>
      <c r="GO152" s="30"/>
      <c r="GP152" s="30"/>
      <c r="GQ152" s="30"/>
      <c r="GR152" s="30"/>
      <c r="GS152" s="30"/>
      <c r="GT152" s="30"/>
      <c r="GU152" s="30"/>
      <c r="GV152" s="30"/>
      <c r="GW152" s="30"/>
      <c r="GX152" s="30"/>
      <c r="GY152" s="30"/>
      <c r="GZ152" s="30"/>
      <c r="HA152" s="30"/>
      <c r="HB152" s="30"/>
      <c r="HC152" s="30"/>
      <c r="HD152" s="30"/>
      <c r="HE152" s="30"/>
      <c r="HF152" s="30"/>
      <c r="HG152" s="30"/>
      <c r="HH152" s="30"/>
      <c r="HI152" s="30"/>
      <c r="HJ152" s="30"/>
      <c r="HK152" s="30"/>
      <c r="HL152" s="30"/>
      <c r="HM152" s="30"/>
      <c r="HN152" s="30"/>
      <c r="HO152" s="30"/>
      <c r="HP152" s="30"/>
      <c r="HQ152" s="30"/>
      <c r="HR152" s="30"/>
      <c r="HS152" s="30"/>
      <c r="HT152" s="30"/>
      <c r="HU152" s="30"/>
      <c r="HV152" s="30"/>
      <c r="HW152" s="30"/>
      <c r="HX152" s="30"/>
      <c r="HY152" s="30"/>
      <c r="HZ152" s="30"/>
      <c r="IA152" s="30"/>
      <c r="IB152" s="30"/>
      <c r="IC152" s="30"/>
      <c r="ID152" s="30"/>
      <c r="IE152" s="30"/>
      <c r="IF152" s="30"/>
      <c r="IG152" s="30"/>
      <c r="IH152" s="30"/>
      <c r="II152" s="30"/>
      <c r="IJ152" s="30"/>
      <c r="IK152" s="30"/>
      <c r="IL152" s="30"/>
      <c r="IM152" s="30"/>
      <c r="IN152" s="30"/>
      <c r="IO152" s="30"/>
      <c r="IP152" s="30"/>
      <c r="IQ152" s="30"/>
      <c r="IR152" s="31"/>
      <c r="IS152" s="31"/>
      <c r="IT152" s="31"/>
      <c r="IU152" s="31"/>
      <c r="IV152" s="31"/>
    </row>
    <row r="153" ht="11.25" customHeight="1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>
        <v>37.0</v>
      </c>
      <c r="U153" s="29" t="s">
        <v>248</v>
      </c>
      <c r="V153" s="29" t="s">
        <v>249</v>
      </c>
      <c r="W153" s="29" t="s">
        <v>250</v>
      </c>
      <c r="X153" s="29" t="s">
        <v>251</v>
      </c>
      <c r="Y153" s="29" t="s">
        <v>252</v>
      </c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  <c r="BC153" s="29"/>
      <c r="BD153" s="29"/>
      <c r="BE153" s="29"/>
      <c r="BF153" s="29"/>
      <c r="BG153" s="29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29"/>
      <c r="CB153" s="29"/>
      <c r="CC153" s="29"/>
      <c r="CD153" s="29"/>
      <c r="CE153" s="29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30"/>
      <c r="CY153" s="30"/>
      <c r="CZ153" s="30"/>
      <c r="DA153" s="30"/>
      <c r="DB153" s="30"/>
      <c r="DC153" s="30"/>
      <c r="DD153" s="3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30"/>
      <c r="DX153" s="30"/>
      <c r="DY153" s="30"/>
      <c r="DZ153" s="30"/>
      <c r="EA153" s="30"/>
      <c r="EB153" s="30"/>
      <c r="EC153" s="30"/>
      <c r="ED153" s="30"/>
      <c r="EE153" s="30"/>
      <c r="EF153" s="30"/>
      <c r="EG153" s="30"/>
      <c r="EH153" s="30"/>
      <c r="EI153" s="30"/>
      <c r="EJ153" s="30"/>
      <c r="EK153" s="30"/>
      <c r="EL153" s="30"/>
      <c r="EM153" s="30"/>
      <c r="EN153" s="30"/>
      <c r="EO153" s="30"/>
      <c r="EP153" s="30"/>
      <c r="EQ153" s="30"/>
      <c r="ER153" s="30"/>
      <c r="ES153" s="30"/>
      <c r="ET153" s="30"/>
      <c r="EU153" s="30"/>
      <c r="EV153" s="30"/>
      <c r="EW153" s="30"/>
      <c r="EX153" s="30"/>
      <c r="EY153" s="30"/>
      <c r="EZ153" s="30"/>
      <c r="FA153" s="30"/>
      <c r="FB153" s="30"/>
      <c r="FC153" s="30"/>
      <c r="FD153" s="30"/>
      <c r="FE153" s="30"/>
      <c r="FF153" s="30"/>
      <c r="FG153" s="30"/>
      <c r="FH153" s="30"/>
      <c r="FI153" s="30"/>
      <c r="FJ153" s="30"/>
      <c r="FK153" s="30"/>
      <c r="FL153" s="30"/>
      <c r="FM153" s="30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0"/>
      <c r="FZ153" s="30"/>
      <c r="GA153" s="30"/>
      <c r="GB153" s="30"/>
      <c r="GC153" s="30"/>
      <c r="GD153" s="30"/>
      <c r="GE153" s="30"/>
      <c r="GF153" s="30"/>
      <c r="GG153" s="30"/>
      <c r="GH153" s="30"/>
      <c r="GI153" s="30"/>
      <c r="GJ153" s="30"/>
      <c r="GK153" s="30"/>
      <c r="GL153" s="30"/>
      <c r="GM153" s="30"/>
      <c r="GN153" s="30"/>
      <c r="GO153" s="30"/>
      <c r="GP153" s="30"/>
      <c r="GQ153" s="30"/>
      <c r="GR153" s="30"/>
      <c r="GS153" s="30"/>
      <c r="GT153" s="30"/>
      <c r="GU153" s="30"/>
      <c r="GV153" s="30"/>
      <c r="GW153" s="30"/>
      <c r="GX153" s="30"/>
      <c r="GY153" s="30"/>
      <c r="GZ153" s="30"/>
      <c r="HA153" s="30"/>
      <c r="HB153" s="30"/>
      <c r="HC153" s="30"/>
      <c r="HD153" s="30"/>
      <c r="HE153" s="30"/>
      <c r="HF153" s="30"/>
      <c r="HG153" s="30"/>
      <c r="HH153" s="30"/>
      <c r="HI153" s="30"/>
      <c r="HJ153" s="30"/>
      <c r="HK153" s="30"/>
      <c r="HL153" s="30"/>
      <c r="HM153" s="30"/>
      <c r="HN153" s="30"/>
      <c r="HO153" s="30"/>
      <c r="HP153" s="30"/>
      <c r="HQ153" s="30"/>
      <c r="HR153" s="30"/>
      <c r="HS153" s="30"/>
      <c r="HT153" s="30"/>
      <c r="HU153" s="30"/>
      <c r="HV153" s="30"/>
      <c r="HW153" s="30"/>
      <c r="HX153" s="30"/>
      <c r="HY153" s="30"/>
      <c r="HZ153" s="30"/>
      <c r="IA153" s="30"/>
      <c r="IB153" s="30"/>
      <c r="IC153" s="30"/>
      <c r="ID153" s="30"/>
      <c r="IE153" s="30"/>
      <c r="IF153" s="30"/>
      <c r="IG153" s="30"/>
      <c r="IH153" s="30"/>
      <c r="II153" s="30"/>
      <c r="IJ153" s="30"/>
      <c r="IK153" s="30"/>
      <c r="IL153" s="30"/>
      <c r="IM153" s="30"/>
      <c r="IN153" s="30"/>
      <c r="IO153" s="30"/>
      <c r="IP153" s="30"/>
      <c r="IQ153" s="30"/>
      <c r="IR153" s="31"/>
      <c r="IS153" s="31"/>
      <c r="IT153" s="31"/>
      <c r="IU153" s="31"/>
      <c r="IV153" s="31"/>
    </row>
    <row r="154" ht="11.25" customHeight="1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>
        <v>38.0</v>
      </c>
      <c r="U154" s="29" t="s">
        <v>253</v>
      </c>
      <c r="V154" s="29" t="s">
        <v>254</v>
      </c>
      <c r="W154" s="29" t="s">
        <v>147</v>
      </c>
      <c r="X154" s="29" t="s">
        <v>147</v>
      </c>
      <c r="Y154" s="29" t="s">
        <v>147</v>
      </c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  <c r="BC154" s="29"/>
      <c r="BD154" s="29"/>
      <c r="BE154" s="29"/>
      <c r="BF154" s="29"/>
      <c r="BG154" s="29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29"/>
      <c r="BX154" s="29"/>
      <c r="BY154" s="29"/>
      <c r="BZ154" s="29"/>
      <c r="CA154" s="29"/>
      <c r="CB154" s="29"/>
      <c r="CC154" s="29"/>
      <c r="CD154" s="29"/>
      <c r="CE154" s="29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30"/>
      <c r="CY154" s="30"/>
      <c r="CZ154" s="30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0"/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V154" s="30"/>
      <c r="EW154" s="30"/>
      <c r="EX154" s="30"/>
      <c r="EY154" s="30"/>
      <c r="EZ154" s="30"/>
      <c r="FA154" s="30"/>
      <c r="FB154" s="30"/>
      <c r="FC154" s="30"/>
      <c r="FD154" s="30"/>
      <c r="FE154" s="30"/>
      <c r="FF154" s="30"/>
      <c r="FG154" s="30"/>
      <c r="FH154" s="30"/>
      <c r="FI154" s="30"/>
      <c r="FJ154" s="30"/>
      <c r="FK154" s="30"/>
      <c r="FL154" s="30"/>
      <c r="FM154" s="30"/>
      <c r="FN154" s="30"/>
      <c r="FO154" s="30"/>
      <c r="FP154" s="30"/>
      <c r="FQ154" s="30"/>
      <c r="FR154" s="30"/>
      <c r="FS154" s="30"/>
      <c r="FT154" s="30"/>
      <c r="FU154" s="30"/>
      <c r="FV154" s="30"/>
      <c r="FW154" s="30"/>
      <c r="FX154" s="30"/>
      <c r="FY154" s="30"/>
      <c r="FZ154" s="30"/>
      <c r="GA154" s="30"/>
      <c r="GB154" s="30"/>
      <c r="GC154" s="30"/>
      <c r="GD154" s="30"/>
      <c r="GE154" s="30"/>
      <c r="GF154" s="30"/>
      <c r="GG154" s="30"/>
      <c r="GH154" s="30"/>
      <c r="GI154" s="30"/>
      <c r="GJ154" s="30"/>
      <c r="GK154" s="30"/>
      <c r="GL154" s="30"/>
      <c r="GM154" s="30"/>
      <c r="GN154" s="30"/>
      <c r="GO154" s="30"/>
      <c r="GP154" s="30"/>
      <c r="GQ154" s="30"/>
      <c r="GR154" s="30"/>
      <c r="GS154" s="30"/>
      <c r="GT154" s="30"/>
      <c r="GU154" s="30"/>
      <c r="GV154" s="30"/>
      <c r="GW154" s="30"/>
      <c r="GX154" s="30"/>
      <c r="GY154" s="30"/>
      <c r="GZ154" s="30"/>
      <c r="HA154" s="30"/>
      <c r="HB154" s="30"/>
      <c r="HC154" s="30"/>
      <c r="HD154" s="30"/>
      <c r="HE154" s="30"/>
      <c r="HF154" s="30"/>
      <c r="HG154" s="30"/>
      <c r="HH154" s="30"/>
      <c r="HI154" s="30"/>
      <c r="HJ154" s="30"/>
      <c r="HK154" s="30"/>
      <c r="HL154" s="30"/>
      <c r="HM154" s="30"/>
      <c r="HN154" s="30"/>
      <c r="HO154" s="30"/>
      <c r="HP154" s="30"/>
      <c r="HQ154" s="30"/>
      <c r="HR154" s="30"/>
      <c r="HS154" s="30"/>
      <c r="HT154" s="30"/>
      <c r="HU154" s="30"/>
      <c r="HV154" s="30"/>
      <c r="HW154" s="30"/>
      <c r="HX154" s="30"/>
      <c r="HY154" s="30"/>
      <c r="HZ154" s="30"/>
      <c r="IA154" s="30"/>
      <c r="IB154" s="30"/>
      <c r="IC154" s="30"/>
      <c r="ID154" s="30"/>
      <c r="IE154" s="30"/>
      <c r="IF154" s="30"/>
      <c r="IG154" s="30"/>
      <c r="IH154" s="30"/>
      <c r="II154" s="30"/>
      <c r="IJ154" s="30"/>
      <c r="IK154" s="30"/>
      <c r="IL154" s="30"/>
      <c r="IM154" s="30"/>
      <c r="IN154" s="30"/>
      <c r="IO154" s="30"/>
      <c r="IP154" s="30"/>
      <c r="IQ154" s="30"/>
      <c r="IR154" s="31"/>
      <c r="IS154" s="31"/>
      <c r="IT154" s="31"/>
      <c r="IU154" s="31"/>
      <c r="IV154" s="31"/>
    </row>
    <row r="155" ht="11.25" customHeight="1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>
        <v>39.0</v>
      </c>
      <c r="U155" s="29" t="s">
        <v>255</v>
      </c>
      <c r="V155" s="29" t="s">
        <v>256</v>
      </c>
      <c r="W155" s="29" t="s">
        <v>257</v>
      </c>
      <c r="X155" s="29" t="s">
        <v>147</v>
      </c>
      <c r="Y155" s="29" t="s">
        <v>147</v>
      </c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29"/>
      <c r="CB155" s="29"/>
      <c r="CC155" s="29"/>
      <c r="CD155" s="29"/>
      <c r="CE155" s="29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30"/>
      <c r="CY155" s="30"/>
      <c r="CZ155" s="30"/>
      <c r="DA155" s="30"/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30"/>
      <c r="FL155" s="3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0"/>
      <c r="FZ155" s="30"/>
      <c r="GA155" s="30"/>
      <c r="GB155" s="30"/>
      <c r="GC155" s="30"/>
      <c r="GD155" s="30"/>
      <c r="GE155" s="30"/>
      <c r="GF155" s="30"/>
      <c r="GG155" s="30"/>
      <c r="GH155" s="30"/>
      <c r="GI155" s="30"/>
      <c r="GJ155" s="30"/>
      <c r="GK155" s="30"/>
      <c r="GL155" s="30"/>
      <c r="GM155" s="30"/>
      <c r="GN155" s="30"/>
      <c r="GO155" s="30"/>
      <c r="GP155" s="30"/>
      <c r="GQ155" s="30"/>
      <c r="GR155" s="30"/>
      <c r="GS155" s="30"/>
      <c r="GT155" s="30"/>
      <c r="GU155" s="30"/>
      <c r="GV155" s="30"/>
      <c r="GW155" s="30"/>
      <c r="GX155" s="30"/>
      <c r="GY155" s="30"/>
      <c r="GZ155" s="30"/>
      <c r="HA155" s="30"/>
      <c r="HB155" s="30"/>
      <c r="HC155" s="30"/>
      <c r="HD155" s="30"/>
      <c r="HE155" s="30"/>
      <c r="HF155" s="30"/>
      <c r="HG155" s="30"/>
      <c r="HH155" s="30"/>
      <c r="HI155" s="30"/>
      <c r="HJ155" s="30"/>
      <c r="HK155" s="30"/>
      <c r="HL155" s="30"/>
      <c r="HM155" s="30"/>
      <c r="HN155" s="30"/>
      <c r="HO155" s="30"/>
      <c r="HP155" s="30"/>
      <c r="HQ155" s="30"/>
      <c r="HR155" s="30"/>
      <c r="HS155" s="30"/>
      <c r="HT155" s="30"/>
      <c r="HU155" s="30"/>
      <c r="HV155" s="30"/>
      <c r="HW155" s="30"/>
      <c r="HX155" s="30"/>
      <c r="HY155" s="30"/>
      <c r="HZ155" s="30"/>
      <c r="IA155" s="30"/>
      <c r="IB155" s="30"/>
      <c r="IC155" s="30"/>
      <c r="ID155" s="30"/>
      <c r="IE155" s="30"/>
      <c r="IF155" s="30"/>
      <c r="IG155" s="30"/>
      <c r="IH155" s="30"/>
      <c r="II155" s="30"/>
      <c r="IJ155" s="30"/>
      <c r="IK155" s="30"/>
      <c r="IL155" s="30"/>
      <c r="IM155" s="30"/>
      <c r="IN155" s="30"/>
      <c r="IO155" s="30"/>
      <c r="IP155" s="30"/>
      <c r="IQ155" s="30"/>
      <c r="IR155" s="31"/>
      <c r="IS155" s="31"/>
      <c r="IT155" s="31"/>
      <c r="IU155" s="31"/>
      <c r="IV155" s="31"/>
    </row>
    <row r="156" ht="11.25" customHeight="1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>
        <v>40.0</v>
      </c>
      <c r="U156" s="29" t="s">
        <v>258</v>
      </c>
      <c r="V156" s="29" t="s">
        <v>259</v>
      </c>
      <c r="W156" s="29" t="s">
        <v>260</v>
      </c>
      <c r="X156" s="29" t="s">
        <v>261</v>
      </c>
      <c r="Y156" s="29" t="s">
        <v>262</v>
      </c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29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29"/>
      <c r="CB156" s="29"/>
      <c r="CC156" s="29"/>
      <c r="CD156" s="29"/>
      <c r="CE156" s="29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30"/>
      <c r="CY156" s="30"/>
      <c r="CZ156" s="30"/>
      <c r="DA156" s="30"/>
      <c r="DB156" s="30"/>
      <c r="DC156" s="30"/>
      <c r="DD156" s="3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30"/>
      <c r="DX156" s="30"/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0"/>
      <c r="EK156" s="30"/>
      <c r="EL156" s="30"/>
      <c r="EM156" s="30"/>
      <c r="EN156" s="30"/>
      <c r="EO156" s="30"/>
      <c r="EP156" s="30"/>
      <c r="EQ156" s="30"/>
      <c r="ER156" s="30"/>
      <c r="ES156" s="30"/>
      <c r="ET156" s="30"/>
      <c r="EU156" s="30"/>
      <c r="EV156" s="30"/>
      <c r="EW156" s="30"/>
      <c r="EX156" s="30"/>
      <c r="EY156" s="30"/>
      <c r="EZ156" s="30"/>
      <c r="FA156" s="30"/>
      <c r="FB156" s="30"/>
      <c r="FC156" s="30"/>
      <c r="FD156" s="30"/>
      <c r="FE156" s="30"/>
      <c r="FF156" s="30"/>
      <c r="FG156" s="30"/>
      <c r="FH156" s="30"/>
      <c r="FI156" s="30"/>
      <c r="FJ156" s="30"/>
      <c r="FK156" s="30"/>
      <c r="FL156" s="30"/>
      <c r="FM156" s="30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0"/>
      <c r="FZ156" s="30"/>
      <c r="GA156" s="30"/>
      <c r="GB156" s="30"/>
      <c r="GC156" s="30"/>
      <c r="GD156" s="30"/>
      <c r="GE156" s="30"/>
      <c r="GF156" s="30"/>
      <c r="GG156" s="30"/>
      <c r="GH156" s="30"/>
      <c r="GI156" s="30"/>
      <c r="GJ156" s="30"/>
      <c r="GK156" s="30"/>
      <c r="GL156" s="30"/>
      <c r="GM156" s="30"/>
      <c r="GN156" s="30"/>
      <c r="GO156" s="30"/>
      <c r="GP156" s="30"/>
      <c r="GQ156" s="30"/>
      <c r="GR156" s="30"/>
      <c r="GS156" s="30"/>
      <c r="GT156" s="30"/>
      <c r="GU156" s="30"/>
      <c r="GV156" s="30"/>
      <c r="GW156" s="30"/>
      <c r="GX156" s="30"/>
      <c r="GY156" s="30"/>
      <c r="GZ156" s="30"/>
      <c r="HA156" s="30"/>
      <c r="HB156" s="30"/>
      <c r="HC156" s="30"/>
      <c r="HD156" s="30"/>
      <c r="HE156" s="30"/>
      <c r="HF156" s="30"/>
      <c r="HG156" s="30"/>
      <c r="HH156" s="30"/>
      <c r="HI156" s="30"/>
      <c r="HJ156" s="30"/>
      <c r="HK156" s="30"/>
      <c r="HL156" s="30"/>
      <c r="HM156" s="30"/>
      <c r="HN156" s="30"/>
      <c r="HO156" s="30"/>
      <c r="HP156" s="30"/>
      <c r="HQ156" s="30"/>
      <c r="HR156" s="30"/>
      <c r="HS156" s="30"/>
      <c r="HT156" s="30"/>
      <c r="HU156" s="30"/>
      <c r="HV156" s="30"/>
      <c r="HW156" s="30"/>
      <c r="HX156" s="30"/>
      <c r="HY156" s="30"/>
      <c r="HZ156" s="30"/>
      <c r="IA156" s="30"/>
      <c r="IB156" s="30"/>
      <c r="IC156" s="30"/>
      <c r="ID156" s="30"/>
      <c r="IE156" s="30"/>
      <c r="IF156" s="30"/>
      <c r="IG156" s="30"/>
      <c r="IH156" s="30"/>
      <c r="II156" s="30"/>
      <c r="IJ156" s="30"/>
      <c r="IK156" s="30"/>
      <c r="IL156" s="30"/>
      <c r="IM156" s="30"/>
      <c r="IN156" s="30"/>
      <c r="IO156" s="30"/>
      <c r="IP156" s="30"/>
      <c r="IQ156" s="30"/>
      <c r="IR156" s="31"/>
      <c r="IS156" s="31"/>
      <c r="IT156" s="31"/>
      <c r="IU156" s="31"/>
      <c r="IV156" s="31"/>
    </row>
    <row r="157" ht="11.25" customHeight="1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>
        <v>41.0</v>
      </c>
      <c r="U157" s="29" t="s">
        <v>263</v>
      </c>
      <c r="V157" s="29" t="s">
        <v>264</v>
      </c>
      <c r="W157" s="29" t="s">
        <v>265</v>
      </c>
      <c r="X157" s="29" t="s">
        <v>266</v>
      </c>
      <c r="Y157" s="29" t="s">
        <v>267</v>
      </c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  <c r="BC157" s="29"/>
      <c r="BD157" s="29"/>
      <c r="BE157" s="29"/>
      <c r="BF157" s="29"/>
      <c r="BG157" s="29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29"/>
      <c r="BX157" s="29"/>
      <c r="BY157" s="29"/>
      <c r="BZ157" s="29"/>
      <c r="CA157" s="29"/>
      <c r="CB157" s="29"/>
      <c r="CC157" s="29"/>
      <c r="CD157" s="29"/>
      <c r="CE157" s="29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30"/>
      <c r="CY157" s="30"/>
      <c r="CZ157" s="30"/>
      <c r="DA157" s="30"/>
      <c r="DB157" s="30"/>
      <c r="DC157" s="30"/>
      <c r="DD157" s="30"/>
      <c r="DE157" s="30"/>
      <c r="DF157" s="30"/>
      <c r="DG157" s="30"/>
      <c r="DH157" s="30"/>
      <c r="DI157" s="30"/>
      <c r="DJ157" s="30"/>
      <c r="DK157" s="30"/>
      <c r="DL157" s="30"/>
      <c r="DM157" s="30"/>
      <c r="DN157" s="30"/>
      <c r="DO157" s="30"/>
      <c r="DP157" s="30"/>
      <c r="DQ157" s="30"/>
      <c r="DR157" s="30"/>
      <c r="DS157" s="30"/>
      <c r="DT157" s="30"/>
      <c r="DU157" s="30"/>
      <c r="DV157" s="30"/>
      <c r="DW157" s="30"/>
      <c r="DX157" s="30"/>
      <c r="DY157" s="30"/>
      <c r="DZ157" s="30"/>
      <c r="EA157" s="30"/>
      <c r="EB157" s="30"/>
      <c r="EC157" s="30"/>
      <c r="ED157" s="30"/>
      <c r="EE157" s="30"/>
      <c r="EF157" s="30"/>
      <c r="EG157" s="30"/>
      <c r="EH157" s="30"/>
      <c r="EI157" s="30"/>
      <c r="EJ157" s="30"/>
      <c r="EK157" s="30"/>
      <c r="EL157" s="30"/>
      <c r="EM157" s="30"/>
      <c r="EN157" s="30"/>
      <c r="EO157" s="30"/>
      <c r="EP157" s="30"/>
      <c r="EQ157" s="30"/>
      <c r="ER157" s="30"/>
      <c r="ES157" s="30"/>
      <c r="ET157" s="30"/>
      <c r="EU157" s="30"/>
      <c r="EV157" s="30"/>
      <c r="EW157" s="30"/>
      <c r="EX157" s="30"/>
      <c r="EY157" s="30"/>
      <c r="EZ157" s="30"/>
      <c r="FA157" s="30"/>
      <c r="FB157" s="30"/>
      <c r="FC157" s="30"/>
      <c r="FD157" s="30"/>
      <c r="FE157" s="30"/>
      <c r="FF157" s="30"/>
      <c r="FG157" s="30"/>
      <c r="FH157" s="30"/>
      <c r="FI157" s="30"/>
      <c r="FJ157" s="30"/>
      <c r="FK157" s="30"/>
      <c r="FL157" s="30"/>
      <c r="FM157" s="30"/>
      <c r="FN157" s="30"/>
      <c r="FO157" s="30"/>
      <c r="FP157" s="30"/>
      <c r="FQ157" s="30"/>
      <c r="FR157" s="30"/>
      <c r="FS157" s="30"/>
      <c r="FT157" s="30"/>
      <c r="FU157" s="30"/>
      <c r="FV157" s="30"/>
      <c r="FW157" s="30"/>
      <c r="FX157" s="30"/>
      <c r="FY157" s="30"/>
      <c r="FZ157" s="30"/>
      <c r="GA157" s="30"/>
      <c r="GB157" s="30"/>
      <c r="GC157" s="30"/>
      <c r="GD157" s="30"/>
      <c r="GE157" s="30"/>
      <c r="GF157" s="30"/>
      <c r="GG157" s="30"/>
      <c r="GH157" s="30"/>
      <c r="GI157" s="30"/>
      <c r="GJ157" s="30"/>
      <c r="GK157" s="30"/>
      <c r="GL157" s="30"/>
      <c r="GM157" s="30"/>
      <c r="GN157" s="30"/>
      <c r="GO157" s="30"/>
      <c r="GP157" s="30"/>
      <c r="GQ157" s="30"/>
      <c r="GR157" s="30"/>
      <c r="GS157" s="30"/>
      <c r="GT157" s="30"/>
      <c r="GU157" s="30"/>
      <c r="GV157" s="30"/>
      <c r="GW157" s="30"/>
      <c r="GX157" s="30"/>
      <c r="GY157" s="30"/>
      <c r="GZ157" s="30"/>
      <c r="HA157" s="30"/>
      <c r="HB157" s="30"/>
      <c r="HC157" s="30"/>
      <c r="HD157" s="30"/>
      <c r="HE157" s="30"/>
      <c r="HF157" s="30"/>
      <c r="HG157" s="30"/>
      <c r="HH157" s="30"/>
      <c r="HI157" s="30"/>
      <c r="HJ157" s="30"/>
      <c r="HK157" s="30"/>
      <c r="HL157" s="30"/>
      <c r="HM157" s="30"/>
      <c r="HN157" s="30"/>
      <c r="HO157" s="30"/>
      <c r="HP157" s="30"/>
      <c r="HQ157" s="30"/>
      <c r="HR157" s="30"/>
      <c r="HS157" s="30"/>
      <c r="HT157" s="30"/>
      <c r="HU157" s="30"/>
      <c r="HV157" s="30"/>
      <c r="HW157" s="30"/>
      <c r="HX157" s="30"/>
      <c r="HY157" s="30"/>
      <c r="HZ157" s="30"/>
      <c r="IA157" s="30"/>
      <c r="IB157" s="30"/>
      <c r="IC157" s="30"/>
      <c r="ID157" s="30"/>
      <c r="IE157" s="30"/>
      <c r="IF157" s="30"/>
      <c r="IG157" s="30"/>
      <c r="IH157" s="30"/>
      <c r="II157" s="30"/>
      <c r="IJ157" s="30"/>
      <c r="IK157" s="30"/>
      <c r="IL157" s="30"/>
      <c r="IM157" s="30"/>
      <c r="IN157" s="30"/>
      <c r="IO157" s="30"/>
      <c r="IP157" s="30"/>
      <c r="IQ157" s="30"/>
      <c r="IR157" s="31"/>
      <c r="IS157" s="31"/>
      <c r="IT157" s="31"/>
      <c r="IU157" s="31"/>
      <c r="IV157" s="31"/>
    </row>
    <row r="158" ht="11.25" customHeight="1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>
        <v>42.0</v>
      </c>
      <c r="U158" s="29" t="s">
        <v>268</v>
      </c>
      <c r="V158" s="29" t="s">
        <v>269</v>
      </c>
      <c r="W158" s="29" t="s">
        <v>147</v>
      </c>
      <c r="X158" s="29" t="s">
        <v>147</v>
      </c>
      <c r="Y158" s="29" t="s">
        <v>147</v>
      </c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30"/>
      <c r="CY158" s="30"/>
      <c r="CZ158" s="30"/>
      <c r="DA158" s="30"/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30"/>
      <c r="FL158" s="3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0"/>
      <c r="FZ158" s="30"/>
      <c r="GA158" s="30"/>
      <c r="GB158" s="30"/>
      <c r="GC158" s="30"/>
      <c r="GD158" s="30"/>
      <c r="GE158" s="30"/>
      <c r="GF158" s="30"/>
      <c r="GG158" s="30"/>
      <c r="GH158" s="30"/>
      <c r="GI158" s="30"/>
      <c r="GJ158" s="30"/>
      <c r="GK158" s="30"/>
      <c r="GL158" s="30"/>
      <c r="GM158" s="30"/>
      <c r="GN158" s="30"/>
      <c r="GO158" s="30"/>
      <c r="GP158" s="30"/>
      <c r="GQ158" s="30"/>
      <c r="GR158" s="30"/>
      <c r="GS158" s="30"/>
      <c r="GT158" s="30"/>
      <c r="GU158" s="30"/>
      <c r="GV158" s="30"/>
      <c r="GW158" s="30"/>
      <c r="GX158" s="30"/>
      <c r="GY158" s="30"/>
      <c r="GZ158" s="30"/>
      <c r="HA158" s="30"/>
      <c r="HB158" s="30"/>
      <c r="HC158" s="30"/>
      <c r="HD158" s="30"/>
      <c r="HE158" s="30"/>
      <c r="HF158" s="30"/>
      <c r="HG158" s="30"/>
      <c r="HH158" s="30"/>
      <c r="HI158" s="30"/>
      <c r="HJ158" s="30"/>
      <c r="HK158" s="30"/>
      <c r="HL158" s="30"/>
      <c r="HM158" s="30"/>
      <c r="HN158" s="30"/>
      <c r="HO158" s="30"/>
      <c r="HP158" s="30"/>
      <c r="HQ158" s="30"/>
      <c r="HR158" s="30"/>
      <c r="HS158" s="30"/>
      <c r="HT158" s="30"/>
      <c r="HU158" s="30"/>
      <c r="HV158" s="30"/>
      <c r="HW158" s="30"/>
      <c r="HX158" s="30"/>
      <c r="HY158" s="30"/>
      <c r="HZ158" s="30"/>
      <c r="IA158" s="30"/>
      <c r="IB158" s="30"/>
      <c r="IC158" s="30"/>
      <c r="ID158" s="30"/>
      <c r="IE158" s="30"/>
      <c r="IF158" s="30"/>
      <c r="IG158" s="30"/>
      <c r="IH158" s="30"/>
      <c r="II158" s="30"/>
      <c r="IJ158" s="30"/>
      <c r="IK158" s="30"/>
      <c r="IL158" s="30"/>
      <c r="IM158" s="30"/>
      <c r="IN158" s="30"/>
      <c r="IO158" s="30"/>
      <c r="IP158" s="30"/>
      <c r="IQ158" s="30"/>
      <c r="IR158" s="31"/>
      <c r="IS158" s="31"/>
      <c r="IT158" s="31"/>
      <c r="IU158" s="31"/>
      <c r="IV158" s="31"/>
    </row>
    <row r="159" ht="11.25" customHeight="1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>
        <v>43.0</v>
      </c>
      <c r="U159" s="29" t="s">
        <v>270</v>
      </c>
      <c r="V159" s="29" t="s">
        <v>271</v>
      </c>
      <c r="W159" s="29" t="s">
        <v>147</v>
      </c>
      <c r="X159" s="29" t="s">
        <v>147</v>
      </c>
      <c r="Y159" s="29" t="s">
        <v>147</v>
      </c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29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29"/>
      <c r="CB159" s="29"/>
      <c r="CC159" s="29"/>
      <c r="CD159" s="29"/>
      <c r="CE159" s="29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30"/>
      <c r="CY159" s="30"/>
      <c r="CZ159" s="30"/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30"/>
      <c r="FL159" s="3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0"/>
      <c r="FZ159" s="30"/>
      <c r="GA159" s="30"/>
      <c r="GB159" s="30"/>
      <c r="GC159" s="30"/>
      <c r="GD159" s="30"/>
      <c r="GE159" s="30"/>
      <c r="GF159" s="30"/>
      <c r="GG159" s="30"/>
      <c r="GH159" s="30"/>
      <c r="GI159" s="30"/>
      <c r="GJ159" s="30"/>
      <c r="GK159" s="30"/>
      <c r="GL159" s="30"/>
      <c r="GM159" s="30"/>
      <c r="GN159" s="30"/>
      <c r="GO159" s="30"/>
      <c r="GP159" s="30"/>
      <c r="GQ159" s="30"/>
      <c r="GR159" s="30"/>
      <c r="GS159" s="30"/>
      <c r="GT159" s="30"/>
      <c r="GU159" s="30"/>
      <c r="GV159" s="30"/>
      <c r="GW159" s="30"/>
      <c r="GX159" s="30"/>
      <c r="GY159" s="30"/>
      <c r="GZ159" s="30"/>
      <c r="HA159" s="30"/>
      <c r="HB159" s="30"/>
      <c r="HC159" s="30"/>
      <c r="HD159" s="30"/>
      <c r="HE159" s="30"/>
      <c r="HF159" s="30"/>
      <c r="HG159" s="30"/>
      <c r="HH159" s="30"/>
      <c r="HI159" s="30"/>
      <c r="HJ159" s="30"/>
      <c r="HK159" s="30"/>
      <c r="HL159" s="30"/>
      <c r="HM159" s="30"/>
      <c r="HN159" s="30"/>
      <c r="HO159" s="30"/>
      <c r="HP159" s="30"/>
      <c r="HQ159" s="30"/>
      <c r="HR159" s="30"/>
      <c r="HS159" s="30"/>
      <c r="HT159" s="30"/>
      <c r="HU159" s="30"/>
      <c r="HV159" s="30"/>
      <c r="HW159" s="30"/>
      <c r="HX159" s="30"/>
      <c r="HY159" s="30"/>
      <c r="HZ159" s="30"/>
      <c r="IA159" s="30"/>
      <c r="IB159" s="30"/>
      <c r="IC159" s="30"/>
      <c r="ID159" s="30"/>
      <c r="IE159" s="30"/>
      <c r="IF159" s="30"/>
      <c r="IG159" s="30"/>
      <c r="IH159" s="30"/>
      <c r="II159" s="30"/>
      <c r="IJ159" s="30"/>
      <c r="IK159" s="30"/>
      <c r="IL159" s="30"/>
      <c r="IM159" s="30"/>
      <c r="IN159" s="30"/>
      <c r="IO159" s="30"/>
      <c r="IP159" s="30"/>
      <c r="IQ159" s="30"/>
      <c r="IR159" s="31"/>
      <c r="IS159" s="31"/>
      <c r="IT159" s="31"/>
      <c r="IU159" s="31"/>
      <c r="IV159" s="31"/>
    </row>
    <row r="160" ht="11.25" customHeight="1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>
        <v>44.0</v>
      </c>
      <c r="U160" s="29" t="s">
        <v>272</v>
      </c>
      <c r="V160" s="29" t="s">
        <v>273</v>
      </c>
      <c r="W160" s="29" t="s">
        <v>274</v>
      </c>
      <c r="X160" s="29" t="s">
        <v>275</v>
      </c>
      <c r="Y160" s="29" t="s">
        <v>276</v>
      </c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29"/>
      <c r="BX160" s="29"/>
      <c r="BY160" s="29"/>
      <c r="BZ160" s="29"/>
      <c r="CA160" s="29"/>
      <c r="CB160" s="29"/>
      <c r="CC160" s="29"/>
      <c r="CD160" s="29"/>
      <c r="CE160" s="29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30"/>
      <c r="CY160" s="30"/>
      <c r="CZ160" s="30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0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A160" s="30"/>
      <c r="FB160" s="30"/>
      <c r="FC160" s="30"/>
      <c r="FD160" s="30"/>
      <c r="FE160" s="30"/>
      <c r="FF160" s="30"/>
      <c r="FG160" s="30"/>
      <c r="FH160" s="30"/>
      <c r="FI160" s="30"/>
      <c r="FJ160" s="30"/>
      <c r="FK160" s="30"/>
      <c r="FL160" s="30"/>
      <c r="FM160" s="30"/>
      <c r="FN160" s="30"/>
      <c r="FO160" s="30"/>
      <c r="FP160" s="30"/>
      <c r="FQ160" s="30"/>
      <c r="FR160" s="30"/>
      <c r="FS160" s="30"/>
      <c r="FT160" s="30"/>
      <c r="FU160" s="30"/>
      <c r="FV160" s="30"/>
      <c r="FW160" s="30"/>
      <c r="FX160" s="30"/>
      <c r="FY160" s="30"/>
      <c r="FZ160" s="30"/>
      <c r="GA160" s="30"/>
      <c r="GB160" s="30"/>
      <c r="GC160" s="30"/>
      <c r="GD160" s="30"/>
      <c r="GE160" s="30"/>
      <c r="GF160" s="30"/>
      <c r="GG160" s="30"/>
      <c r="GH160" s="30"/>
      <c r="GI160" s="30"/>
      <c r="GJ160" s="30"/>
      <c r="GK160" s="30"/>
      <c r="GL160" s="30"/>
      <c r="GM160" s="30"/>
      <c r="GN160" s="30"/>
      <c r="GO160" s="30"/>
      <c r="GP160" s="30"/>
      <c r="GQ160" s="30"/>
      <c r="GR160" s="30"/>
      <c r="GS160" s="30"/>
      <c r="GT160" s="30"/>
      <c r="GU160" s="30"/>
      <c r="GV160" s="30"/>
      <c r="GW160" s="30"/>
      <c r="GX160" s="30"/>
      <c r="GY160" s="30"/>
      <c r="GZ160" s="30"/>
      <c r="HA160" s="30"/>
      <c r="HB160" s="30"/>
      <c r="HC160" s="30"/>
      <c r="HD160" s="30"/>
      <c r="HE160" s="30"/>
      <c r="HF160" s="30"/>
      <c r="HG160" s="30"/>
      <c r="HH160" s="30"/>
      <c r="HI160" s="30"/>
      <c r="HJ160" s="30"/>
      <c r="HK160" s="30"/>
      <c r="HL160" s="30"/>
      <c r="HM160" s="30"/>
      <c r="HN160" s="30"/>
      <c r="HO160" s="30"/>
      <c r="HP160" s="30"/>
      <c r="HQ160" s="30"/>
      <c r="HR160" s="30"/>
      <c r="HS160" s="30"/>
      <c r="HT160" s="30"/>
      <c r="HU160" s="30"/>
      <c r="HV160" s="30"/>
      <c r="HW160" s="30"/>
      <c r="HX160" s="30"/>
      <c r="HY160" s="30"/>
      <c r="HZ160" s="30"/>
      <c r="IA160" s="30"/>
      <c r="IB160" s="30"/>
      <c r="IC160" s="30"/>
      <c r="ID160" s="30"/>
      <c r="IE160" s="30"/>
      <c r="IF160" s="30"/>
      <c r="IG160" s="30"/>
      <c r="IH160" s="30"/>
      <c r="II160" s="30"/>
      <c r="IJ160" s="30"/>
      <c r="IK160" s="30"/>
      <c r="IL160" s="30"/>
      <c r="IM160" s="30"/>
      <c r="IN160" s="30"/>
      <c r="IO160" s="30"/>
      <c r="IP160" s="30"/>
      <c r="IQ160" s="30"/>
      <c r="IR160" s="31"/>
      <c r="IS160" s="31"/>
      <c r="IT160" s="31"/>
      <c r="IU160" s="31"/>
      <c r="IV160" s="31"/>
    </row>
    <row r="161" ht="11.25" customHeight="1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>
        <v>45.0</v>
      </c>
      <c r="U161" s="29" t="s">
        <v>277</v>
      </c>
      <c r="V161" s="29" t="s">
        <v>278</v>
      </c>
      <c r="W161" s="29" t="s">
        <v>279</v>
      </c>
      <c r="X161" s="29" t="s">
        <v>280</v>
      </c>
      <c r="Y161" s="29" t="s">
        <v>281</v>
      </c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29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29"/>
      <c r="CB161" s="29"/>
      <c r="CC161" s="29"/>
      <c r="CD161" s="29"/>
      <c r="CE161" s="29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30"/>
      <c r="CY161" s="30"/>
      <c r="CZ161" s="30"/>
      <c r="DA161" s="30"/>
      <c r="DB161" s="30"/>
      <c r="DC161" s="30"/>
      <c r="DD161" s="3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30"/>
      <c r="DX161" s="30"/>
      <c r="DY161" s="30"/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0"/>
      <c r="EK161" s="30"/>
      <c r="EL161" s="30"/>
      <c r="EM161" s="30"/>
      <c r="EN161" s="30"/>
      <c r="EO161" s="30"/>
      <c r="EP161" s="30"/>
      <c r="EQ161" s="30"/>
      <c r="ER161" s="30"/>
      <c r="ES161" s="30"/>
      <c r="ET161" s="30"/>
      <c r="EU161" s="30"/>
      <c r="EV161" s="30"/>
      <c r="EW161" s="30"/>
      <c r="EX161" s="30"/>
      <c r="EY161" s="30"/>
      <c r="EZ161" s="30"/>
      <c r="FA161" s="30"/>
      <c r="FB161" s="30"/>
      <c r="FC161" s="30"/>
      <c r="FD161" s="30"/>
      <c r="FE161" s="30"/>
      <c r="FF161" s="30"/>
      <c r="FG161" s="30"/>
      <c r="FH161" s="30"/>
      <c r="FI161" s="30"/>
      <c r="FJ161" s="30"/>
      <c r="FK161" s="30"/>
      <c r="FL161" s="30"/>
      <c r="FM161" s="30"/>
      <c r="FN161" s="30"/>
      <c r="FO161" s="30"/>
      <c r="FP161" s="30"/>
      <c r="FQ161" s="30"/>
      <c r="FR161" s="30"/>
      <c r="FS161" s="30"/>
      <c r="FT161" s="30"/>
      <c r="FU161" s="30"/>
      <c r="FV161" s="30"/>
      <c r="FW161" s="30"/>
      <c r="FX161" s="30"/>
      <c r="FY161" s="30"/>
      <c r="FZ161" s="30"/>
      <c r="GA161" s="30"/>
      <c r="GB161" s="30"/>
      <c r="GC161" s="30"/>
      <c r="GD161" s="30"/>
      <c r="GE161" s="30"/>
      <c r="GF161" s="30"/>
      <c r="GG161" s="30"/>
      <c r="GH161" s="30"/>
      <c r="GI161" s="30"/>
      <c r="GJ161" s="30"/>
      <c r="GK161" s="30"/>
      <c r="GL161" s="30"/>
      <c r="GM161" s="30"/>
      <c r="GN161" s="30"/>
      <c r="GO161" s="30"/>
      <c r="GP161" s="30"/>
      <c r="GQ161" s="30"/>
      <c r="GR161" s="30"/>
      <c r="GS161" s="30"/>
      <c r="GT161" s="30"/>
      <c r="GU161" s="30"/>
      <c r="GV161" s="30"/>
      <c r="GW161" s="30"/>
      <c r="GX161" s="30"/>
      <c r="GY161" s="30"/>
      <c r="GZ161" s="30"/>
      <c r="HA161" s="30"/>
      <c r="HB161" s="30"/>
      <c r="HC161" s="30"/>
      <c r="HD161" s="30"/>
      <c r="HE161" s="30"/>
      <c r="HF161" s="30"/>
      <c r="HG161" s="30"/>
      <c r="HH161" s="30"/>
      <c r="HI161" s="30"/>
      <c r="HJ161" s="30"/>
      <c r="HK161" s="30"/>
      <c r="HL161" s="30"/>
      <c r="HM161" s="30"/>
      <c r="HN161" s="30"/>
      <c r="HO161" s="30"/>
      <c r="HP161" s="30"/>
      <c r="HQ161" s="30"/>
      <c r="HR161" s="30"/>
      <c r="HS161" s="30"/>
      <c r="HT161" s="30"/>
      <c r="HU161" s="30"/>
      <c r="HV161" s="30"/>
      <c r="HW161" s="30"/>
      <c r="HX161" s="30"/>
      <c r="HY161" s="30"/>
      <c r="HZ161" s="30"/>
      <c r="IA161" s="30"/>
      <c r="IB161" s="30"/>
      <c r="IC161" s="30"/>
      <c r="ID161" s="30"/>
      <c r="IE161" s="30"/>
      <c r="IF161" s="30"/>
      <c r="IG161" s="30"/>
      <c r="IH161" s="30"/>
      <c r="II161" s="30"/>
      <c r="IJ161" s="30"/>
      <c r="IK161" s="30"/>
      <c r="IL161" s="30"/>
      <c r="IM161" s="30"/>
      <c r="IN161" s="30"/>
      <c r="IO161" s="30"/>
      <c r="IP161" s="30"/>
      <c r="IQ161" s="30"/>
      <c r="IR161" s="31"/>
      <c r="IS161" s="31"/>
      <c r="IT161" s="31"/>
      <c r="IU161" s="31"/>
      <c r="IV161" s="31"/>
    </row>
    <row r="162" ht="11.25" customHeight="1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>
        <v>46.0</v>
      </c>
      <c r="U162" s="29" t="s">
        <v>282</v>
      </c>
      <c r="V162" s="29" t="s">
        <v>283</v>
      </c>
      <c r="W162" s="29" t="s">
        <v>284</v>
      </c>
      <c r="X162" s="29" t="s">
        <v>147</v>
      </c>
      <c r="Y162" s="29" t="s">
        <v>147</v>
      </c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  <c r="BC162" s="29"/>
      <c r="BD162" s="29"/>
      <c r="BE162" s="29"/>
      <c r="BF162" s="29"/>
      <c r="BG162" s="29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29"/>
      <c r="BX162" s="29"/>
      <c r="BY162" s="29"/>
      <c r="BZ162" s="29"/>
      <c r="CA162" s="29"/>
      <c r="CB162" s="29"/>
      <c r="CC162" s="29"/>
      <c r="CD162" s="29"/>
      <c r="CE162" s="29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30"/>
      <c r="CY162" s="30"/>
      <c r="CZ162" s="30"/>
      <c r="DA162" s="30"/>
      <c r="DB162" s="30"/>
      <c r="DC162" s="30"/>
      <c r="DD162" s="3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30"/>
      <c r="DX162" s="30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0"/>
      <c r="EK162" s="30"/>
      <c r="EL162" s="30"/>
      <c r="EM162" s="30"/>
      <c r="EN162" s="30"/>
      <c r="EO162" s="30"/>
      <c r="EP162" s="30"/>
      <c r="EQ162" s="30"/>
      <c r="ER162" s="30"/>
      <c r="ES162" s="30"/>
      <c r="ET162" s="30"/>
      <c r="EU162" s="30"/>
      <c r="EV162" s="30"/>
      <c r="EW162" s="30"/>
      <c r="EX162" s="30"/>
      <c r="EY162" s="30"/>
      <c r="EZ162" s="30"/>
      <c r="FA162" s="30"/>
      <c r="FB162" s="30"/>
      <c r="FC162" s="30"/>
      <c r="FD162" s="30"/>
      <c r="FE162" s="30"/>
      <c r="FF162" s="30"/>
      <c r="FG162" s="30"/>
      <c r="FH162" s="30"/>
      <c r="FI162" s="30"/>
      <c r="FJ162" s="30"/>
      <c r="FK162" s="30"/>
      <c r="FL162" s="30"/>
      <c r="FM162" s="30"/>
      <c r="FN162" s="30"/>
      <c r="FO162" s="30"/>
      <c r="FP162" s="30"/>
      <c r="FQ162" s="30"/>
      <c r="FR162" s="30"/>
      <c r="FS162" s="30"/>
      <c r="FT162" s="30"/>
      <c r="FU162" s="30"/>
      <c r="FV162" s="30"/>
      <c r="FW162" s="30"/>
      <c r="FX162" s="30"/>
      <c r="FY162" s="30"/>
      <c r="FZ162" s="30"/>
      <c r="GA162" s="30"/>
      <c r="GB162" s="30"/>
      <c r="GC162" s="30"/>
      <c r="GD162" s="30"/>
      <c r="GE162" s="30"/>
      <c r="GF162" s="30"/>
      <c r="GG162" s="30"/>
      <c r="GH162" s="30"/>
      <c r="GI162" s="30"/>
      <c r="GJ162" s="30"/>
      <c r="GK162" s="30"/>
      <c r="GL162" s="30"/>
      <c r="GM162" s="30"/>
      <c r="GN162" s="30"/>
      <c r="GO162" s="30"/>
      <c r="GP162" s="30"/>
      <c r="GQ162" s="30"/>
      <c r="GR162" s="30"/>
      <c r="GS162" s="30"/>
      <c r="GT162" s="30"/>
      <c r="GU162" s="30"/>
      <c r="GV162" s="30"/>
      <c r="GW162" s="30"/>
      <c r="GX162" s="30"/>
      <c r="GY162" s="30"/>
      <c r="GZ162" s="30"/>
      <c r="HA162" s="30"/>
      <c r="HB162" s="30"/>
      <c r="HC162" s="30"/>
      <c r="HD162" s="30"/>
      <c r="HE162" s="30"/>
      <c r="HF162" s="30"/>
      <c r="HG162" s="30"/>
      <c r="HH162" s="30"/>
      <c r="HI162" s="30"/>
      <c r="HJ162" s="30"/>
      <c r="HK162" s="30"/>
      <c r="HL162" s="30"/>
      <c r="HM162" s="30"/>
      <c r="HN162" s="30"/>
      <c r="HO162" s="30"/>
      <c r="HP162" s="30"/>
      <c r="HQ162" s="30"/>
      <c r="HR162" s="30"/>
      <c r="HS162" s="30"/>
      <c r="HT162" s="30"/>
      <c r="HU162" s="30"/>
      <c r="HV162" s="30"/>
      <c r="HW162" s="30"/>
      <c r="HX162" s="30"/>
      <c r="HY162" s="30"/>
      <c r="HZ162" s="30"/>
      <c r="IA162" s="30"/>
      <c r="IB162" s="30"/>
      <c r="IC162" s="30"/>
      <c r="ID162" s="30"/>
      <c r="IE162" s="30"/>
      <c r="IF162" s="30"/>
      <c r="IG162" s="30"/>
      <c r="IH162" s="30"/>
      <c r="II162" s="30"/>
      <c r="IJ162" s="30"/>
      <c r="IK162" s="30"/>
      <c r="IL162" s="30"/>
      <c r="IM162" s="30"/>
      <c r="IN162" s="30"/>
      <c r="IO162" s="30"/>
      <c r="IP162" s="30"/>
      <c r="IQ162" s="30"/>
      <c r="IR162" s="31"/>
      <c r="IS162" s="31"/>
      <c r="IT162" s="31"/>
      <c r="IU162" s="31"/>
      <c r="IV162" s="31"/>
    </row>
    <row r="163" ht="11.25" customHeight="1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>
        <v>47.0</v>
      </c>
      <c r="U163" s="29" t="s">
        <v>285</v>
      </c>
      <c r="V163" s="29" t="s">
        <v>286</v>
      </c>
      <c r="W163" s="29" t="s">
        <v>147</v>
      </c>
      <c r="X163" s="29" t="s">
        <v>147</v>
      </c>
      <c r="Y163" s="29" t="s">
        <v>147</v>
      </c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  <c r="BC163" s="29"/>
      <c r="BD163" s="29"/>
      <c r="BE163" s="29"/>
      <c r="BF163" s="29"/>
      <c r="BG163" s="29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29"/>
      <c r="BX163" s="29"/>
      <c r="BY163" s="29"/>
      <c r="BZ163" s="29"/>
      <c r="CA163" s="29"/>
      <c r="CB163" s="29"/>
      <c r="CC163" s="29"/>
      <c r="CD163" s="29"/>
      <c r="CE163" s="29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30"/>
      <c r="CY163" s="30"/>
      <c r="CZ163" s="30"/>
      <c r="DA163" s="30"/>
      <c r="DB163" s="30"/>
      <c r="DC163" s="30"/>
      <c r="DD163" s="30"/>
      <c r="DE163" s="30"/>
      <c r="DF163" s="30"/>
      <c r="DG163" s="30"/>
      <c r="DH163" s="30"/>
      <c r="DI163" s="30"/>
      <c r="DJ163" s="30"/>
      <c r="DK163" s="30"/>
      <c r="DL163" s="30"/>
      <c r="DM163" s="30"/>
      <c r="DN163" s="30"/>
      <c r="DO163" s="30"/>
      <c r="DP163" s="30"/>
      <c r="DQ163" s="30"/>
      <c r="DR163" s="30"/>
      <c r="DS163" s="30"/>
      <c r="DT163" s="30"/>
      <c r="DU163" s="30"/>
      <c r="DV163" s="30"/>
      <c r="DW163" s="30"/>
      <c r="DX163" s="30"/>
      <c r="DY163" s="30"/>
      <c r="DZ163" s="30"/>
      <c r="EA163" s="30"/>
      <c r="EB163" s="30"/>
      <c r="EC163" s="30"/>
      <c r="ED163" s="30"/>
      <c r="EE163" s="30"/>
      <c r="EF163" s="30"/>
      <c r="EG163" s="30"/>
      <c r="EH163" s="30"/>
      <c r="EI163" s="30"/>
      <c r="EJ163" s="30"/>
      <c r="EK163" s="30"/>
      <c r="EL163" s="30"/>
      <c r="EM163" s="30"/>
      <c r="EN163" s="30"/>
      <c r="EO163" s="30"/>
      <c r="EP163" s="30"/>
      <c r="EQ163" s="30"/>
      <c r="ER163" s="30"/>
      <c r="ES163" s="30"/>
      <c r="ET163" s="30"/>
      <c r="EU163" s="30"/>
      <c r="EV163" s="30"/>
      <c r="EW163" s="30"/>
      <c r="EX163" s="30"/>
      <c r="EY163" s="30"/>
      <c r="EZ163" s="30"/>
      <c r="FA163" s="30"/>
      <c r="FB163" s="30"/>
      <c r="FC163" s="30"/>
      <c r="FD163" s="30"/>
      <c r="FE163" s="30"/>
      <c r="FF163" s="30"/>
      <c r="FG163" s="30"/>
      <c r="FH163" s="30"/>
      <c r="FI163" s="30"/>
      <c r="FJ163" s="30"/>
      <c r="FK163" s="30"/>
      <c r="FL163" s="30"/>
      <c r="FM163" s="30"/>
      <c r="FN163" s="30"/>
      <c r="FO163" s="30"/>
      <c r="FP163" s="30"/>
      <c r="FQ163" s="30"/>
      <c r="FR163" s="30"/>
      <c r="FS163" s="30"/>
      <c r="FT163" s="30"/>
      <c r="FU163" s="30"/>
      <c r="FV163" s="30"/>
      <c r="FW163" s="30"/>
      <c r="FX163" s="30"/>
      <c r="FY163" s="30"/>
      <c r="FZ163" s="30"/>
      <c r="GA163" s="30"/>
      <c r="GB163" s="30"/>
      <c r="GC163" s="30"/>
      <c r="GD163" s="30"/>
      <c r="GE163" s="30"/>
      <c r="GF163" s="30"/>
      <c r="GG163" s="30"/>
      <c r="GH163" s="30"/>
      <c r="GI163" s="30"/>
      <c r="GJ163" s="30"/>
      <c r="GK163" s="30"/>
      <c r="GL163" s="30"/>
      <c r="GM163" s="30"/>
      <c r="GN163" s="30"/>
      <c r="GO163" s="30"/>
      <c r="GP163" s="30"/>
      <c r="GQ163" s="30"/>
      <c r="GR163" s="30"/>
      <c r="GS163" s="30"/>
      <c r="GT163" s="30"/>
      <c r="GU163" s="30"/>
      <c r="GV163" s="30"/>
      <c r="GW163" s="30"/>
      <c r="GX163" s="30"/>
      <c r="GY163" s="30"/>
      <c r="GZ163" s="30"/>
      <c r="HA163" s="30"/>
      <c r="HB163" s="30"/>
      <c r="HC163" s="30"/>
      <c r="HD163" s="30"/>
      <c r="HE163" s="30"/>
      <c r="HF163" s="30"/>
      <c r="HG163" s="30"/>
      <c r="HH163" s="30"/>
      <c r="HI163" s="30"/>
      <c r="HJ163" s="30"/>
      <c r="HK163" s="30"/>
      <c r="HL163" s="30"/>
      <c r="HM163" s="30"/>
      <c r="HN163" s="30"/>
      <c r="HO163" s="30"/>
      <c r="HP163" s="30"/>
      <c r="HQ163" s="30"/>
      <c r="HR163" s="30"/>
      <c r="HS163" s="30"/>
      <c r="HT163" s="30"/>
      <c r="HU163" s="30"/>
      <c r="HV163" s="30"/>
      <c r="HW163" s="30"/>
      <c r="HX163" s="30"/>
      <c r="HY163" s="30"/>
      <c r="HZ163" s="30"/>
      <c r="IA163" s="30"/>
      <c r="IB163" s="30"/>
      <c r="IC163" s="30"/>
      <c r="ID163" s="30"/>
      <c r="IE163" s="30"/>
      <c r="IF163" s="30"/>
      <c r="IG163" s="30"/>
      <c r="IH163" s="30"/>
      <c r="II163" s="30"/>
      <c r="IJ163" s="30"/>
      <c r="IK163" s="30"/>
      <c r="IL163" s="30"/>
      <c r="IM163" s="30"/>
      <c r="IN163" s="30"/>
      <c r="IO163" s="30"/>
      <c r="IP163" s="30"/>
      <c r="IQ163" s="30"/>
      <c r="IR163" s="31"/>
      <c r="IS163" s="31"/>
      <c r="IT163" s="31"/>
      <c r="IU163" s="31"/>
      <c r="IV163" s="31"/>
    </row>
    <row r="164" ht="11.25" customHeight="1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>
        <v>48.0</v>
      </c>
      <c r="U164" s="29" t="s">
        <v>287</v>
      </c>
      <c r="V164" s="29" t="s">
        <v>288</v>
      </c>
      <c r="W164" s="29" t="s">
        <v>289</v>
      </c>
      <c r="X164" s="29" t="s">
        <v>147</v>
      </c>
      <c r="Y164" s="29" t="s">
        <v>147</v>
      </c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  <c r="BC164" s="29"/>
      <c r="BD164" s="29"/>
      <c r="BE164" s="29"/>
      <c r="BF164" s="29"/>
      <c r="BG164" s="29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29"/>
      <c r="BX164" s="29"/>
      <c r="BY164" s="29"/>
      <c r="BZ164" s="29"/>
      <c r="CA164" s="29"/>
      <c r="CB164" s="29"/>
      <c r="CC164" s="29"/>
      <c r="CD164" s="29"/>
      <c r="CE164" s="29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30"/>
      <c r="CY164" s="30"/>
      <c r="CZ164" s="30"/>
      <c r="DA164" s="30"/>
      <c r="DB164" s="30"/>
      <c r="DC164" s="30"/>
      <c r="DD164" s="3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30"/>
      <c r="DX164" s="30"/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V164" s="30"/>
      <c r="EW164" s="30"/>
      <c r="EX164" s="30"/>
      <c r="EY164" s="30"/>
      <c r="EZ164" s="30"/>
      <c r="FA164" s="30"/>
      <c r="FB164" s="30"/>
      <c r="FC164" s="30"/>
      <c r="FD164" s="30"/>
      <c r="FE164" s="30"/>
      <c r="FF164" s="30"/>
      <c r="FG164" s="30"/>
      <c r="FH164" s="30"/>
      <c r="FI164" s="30"/>
      <c r="FJ164" s="30"/>
      <c r="FK164" s="30"/>
      <c r="FL164" s="30"/>
      <c r="FM164" s="30"/>
      <c r="FN164" s="30"/>
      <c r="FO164" s="30"/>
      <c r="FP164" s="30"/>
      <c r="FQ164" s="30"/>
      <c r="FR164" s="30"/>
      <c r="FS164" s="30"/>
      <c r="FT164" s="30"/>
      <c r="FU164" s="30"/>
      <c r="FV164" s="30"/>
      <c r="FW164" s="30"/>
      <c r="FX164" s="30"/>
      <c r="FY164" s="30"/>
      <c r="FZ164" s="30"/>
      <c r="GA164" s="30"/>
      <c r="GB164" s="30"/>
      <c r="GC164" s="30"/>
      <c r="GD164" s="30"/>
      <c r="GE164" s="30"/>
      <c r="GF164" s="30"/>
      <c r="GG164" s="30"/>
      <c r="GH164" s="30"/>
      <c r="GI164" s="30"/>
      <c r="GJ164" s="30"/>
      <c r="GK164" s="30"/>
      <c r="GL164" s="30"/>
      <c r="GM164" s="30"/>
      <c r="GN164" s="30"/>
      <c r="GO164" s="30"/>
      <c r="GP164" s="30"/>
      <c r="GQ164" s="30"/>
      <c r="GR164" s="30"/>
      <c r="GS164" s="30"/>
      <c r="GT164" s="30"/>
      <c r="GU164" s="30"/>
      <c r="GV164" s="30"/>
      <c r="GW164" s="30"/>
      <c r="GX164" s="30"/>
      <c r="GY164" s="30"/>
      <c r="GZ164" s="30"/>
      <c r="HA164" s="30"/>
      <c r="HB164" s="30"/>
      <c r="HC164" s="30"/>
      <c r="HD164" s="30"/>
      <c r="HE164" s="30"/>
      <c r="HF164" s="30"/>
      <c r="HG164" s="30"/>
      <c r="HH164" s="30"/>
      <c r="HI164" s="30"/>
      <c r="HJ164" s="30"/>
      <c r="HK164" s="30"/>
      <c r="HL164" s="30"/>
      <c r="HM164" s="30"/>
      <c r="HN164" s="30"/>
      <c r="HO164" s="30"/>
      <c r="HP164" s="30"/>
      <c r="HQ164" s="30"/>
      <c r="HR164" s="30"/>
      <c r="HS164" s="30"/>
      <c r="HT164" s="30"/>
      <c r="HU164" s="30"/>
      <c r="HV164" s="30"/>
      <c r="HW164" s="30"/>
      <c r="HX164" s="30"/>
      <c r="HY164" s="30"/>
      <c r="HZ164" s="30"/>
      <c r="IA164" s="30"/>
      <c r="IB164" s="30"/>
      <c r="IC164" s="30"/>
      <c r="ID164" s="30"/>
      <c r="IE164" s="30"/>
      <c r="IF164" s="30"/>
      <c r="IG164" s="30"/>
      <c r="IH164" s="30"/>
      <c r="II164" s="30"/>
      <c r="IJ164" s="30"/>
      <c r="IK164" s="30"/>
      <c r="IL164" s="30"/>
      <c r="IM164" s="30"/>
      <c r="IN164" s="30"/>
      <c r="IO164" s="30"/>
      <c r="IP164" s="30"/>
      <c r="IQ164" s="30"/>
      <c r="IR164" s="31"/>
      <c r="IS164" s="31"/>
      <c r="IT164" s="31"/>
      <c r="IU164" s="31"/>
      <c r="IV164" s="31"/>
    </row>
    <row r="165" ht="11.25" customHeight="1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>
        <v>49.0</v>
      </c>
      <c r="U165" s="29" t="s">
        <v>290</v>
      </c>
      <c r="V165" s="29" t="s">
        <v>291</v>
      </c>
      <c r="W165" s="29" t="s">
        <v>147</v>
      </c>
      <c r="X165" s="29" t="s">
        <v>147</v>
      </c>
      <c r="Y165" s="29" t="s">
        <v>147</v>
      </c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  <c r="BC165" s="29"/>
      <c r="BD165" s="29"/>
      <c r="BE165" s="29"/>
      <c r="BF165" s="29"/>
      <c r="BG165" s="29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29"/>
      <c r="BX165" s="29"/>
      <c r="BY165" s="29"/>
      <c r="BZ165" s="29"/>
      <c r="CA165" s="29"/>
      <c r="CB165" s="29"/>
      <c r="CC165" s="29"/>
      <c r="CD165" s="29"/>
      <c r="CE165" s="29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30"/>
      <c r="CY165" s="30"/>
      <c r="CZ165" s="30"/>
      <c r="DA165" s="30"/>
      <c r="DB165" s="30"/>
      <c r="DC165" s="30"/>
      <c r="DD165" s="3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30"/>
      <c r="DX165" s="30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  <c r="FA165" s="30"/>
      <c r="FB165" s="30"/>
      <c r="FC165" s="30"/>
      <c r="FD165" s="30"/>
      <c r="FE165" s="30"/>
      <c r="FF165" s="30"/>
      <c r="FG165" s="30"/>
      <c r="FH165" s="30"/>
      <c r="FI165" s="30"/>
      <c r="FJ165" s="30"/>
      <c r="FK165" s="30"/>
      <c r="FL165" s="30"/>
      <c r="FM165" s="30"/>
      <c r="FN165" s="30"/>
      <c r="FO165" s="30"/>
      <c r="FP165" s="30"/>
      <c r="FQ165" s="30"/>
      <c r="FR165" s="30"/>
      <c r="FS165" s="30"/>
      <c r="FT165" s="30"/>
      <c r="FU165" s="30"/>
      <c r="FV165" s="30"/>
      <c r="FW165" s="30"/>
      <c r="FX165" s="30"/>
      <c r="FY165" s="30"/>
      <c r="FZ165" s="30"/>
      <c r="GA165" s="30"/>
      <c r="GB165" s="30"/>
      <c r="GC165" s="30"/>
      <c r="GD165" s="30"/>
      <c r="GE165" s="30"/>
      <c r="GF165" s="30"/>
      <c r="GG165" s="30"/>
      <c r="GH165" s="30"/>
      <c r="GI165" s="30"/>
      <c r="GJ165" s="30"/>
      <c r="GK165" s="30"/>
      <c r="GL165" s="30"/>
      <c r="GM165" s="30"/>
      <c r="GN165" s="30"/>
      <c r="GO165" s="30"/>
      <c r="GP165" s="30"/>
      <c r="GQ165" s="30"/>
      <c r="GR165" s="30"/>
      <c r="GS165" s="30"/>
      <c r="GT165" s="30"/>
      <c r="GU165" s="30"/>
      <c r="GV165" s="30"/>
      <c r="GW165" s="30"/>
      <c r="GX165" s="30"/>
      <c r="GY165" s="30"/>
      <c r="GZ165" s="30"/>
      <c r="HA165" s="30"/>
      <c r="HB165" s="30"/>
      <c r="HC165" s="30"/>
      <c r="HD165" s="30"/>
      <c r="HE165" s="30"/>
      <c r="HF165" s="30"/>
      <c r="HG165" s="30"/>
      <c r="HH165" s="30"/>
      <c r="HI165" s="30"/>
      <c r="HJ165" s="30"/>
      <c r="HK165" s="30"/>
      <c r="HL165" s="30"/>
      <c r="HM165" s="30"/>
      <c r="HN165" s="30"/>
      <c r="HO165" s="30"/>
      <c r="HP165" s="30"/>
      <c r="HQ165" s="30"/>
      <c r="HR165" s="30"/>
      <c r="HS165" s="30"/>
      <c r="HT165" s="30"/>
      <c r="HU165" s="30"/>
      <c r="HV165" s="30"/>
      <c r="HW165" s="30"/>
      <c r="HX165" s="30"/>
      <c r="HY165" s="30"/>
      <c r="HZ165" s="30"/>
      <c r="IA165" s="30"/>
      <c r="IB165" s="30"/>
      <c r="IC165" s="30"/>
      <c r="ID165" s="30"/>
      <c r="IE165" s="30"/>
      <c r="IF165" s="30"/>
      <c r="IG165" s="30"/>
      <c r="IH165" s="30"/>
      <c r="II165" s="30"/>
      <c r="IJ165" s="30"/>
      <c r="IK165" s="30"/>
      <c r="IL165" s="30"/>
      <c r="IM165" s="30"/>
      <c r="IN165" s="30"/>
      <c r="IO165" s="30"/>
      <c r="IP165" s="30"/>
      <c r="IQ165" s="30"/>
      <c r="IR165" s="31"/>
      <c r="IS165" s="31"/>
      <c r="IT165" s="31"/>
      <c r="IU165" s="31"/>
      <c r="IV165" s="31"/>
    </row>
    <row r="166" ht="11.25" customHeight="1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>
        <v>50.0</v>
      </c>
      <c r="U166" s="29" t="s">
        <v>292</v>
      </c>
      <c r="V166" s="29" t="s">
        <v>293</v>
      </c>
      <c r="W166" s="29" t="s">
        <v>294</v>
      </c>
      <c r="X166" s="29" t="s">
        <v>295</v>
      </c>
      <c r="Y166" s="29" t="s">
        <v>296</v>
      </c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  <c r="BC166" s="29"/>
      <c r="BD166" s="29"/>
      <c r="BE166" s="29"/>
      <c r="BF166" s="29"/>
      <c r="BG166" s="29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29"/>
      <c r="BX166" s="29"/>
      <c r="BY166" s="29"/>
      <c r="BZ166" s="29"/>
      <c r="CA166" s="29"/>
      <c r="CB166" s="29"/>
      <c r="CC166" s="29"/>
      <c r="CD166" s="29"/>
      <c r="CE166" s="29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30"/>
      <c r="CY166" s="30"/>
      <c r="CZ166" s="30"/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0"/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  <c r="FA166" s="30"/>
      <c r="FB166" s="30"/>
      <c r="FC166" s="30"/>
      <c r="FD166" s="30"/>
      <c r="FE166" s="30"/>
      <c r="FF166" s="30"/>
      <c r="FG166" s="30"/>
      <c r="FH166" s="30"/>
      <c r="FI166" s="30"/>
      <c r="FJ166" s="30"/>
      <c r="FK166" s="30"/>
      <c r="FL166" s="30"/>
      <c r="FM166" s="30"/>
      <c r="FN166" s="30"/>
      <c r="FO166" s="30"/>
      <c r="FP166" s="30"/>
      <c r="FQ166" s="30"/>
      <c r="FR166" s="30"/>
      <c r="FS166" s="30"/>
      <c r="FT166" s="30"/>
      <c r="FU166" s="30"/>
      <c r="FV166" s="30"/>
      <c r="FW166" s="30"/>
      <c r="FX166" s="30"/>
      <c r="FY166" s="30"/>
      <c r="FZ166" s="30"/>
      <c r="GA166" s="30"/>
      <c r="GB166" s="30"/>
      <c r="GC166" s="30"/>
      <c r="GD166" s="30"/>
      <c r="GE166" s="30"/>
      <c r="GF166" s="30"/>
      <c r="GG166" s="30"/>
      <c r="GH166" s="30"/>
      <c r="GI166" s="30"/>
      <c r="GJ166" s="30"/>
      <c r="GK166" s="30"/>
      <c r="GL166" s="30"/>
      <c r="GM166" s="30"/>
      <c r="GN166" s="30"/>
      <c r="GO166" s="30"/>
      <c r="GP166" s="30"/>
      <c r="GQ166" s="30"/>
      <c r="GR166" s="30"/>
      <c r="GS166" s="30"/>
      <c r="GT166" s="30"/>
      <c r="GU166" s="30"/>
      <c r="GV166" s="30"/>
      <c r="GW166" s="30"/>
      <c r="GX166" s="30"/>
      <c r="GY166" s="30"/>
      <c r="GZ166" s="30"/>
      <c r="HA166" s="30"/>
      <c r="HB166" s="30"/>
      <c r="HC166" s="30"/>
      <c r="HD166" s="30"/>
      <c r="HE166" s="30"/>
      <c r="HF166" s="30"/>
      <c r="HG166" s="30"/>
      <c r="HH166" s="30"/>
      <c r="HI166" s="30"/>
      <c r="HJ166" s="30"/>
      <c r="HK166" s="30"/>
      <c r="HL166" s="30"/>
      <c r="HM166" s="30"/>
      <c r="HN166" s="30"/>
      <c r="HO166" s="30"/>
      <c r="HP166" s="30"/>
      <c r="HQ166" s="30"/>
      <c r="HR166" s="30"/>
      <c r="HS166" s="30"/>
      <c r="HT166" s="30"/>
      <c r="HU166" s="30"/>
      <c r="HV166" s="30"/>
      <c r="HW166" s="30"/>
      <c r="HX166" s="30"/>
      <c r="HY166" s="30"/>
      <c r="HZ166" s="30"/>
      <c r="IA166" s="30"/>
      <c r="IB166" s="30"/>
      <c r="IC166" s="30"/>
      <c r="ID166" s="30"/>
      <c r="IE166" s="30"/>
      <c r="IF166" s="30"/>
      <c r="IG166" s="30"/>
      <c r="IH166" s="30"/>
      <c r="II166" s="30"/>
      <c r="IJ166" s="30"/>
      <c r="IK166" s="30"/>
      <c r="IL166" s="30"/>
      <c r="IM166" s="30"/>
      <c r="IN166" s="30"/>
      <c r="IO166" s="30"/>
      <c r="IP166" s="30"/>
      <c r="IQ166" s="30"/>
      <c r="IR166" s="31"/>
      <c r="IS166" s="31"/>
      <c r="IT166" s="31"/>
      <c r="IU166" s="31"/>
      <c r="IV166" s="31"/>
    </row>
    <row r="167" ht="11.25" customHeight="1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>
        <v>51.0</v>
      </c>
      <c r="U167" s="29" t="s">
        <v>297</v>
      </c>
      <c r="V167" s="29" t="s">
        <v>298</v>
      </c>
      <c r="W167" s="29" t="s">
        <v>299</v>
      </c>
      <c r="X167" s="29" t="s">
        <v>300</v>
      </c>
      <c r="Y167" s="29" t="s">
        <v>147</v>
      </c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  <c r="BC167" s="29"/>
      <c r="BD167" s="29"/>
      <c r="BE167" s="29"/>
      <c r="BF167" s="29"/>
      <c r="BG167" s="29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29"/>
      <c r="BX167" s="29"/>
      <c r="BY167" s="29"/>
      <c r="BZ167" s="29"/>
      <c r="CA167" s="29"/>
      <c r="CB167" s="29"/>
      <c r="CC167" s="29"/>
      <c r="CD167" s="29"/>
      <c r="CE167" s="29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30"/>
      <c r="CY167" s="30"/>
      <c r="CZ167" s="30"/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30"/>
      <c r="FL167" s="3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0"/>
      <c r="FZ167" s="30"/>
      <c r="GA167" s="30"/>
      <c r="GB167" s="30"/>
      <c r="GC167" s="30"/>
      <c r="GD167" s="30"/>
      <c r="GE167" s="30"/>
      <c r="GF167" s="30"/>
      <c r="GG167" s="30"/>
      <c r="GH167" s="30"/>
      <c r="GI167" s="30"/>
      <c r="GJ167" s="30"/>
      <c r="GK167" s="30"/>
      <c r="GL167" s="30"/>
      <c r="GM167" s="30"/>
      <c r="GN167" s="30"/>
      <c r="GO167" s="30"/>
      <c r="GP167" s="30"/>
      <c r="GQ167" s="30"/>
      <c r="GR167" s="30"/>
      <c r="GS167" s="30"/>
      <c r="GT167" s="30"/>
      <c r="GU167" s="30"/>
      <c r="GV167" s="30"/>
      <c r="GW167" s="30"/>
      <c r="GX167" s="30"/>
      <c r="GY167" s="30"/>
      <c r="GZ167" s="30"/>
      <c r="HA167" s="30"/>
      <c r="HB167" s="30"/>
      <c r="HC167" s="30"/>
      <c r="HD167" s="30"/>
      <c r="HE167" s="30"/>
      <c r="HF167" s="30"/>
      <c r="HG167" s="30"/>
      <c r="HH167" s="30"/>
      <c r="HI167" s="30"/>
      <c r="HJ167" s="30"/>
      <c r="HK167" s="30"/>
      <c r="HL167" s="30"/>
      <c r="HM167" s="30"/>
      <c r="HN167" s="30"/>
      <c r="HO167" s="30"/>
      <c r="HP167" s="30"/>
      <c r="HQ167" s="30"/>
      <c r="HR167" s="30"/>
      <c r="HS167" s="30"/>
      <c r="HT167" s="30"/>
      <c r="HU167" s="30"/>
      <c r="HV167" s="30"/>
      <c r="HW167" s="30"/>
      <c r="HX167" s="30"/>
      <c r="HY167" s="30"/>
      <c r="HZ167" s="30"/>
      <c r="IA167" s="30"/>
      <c r="IB167" s="30"/>
      <c r="IC167" s="30"/>
      <c r="ID167" s="30"/>
      <c r="IE167" s="30"/>
      <c r="IF167" s="30"/>
      <c r="IG167" s="30"/>
      <c r="IH167" s="30"/>
      <c r="II167" s="30"/>
      <c r="IJ167" s="30"/>
      <c r="IK167" s="30"/>
      <c r="IL167" s="30"/>
      <c r="IM167" s="30"/>
      <c r="IN167" s="30"/>
      <c r="IO167" s="30"/>
      <c r="IP167" s="30"/>
      <c r="IQ167" s="30"/>
      <c r="IR167" s="31"/>
      <c r="IS167" s="31"/>
      <c r="IT167" s="31"/>
      <c r="IU167" s="31"/>
      <c r="IV167" s="31"/>
    </row>
    <row r="168" ht="11.25" customHeight="1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>
        <v>52.0</v>
      </c>
      <c r="U168" s="29" t="s">
        <v>301</v>
      </c>
      <c r="V168" s="29" t="s">
        <v>302</v>
      </c>
      <c r="W168" s="29" t="s">
        <v>303</v>
      </c>
      <c r="X168" s="29" t="s">
        <v>304</v>
      </c>
      <c r="Y168" s="29" t="s">
        <v>305</v>
      </c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  <c r="BC168" s="29"/>
      <c r="BD168" s="29"/>
      <c r="BE168" s="29"/>
      <c r="BF168" s="29"/>
      <c r="BG168" s="29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29"/>
      <c r="BX168" s="29"/>
      <c r="BY168" s="29"/>
      <c r="BZ168" s="29"/>
      <c r="CA168" s="29"/>
      <c r="CB168" s="29"/>
      <c r="CC168" s="29"/>
      <c r="CD168" s="29"/>
      <c r="CE168" s="29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30"/>
      <c r="CY168" s="30"/>
      <c r="CZ168" s="30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30"/>
      <c r="FL168" s="3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0"/>
      <c r="FZ168" s="30"/>
      <c r="GA168" s="30"/>
      <c r="GB168" s="30"/>
      <c r="GC168" s="30"/>
      <c r="GD168" s="30"/>
      <c r="GE168" s="30"/>
      <c r="GF168" s="30"/>
      <c r="GG168" s="30"/>
      <c r="GH168" s="30"/>
      <c r="GI168" s="30"/>
      <c r="GJ168" s="30"/>
      <c r="GK168" s="30"/>
      <c r="GL168" s="30"/>
      <c r="GM168" s="30"/>
      <c r="GN168" s="30"/>
      <c r="GO168" s="30"/>
      <c r="GP168" s="30"/>
      <c r="GQ168" s="30"/>
      <c r="GR168" s="30"/>
      <c r="GS168" s="30"/>
      <c r="GT168" s="30"/>
      <c r="GU168" s="30"/>
      <c r="GV168" s="30"/>
      <c r="GW168" s="30"/>
      <c r="GX168" s="30"/>
      <c r="GY168" s="30"/>
      <c r="GZ168" s="30"/>
      <c r="HA168" s="30"/>
      <c r="HB168" s="30"/>
      <c r="HC168" s="30"/>
      <c r="HD168" s="30"/>
      <c r="HE168" s="30"/>
      <c r="HF168" s="30"/>
      <c r="HG168" s="30"/>
      <c r="HH168" s="30"/>
      <c r="HI168" s="30"/>
      <c r="HJ168" s="30"/>
      <c r="HK168" s="30"/>
      <c r="HL168" s="30"/>
      <c r="HM168" s="30"/>
      <c r="HN168" s="30"/>
      <c r="HO168" s="30"/>
      <c r="HP168" s="30"/>
      <c r="HQ168" s="30"/>
      <c r="HR168" s="30"/>
      <c r="HS168" s="30"/>
      <c r="HT168" s="30"/>
      <c r="HU168" s="30"/>
      <c r="HV168" s="30"/>
      <c r="HW168" s="30"/>
      <c r="HX168" s="30"/>
      <c r="HY168" s="30"/>
      <c r="HZ168" s="30"/>
      <c r="IA168" s="30"/>
      <c r="IB168" s="30"/>
      <c r="IC168" s="30"/>
      <c r="ID168" s="30"/>
      <c r="IE168" s="30"/>
      <c r="IF168" s="30"/>
      <c r="IG168" s="30"/>
      <c r="IH168" s="30"/>
      <c r="II168" s="30"/>
      <c r="IJ168" s="30"/>
      <c r="IK168" s="30"/>
      <c r="IL168" s="30"/>
      <c r="IM168" s="30"/>
      <c r="IN168" s="30"/>
      <c r="IO168" s="30"/>
      <c r="IP168" s="30"/>
      <c r="IQ168" s="30"/>
      <c r="IR168" s="31"/>
      <c r="IS168" s="31"/>
      <c r="IT168" s="31"/>
      <c r="IU168" s="31"/>
      <c r="IV168" s="31"/>
    </row>
    <row r="169" ht="11.25" customHeight="1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>
        <v>53.0</v>
      </c>
      <c r="U169" s="29" t="s">
        <v>306</v>
      </c>
      <c r="V169" s="29" t="s">
        <v>307</v>
      </c>
      <c r="W169" s="29" t="s">
        <v>308</v>
      </c>
      <c r="X169" s="29" t="s">
        <v>309</v>
      </c>
      <c r="Y169" s="29" t="s">
        <v>310</v>
      </c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  <c r="BC169" s="29"/>
      <c r="BD169" s="29"/>
      <c r="BE169" s="29"/>
      <c r="BF169" s="29"/>
      <c r="BG169" s="29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29"/>
      <c r="BX169" s="29"/>
      <c r="BY169" s="29"/>
      <c r="BZ169" s="29"/>
      <c r="CA169" s="29"/>
      <c r="CB169" s="29"/>
      <c r="CC169" s="29"/>
      <c r="CD169" s="29"/>
      <c r="CE169" s="29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30"/>
      <c r="CY169" s="30"/>
      <c r="CZ169" s="30"/>
      <c r="DA169" s="30"/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0"/>
      <c r="DY169" s="30"/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V169" s="30"/>
      <c r="EW169" s="30"/>
      <c r="EX169" s="30"/>
      <c r="EY169" s="30"/>
      <c r="EZ169" s="30"/>
      <c r="FA169" s="30"/>
      <c r="FB169" s="30"/>
      <c r="FC169" s="30"/>
      <c r="FD169" s="30"/>
      <c r="FE169" s="30"/>
      <c r="FF169" s="30"/>
      <c r="FG169" s="30"/>
      <c r="FH169" s="30"/>
      <c r="FI169" s="30"/>
      <c r="FJ169" s="30"/>
      <c r="FK169" s="30"/>
      <c r="FL169" s="30"/>
      <c r="FM169" s="30"/>
      <c r="FN169" s="30"/>
      <c r="FO169" s="30"/>
      <c r="FP169" s="30"/>
      <c r="FQ169" s="30"/>
      <c r="FR169" s="30"/>
      <c r="FS169" s="30"/>
      <c r="FT169" s="30"/>
      <c r="FU169" s="30"/>
      <c r="FV169" s="30"/>
      <c r="FW169" s="30"/>
      <c r="FX169" s="30"/>
      <c r="FY169" s="30"/>
      <c r="FZ169" s="30"/>
      <c r="GA169" s="30"/>
      <c r="GB169" s="30"/>
      <c r="GC169" s="30"/>
      <c r="GD169" s="30"/>
      <c r="GE169" s="30"/>
      <c r="GF169" s="30"/>
      <c r="GG169" s="30"/>
      <c r="GH169" s="30"/>
      <c r="GI169" s="30"/>
      <c r="GJ169" s="30"/>
      <c r="GK169" s="30"/>
      <c r="GL169" s="30"/>
      <c r="GM169" s="30"/>
      <c r="GN169" s="30"/>
      <c r="GO169" s="30"/>
      <c r="GP169" s="30"/>
      <c r="GQ169" s="30"/>
      <c r="GR169" s="30"/>
      <c r="GS169" s="30"/>
      <c r="GT169" s="30"/>
      <c r="GU169" s="30"/>
      <c r="GV169" s="30"/>
      <c r="GW169" s="30"/>
      <c r="GX169" s="30"/>
      <c r="GY169" s="30"/>
      <c r="GZ169" s="30"/>
      <c r="HA169" s="30"/>
      <c r="HB169" s="30"/>
      <c r="HC169" s="30"/>
      <c r="HD169" s="30"/>
      <c r="HE169" s="30"/>
      <c r="HF169" s="30"/>
      <c r="HG169" s="30"/>
      <c r="HH169" s="30"/>
      <c r="HI169" s="30"/>
      <c r="HJ169" s="30"/>
      <c r="HK169" s="30"/>
      <c r="HL169" s="30"/>
      <c r="HM169" s="30"/>
      <c r="HN169" s="30"/>
      <c r="HO169" s="30"/>
      <c r="HP169" s="30"/>
      <c r="HQ169" s="30"/>
      <c r="HR169" s="30"/>
      <c r="HS169" s="30"/>
      <c r="HT169" s="30"/>
      <c r="HU169" s="30"/>
      <c r="HV169" s="30"/>
      <c r="HW169" s="30"/>
      <c r="HX169" s="30"/>
      <c r="HY169" s="30"/>
      <c r="HZ169" s="30"/>
      <c r="IA169" s="30"/>
      <c r="IB169" s="30"/>
      <c r="IC169" s="30"/>
      <c r="ID169" s="30"/>
      <c r="IE169" s="30"/>
      <c r="IF169" s="30"/>
      <c r="IG169" s="30"/>
      <c r="IH169" s="30"/>
      <c r="II169" s="30"/>
      <c r="IJ169" s="30"/>
      <c r="IK169" s="30"/>
      <c r="IL169" s="30"/>
      <c r="IM169" s="30"/>
      <c r="IN169" s="30"/>
      <c r="IO169" s="30"/>
      <c r="IP169" s="30"/>
      <c r="IQ169" s="30"/>
      <c r="IR169" s="31"/>
      <c r="IS169" s="31"/>
      <c r="IT169" s="31"/>
      <c r="IU169" s="31"/>
      <c r="IV169" s="31"/>
    </row>
    <row r="170" ht="11.25" customHeight="1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>
        <v>54.0</v>
      </c>
      <c r="U170" s="29" t="s">
        <v>311</v>
      </c>
      <c r="V170" s="29" t="s">
        <v>312</v>
      </c>
      <c r="W170" s="29" t="s">
        <v>313</v>
      </c>
      <c r="X170" s="29" t="s">
        <v>147</v>
      </c>
      <c r="Y170" s="29" t="s">
        <v>147</v>
      </c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  <c r="BC170" s="29"/>
      <c r="BD170" s="29"/>
      <c r="BE170" s="29"/>
      <c r="BF170" s="29"/>
      <c r="BG170" s="29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29"/>
      <c r="BX170" s="29"/>
      <c r="BY170" s="29"/>
      <c r="BZ170" s="29"/>
      <c r="CA170" s="29"/>
      <c r="CB170" s="29"/>
      <c r="CC170" s="29"/>
      <c r="CD170" s="29"/>
      <c r="CE170" s="29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30"/>
      <c r="CY170" s="30"/>
      <c r="CZ170" s="30"/>
      <c r="DA170" s="30"/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30"/>
      <c r="DX170" s="3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30"/>
      <c r="FL170" s="3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0"/>
      <c r="FZ170" s="30"/>
      <c r="GA170" s="30"/>
      <c r="GB170" s="30"/>
      <c r="GC170" s="30"/>
      <c r="GD170" s="30"/>
      <c r="GE170" s="30"/>
      <c r="GF170" s="30"/>
      <c r="GG170" s="30"/>
      <c r="GH170" s="30"/>
      <c r="GI170" s="30"/>
      <c r="GJ170" s="30"/>
      <c r="GK170" s="30"/>
      <c r="GL170" s="30"/>
      <c r="GM170" s="30"/>
      <c r="GN170" s="30"/>
      <c r="GO170" s="30"/>
      <c r="GP170" s="30"/>
      <c r="GQ170" s="30"/>
      <c r="GR170" s="30"/>
      <c r="GS170" s="30"/>
      <c r="GT170" s="30"/>
      <c r="GU170" s="30"/>
      <c r="GV170" s="30"/>
      <c r="GW170" s="30"/>
      <c r="GX170" s="30"/>
      <c r="GY170" s="30"/>
      <c r="GZ170" s="30"/>
      <c r="HA170" s="30"/>
      <c r="HB170" s="30"/>
      <c r="HC170" s="30"/>
      <c r="HD170" s="30"/>
      <c r="HE170" s="30"/>
      <c r="HF170" s="30"/>
      <c r="HG170" s="30"/>
      <c r="HH170" s="30"/>
      <c r="HI170" s="30"/>
      <c r="HJ170" s="30"/>
      <c r="HK170" s="30"/>
      <c r="HL170" s="30"/>
      <c r="HM170" s="30"/>
      <c r="HN170" s="30"/>
      <c r="HO170" s="30"/>
      <c r="HP170" s="30"/>
      <c r="HQ170" s="30"/>
      <c r="HR170" s="30"/>
      <c r="HS170" s="30"/>
      <c r="HT170" s="30"/>
      <c r="HU170" s="30"/>
      <c r="HV170" s="30"/>
      <c r="HW170" s="30"/>
      <c r="HX170" s="30"/>
      <c r="HY170" s="30"/>
      <c r="HZ170" s="30"/>
      <c r="IA170" s="30"/>
      <c r="IB170" s="30"/>
      <c r="IC170" s="30"/>
      <c r="ID170" s="30"/>
      <c r="IE170" s="30"/>
      <c r="IF170" s="30"/>
      <c r="IG170" s="30"/>
      <c r="IH170" s="30"/>
      <c r="II170" s="30"/>
      <c r="IJ170" s="30"/>
      <c r="IK170" s="30"/>
      <c r="IL170" s="30"/>
      <c r="IM170" s="30"/>
      <c r="IN170" s="30"/>
      <c r="IO170" s="30"/>
      <c r="IP170" s="30"/>
      <c r="IQ170" s="30"/>
      <c r="IR170" s="31"/>
      <c r="IS170" s="31"/>
      <c r="IT170" s="31"/>
      <c r="IU170" s="31"/>
      <c r="IV170" s="31"/>
    </row>
    <row r="171" ht="11.25" customHeight="1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>
        <v>55.0</v>
      </c>
      <c r="U171" s="29" t="s">
        <v>314</v>
      </c>
      <c r="V171" s="29" t="s">
        <v>315</v>
      </c>
      <c r="W171" s="29" t="s">
        <v>316</v>
      </c>
      <c r="X171" s="29" t="s">
        <v>147</v>
      </c>
      <c r="Y171" s="29" t="s">
        <v>147</v>
      </c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  <c r="BC171" s="29"/>
      <c r="BD171" s="29"/>
      <c r="BE171" s="29"/>
      <c r="BF171" s="29"/>
      <c r="BG171" s="29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29"/>
      <c r="BX171" s="29"/>
      <c r="BY171" s="29"/>
      <c r="BZ171" s="29"/>
      <c r="CA171" s="29"/>
      <c r="CB171" s="29"/>
      <c r="CC171" s="29"/>
      <c r="CD171" s="29"/>
      <c r="CE171" s="29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30"/>
      <c r="CY171" s="30"/>
      <c r="CZ171" s="30"/>
      <c r="DA171" s="30"/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30"/>
      <c r="DX171" s="3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30"/>
      <c r="ER171" s="3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30"/>
      <c r="FL171" s="3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0"/>
      <c r="FZ171" s="30"/>
      <c r="GA171" s="30"/>
      <c r="GB171" s="30"/>
      <c r="GC171" s="30"/>
      <c r="GD171" s="30"/>
      <c r="GE171" s="30"/>
      <c r="GF171" s="30"/>
      <c r="GG171" s="30"/>
      <c r="GH171" s="30"/>
      <c r="GI171" s="30"/>
      <c r="GJ171" s="30"/>
      <c r="GK171" s="30"/>
      <c r="GL171" s="30"/>
      <c r="GM171" s="30"/>
      <c r="GN171" s="30"/>
      <c r="GO171" s="30"/>
      <c r="GP171" s="30"/>
      <c r="GQ171" s="30"/>
      <c r="GR171" s="30"/>
      <c r="GS171" s="30"/>
      <c r="GT171" s="30"/>
      <c r="GU171" s="30"/>
      <c r="GV171" s="30"/>
      <c r="GW171" s="30"/>
      <c r="GX171" s="30"/>
      <c r="GY171" s="30"/>
      <c r="GZ171" s="30"/>
      <c r="HA171" s="30"/>
      <c r="HB171" s="30"/>
      <c r="HC171" s="30"/>
      <c r="HD171" s="30"/>
      <c r="HE171" s="30"/>
      <c r="HF171" s="30"/>
      <c r="HG171" s="30"/>
      <c r="HH171" s="30"/>
      <c r="HI171" s="30"/>
      <c r="HJ171" s="30"/>
      <c r="HK171" s="30"/>
      <c r="HL171" s="30"/>
      <c r="HM171" s="30"/>
      <c r="HN171" s="30"/>
      <c r="HO171" s="30"/>
      <c r="HP171" s="30"/>
      <c r="HQ171" s="30"/>
      <c r="HR171" s="30"/>
      <c r="HS171" s="30"/>
      <c r="HT171" s="30"/>
      <c r="HU171" s="30"/>
      <c r="HV171" s="30"/>
      <c r="HW171" s="30"/>
      <c r="HX171" s="30"/>
      <c r="HY171" s="30"/>
      <c r="HZ171" s="30"/>
      <c r="IA171" s="30"/>
      <c r="IB171" s="30"/>
      <c r="IC171" s="30"/>
      <c r="ID171" s="30"/>
      <c r="IE171" s="30"/>
      <c r="IF171" s="30"/>
      <c r="IG171" s="30"/>
      <c r="IH171" s="30"/>
      <c r="II171" s="30"/>
      <c r="IJ171" s="30"/>
      <c r="IK171" s="30"/>
      <c r="IL171" s="30"/>
      <c r="IM171" s="30"/>
      <c r="IN171" s="30"/>
      <c r="IO171" s="30"/>
      <c r="IP171" s="30"/>
      <c r="IQ171" s="30"/>
      <c r="IR171" s="31"/>
      <c r="IS171" s="31"/>
      <c r="IT171" s="31"/>
      <c r="IU171" s="31"/>
      <c r="IV171" s="31"/>
    </row>
    <row r="172" ht="11.25" customHeight="1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>
        <v>56.0</v>
      </c>
      <c r="U172" s="29" t="s">
        <v>317</v>
      </c>
      <c r="V172" s="29" t="s">
        <v>318</v>
      </c>
      <c r="W172" s="29" t="s">
        <v>319</v>
      </c>
      <c r="X172" s="29" t="s">
        <v>320</v>
      </c>
      <c r="Y172" s="29" t="s">
        <v>321</v>
      </c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  <c r="BC172" s="29"/>
      <c r="BD172" s="29"/>
      <c r="BE172" s="29"/>
      <c r="BF172" s="29"/>
      <c r="BG172" s="29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29"/>
      <c r="BX172" s="29"/>
      <c r="BY172" s="29"/>
      <c r="BZ172" s="29"/>
      <c r="CA172" s="29"/>
      <c r="CB172" s="29"/>
      <c r="CC172" s="29"/>
      <c r="CD172" s="29"/>
      <c r="CE172" s="29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30"/>
      <c r="CY172" s="30"/>
      <c r="CZ172" s="30"/>
      <c r="DA172" s="30"/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0"/>
      <c r="EZ172" s="30"/>
      <c r="FA172" s="30"/>
      <c r="FB172" s="30"/>
      <c r="FC172" s="30"/>
      <c r="FD172" s="30"/>
      <c r="FE172" s="30"/>
      <c r="FF172" s="30"/>
      <c r="FG172" s="30"/>
      <c r="FH172" s="30"/>
      <c r="FI172" s="30"/>
      <c r="FJ172" s="30"/>
      <c r="FK172" s="30"/>
      <c r="FL172" s="30"/>
      <c r="FM172" s="30"/>
      <c r="FN172" s="30"/>
      <c r="FO172" s="30"/>
      <c r="FP172" s="30"/>
      <c r="FQ172" s="30"/>
      <c r="FR172" s="30"/>
      <c r="FS172" s="30"/>
      <c r="FT172" s="30"/>
      <c r="FU172" s="30"/>
      <c r="FV172" s="30"/>
      <c r="FW172" s="30"/>
      <c r="FX172" s="30"/>
      <c r="FY172" s="30"/>
      <c r="FZ172" s="30"/>
      <c r="GA172" s="30"/>
      <c r="GB172" s="30"/>
      <c r="GC172" s="30"/>
      <c r="GD172" s="30"/>
      <c r="GE172" s="30"/>
      <c r="GF172" s="30"/>
      <c r="GG172" s="30"/>
      <c r="GH172" s="30"/>
      <c r="GI172" s="30"/>
      <c r="GJ172" s="30"/>
      <c r="GK172" s="30"/>
      <c r="GL172" s="30"/>
      <c r="GM172" s="30"/>
      <c r="GN172" s="30"/>
      <c r="GO172" s="30"/>
      <c r="GP172" s="30"/>
      <c r="GQ172" s="30"/>
      <c r="GR172" s="30"/>
      <c r="GS172" s="30"/>
      <c r="GT172" s="30"/>
      <c r="GU172" s="30"/>
      <c r="GV172" s="30"/>
      <c r="GW172" s="30"/>
      <c r="GX172" s="30"/>
      <c r="GY172" s="30"/>
      <c r="GZ172" s="30"/>
      <c r="HA172" s="30"/>
      <c r="HB172" s="30"/>
      <c r="HC172" s="30"/>
      <c r="HD172" s="30"/>
      <c r="HE172" s="30"/>
      <c r="HF172" s="30"/>
      <c r="HG172" s="30"/>
      <c r="HH172" s="30"/>
      <c r="HI172" s="30"/>
      <c r="HJ172" s="30"/>
      <c r="HK172" s="30"/>
      <c r="HL172" s="30"/>
      <c r="HM172" s="30"/>
      <c r="HN172" s="30"/>
      <c r="HO172" s="30"/>
      <c r="HP172" s="30"/>
      <c r="HQ172" s="30"/>
      <c r="HR172" s="30"/>
      <c r="HS172" s="30"/>
      <c r="HT172" s="30"/>
      <c r="HU172" s="30"/>
      <c r="HV172" s="30"/>
      <c r="HW172" s="30"/>
      <c r="HX172" s="30"/>
      <c r="HY172" s="30"/>
      <c r="HZ172" s="30"/>
      <c r="IA172" s="30"/>
      <c r="IB172" s="30"/>
      <c r="IC172" s="30"/>
      <c r="ID172" s="30"/>
      <c r="IE172" s="30"/>
      <c r="IF172" s="30"/>
      <c r="IG172" s="30"/>
      <c r="IH172" s="30"/>
      <c r="II172" s="30"/>
      <c r="IJ172" s="30"/>
      <c r="IK172" s="30"/>
      <c r="IL172" s="30"/>
      <c r="IM172" s="30"/>
      <c r="IN172" s="30"/>
      <c r="IO172" s="30"/>
      <c r="IP172" s="30"/>
      <c r="IQ172" s="30"/>
      <c r="IR172" s="31"/>
      <c r="IS172" s="31"/>
      <c r="IT172" s="31"/>
      <c r="IU172" s="31"/>
      <c r="IV172" s="31"/>
    </row>
    <row r="173" ht="11.25" customHeight="1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>
        <v>57.0</v>
      </c>
      <c r="U173" s="29" t="s">
        <v>322</v>
      </c>
      <c r="V173" s="29" t="s">
        <v>323</v>
      </c>
      <c r="W173" s="29" t="s">
        <v>324</v>
      </c>
      <c r="X173" s="29" t="s">
        <v>325</v>
      </c>
      <c r="Y173" s="29" t="s">
        <v>147</v>
      </c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  <c r="BC173" s="29"/>
      <c r="BD173" s="29"/>
      <c r="BE173" s="29"/>
      <c r="BF173" s="29"/>
      <c r="BG173" s="29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30"/>
      <c r="FL173" s="3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0"/>
      <c r="FZ173" s="30"/>
      <c r="GA173" s="30"/>
      <c r="GB173" s="30"/>
      <c r="GC173" s="30"/>
      <c r="GD173" s="30"/>
      <c r="GE173" s="30"/>
      <c r="GF173" s="30"/>
      <c r="GG173" s="30"/>
      <c r="GH173" s="30"/>
      <c r="GI173" s="30"/>
      <c r="GJ173" s="30"/>
      <c r="GK173" s="30"/>
      <c r="GL173" s="30"/>
      <c r="GM173" s="30"/>
      <c r="GN173" s="30"/>
      <c r="GO173" s="30"/>
      <c r="GP173" s="30"/>
      <c r="GQ173" s="30"/>
      <c r="GR173" s="30"/>
      <c r="GS173" s="30"/>
      <c r="GT173" s="30"/>
      <c r="GU173" s="30"/>
      <c r="GV173" s="30"/>
      <c r="GW173" s="30"/>
      <c r="GX173" s="30"/>
      <c r="GY173" s="30"/>
      <c r="GZ173" s="30"/>
      <c r="HA173" s="30"/>
      <c r="HB173" s="30"/>
      <c r="HC173" s="30"/>
      <c r="HD173" s="30"/>
      <c r="HE173" s="30"/>
      <c r="HF173" s="30"/>
      <c r="HG173" s="30"/>
      <c r="HH173" s="30"/>
      <c r="HI173" s="30"/>
      <c r="HJ173" s="30"/>
      <c r="HK173" s="30"/>
      <c r="HL173" s="30"/>
      <c r="HM173" s="30"/>
      <c r="HN173" s="30"/>
      <c r="HO173" s="30"/>
      <c r="HP173" s="30"/>
      <c r="HQ173" s="30"/>
      <c r="HR173" s="30"/>
      <c r="HS173" s="30"/>
      <c r="HT173" s="30"/>
      <c r="HU173" s="30"/>
      <c r="HV173" s="30"/>
      <c r="HW173" s="30"/>
      <c r="HX173" s="30"/>
      <c r="HY173" s="30"/>
      <c r="HZ173" s="30"/>
      <c r="IA173" s="30"/>
      <c r="IB173" s="30"/>
      <c r="IC173" s="30"/>
      <c r="ID173" s="30"/>
      <c r="IE173" s="30"/>
      <c r="IF173" s="30"/>
      <c r="IG173" s="30"/>
      <c r="IH173" s="30"/>
      <c r="II173" s="30"/>
      <c r="IJ173" s="30"/>
      <c r="IK173" s="30"/>
      <c r="IL173" s="30"/>
      <c r="IM173" s="30"/>
      <c r="IN173" s="30"/>
      <c r="IO173" s="30"/>
      <c r="IP173" s="30"/>
      <c r="IQ173" s="30"/>
      <c r="IR173" s="31"/>
      <c r="IS173" s="31"/>
      <c r="IT173" s="31"/>
      <c r="IU173" s="31"/>
      <c r="IV173" s="31"/>
    </row>
    <row r="174" ht="11.25" customHeight="1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>
        <v>58.0</v>
      </c>
      <c r="U174" s="29" t="s">
        <v>326</v>
      </c>
      <c r="V174" s="29" t="s">
        <v>327</v>
      </c>
      <c r="W174" s="29" t="s">
        <v>147</v>
      </c>
      <c r="X174" s="29" t="s">
        <v>147</v>
      </c>
      <c r="Y174" s="29" t="s">
        <v>147</v>
      </c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29"/>
      <c r="BX174" s="29"/>
      <c r="BY174" s="29"/>
      <c r="BZ174" s="29"/>
      <c r="CA174" s="29"/>
      <c r="CB174" s="29"/>
      <c r="CC174" s="29"/>
      <c r="CD174" s="29"/>
      <c r="CE174" s="29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30"/>
      <c r="CY174" s="30"/>
      <c r="CZ174" s="30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30"/>
      <c r="FL174" s="3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0"/>
      <c r="FZ174" s="30"/>
      <c r="GA174" s="30"/>
      <c r="GB174" s="30"/>
      <c r="GC174" s="30"/>
      <c r="GD174" s="30"/>
      <c r="GE174" s="30"/>
      <c r="GF174" s="30"/>
      <c r="GG174" s="30"/>
      <c r="GH174" s="30"/>
      <c r="GI174" s="30"/>
      <c r="GJ174" s="30"/>
      <c r="GK174" s="30"/>
      <c r="GL174" s="30"/>
      <c r="GM174" s="30"/>
      <c r="GN174" s="30"/>
      <c r="GO174" s="30"/>
      <c r="GP174" s="30"/>
      <c r="GQ174" s="30"/>
      <c r="GR174" s="30"/>
      <c r="GS174" s="30"/>
      <c r="GT174" s="30"/>
      <c r="GU174" s="30"/>
      <c r="GV174" s="30"/>
      <c r="GW174" s="30"/>
      <c r="GX174" s="30"/>
      <c r="GY174" s="30"/>
      <c r="GZ174" s="30"/>
      <c r="HA174" s="30"/>
      <c r="HB174" s="30"/>
      <c r="HC174" s="30"/>
      <c r="HD174" s="30"/>
      <c r="HE174" s="30"/>
      <c r="HF174" s="30"/>
      <c r="HG174" s="30"/>
      <c r="HH174" s="30"/>
      <c r="HI174" s="30"/>
      <c r="HJ174" s="30"/>
      <c r="HK174" s="30"/>
      <c r="HL174" s="30"/>
      <c r="HM174" s="30"/>
      <c r="HN174" s="30"/>
      <c r="HO174" s="30"/>
      <c r="HP174" s="30"/>
      <c r="HQ174" s="30"/>
      <c r="HR174" s="30"/>
      <c r="HS174" s="30"/>
      <c r="HT174" s="30"/>
      <c r="HU174" s="30"/>
      <c r="HV174" s="30"/>
      <c r="HW174" s="30"/>
      <c r="HX174" s="30"/>
      <c r="HY174" s="30"/>
      <c r="HZ174" s="30"/>
      <c r="IA174" s="30"/>
      <c r="IB174" s="30"/>
      <c r="IC174" s="30"/>
      <c r="ID174" s="30"/>
      <c r="IE174" s="30"/>
      <c r="IF174" s="30"/>
      <c r="IG174" s="30"/>
      <c r="IH174" s="30"/>
      <c r="II174" s="30"/>
      <c r="IJ174" s="30"/>
      <c r="IK174" s="30"/>
      <c r="IL174" s="30"/>
      <c r="IM174" s="30"/>
      <c r="IN174" s="30"/>
      <c r="IO174" s="30"/>
      <c r="IP174" s="30"/>
      <c r="IQ174" s="30"/>
      <c r="IR174" s="31"/>
      <c r="IS174" s="31"/>
      <c r="IT174" s="31"/>
      <c r="IU174" s="31"/>
      <c r="IV174" s="31"/>
    </row>
    <row r="175" ht="11.25" customHeight="1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>
        <v>59.0</v>
      </c>
      <c r="U175" s="29" t="s">
        <v>328</v>
      </c>
      <c r="V175" s="29" t="s">
        <v>329</v>
      </c>
      <c r="W175" s="29" t="s">
        <v>147</v>
      </c>
      <c r="X175" s="29" t="s">
        <v>147</v>
      </c>
      <c r="Y175" s="29" t="s">
        <v>147</v>
      </c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  <c r="BC175" s="29"/>
      <c r="BD175" s="29"/>
      <c r="BE175" s="29"/>
      <c r="BF175" s="29"/>
      <c r="BG175" s="29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29"/>
      <c r="BX175" s="29"/>
      <c r="BY175" s="29"/>
      <c r="BZ175" s="29"/>
      <c r="CA175" s="29"/>
      <c r="CB175" s="29"/>
      <c r="CC175" s="29"/>
      <c r="CD175" s="29"/>
      <c r="CE175" s="29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30"/>
      <c r="CY175" s="30"/>
      <c r="CZ175" s="30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/>
      <c r="DW175" s="30"/>
      <c r="DX175" s="30"/>
      <c r="DY175" s="30"/>
      <c r="DZ175" s="30"/>
      <c r="EA175" s="30"/>
      <c r="EB175" s="30"/>
      <c r="EC175" s="30"/>
      <c r="ED175" s="30"/>
      <c r="EE175" s="30"/>
      <c r="EF175" s="30"/>
      <c r="EG175" s="30"/>
      <c r="EH175" s="30"/>
      <c r="EI175" s="30"/>
      <c r="EJ175" s="30"/>
      <c r="EK175" s="30"/>
      <c r="EL175" s="30"/>
      <c r="EM175" s="30"/>
      <c r="EN175" s="30"/>
      <c r="EO175" s="30"/>
      <c r="EP175" s="30"/>
      <c r="EQ175" s="30"/>
      <c r="ER175" s="30"/>
      <c r="ES175" s="30"/>
      <c r="ET175" s="30"/>
      <c r="EU175" s="30"/>
      <c r="EV175" s="30"/>
      <c r="EW175" s="30"/>
      <c r="EX175" s="30"/>
      <c r="EY175" s="30"/>
      <c r="EZ175" s="30"/>
      <c r="FA175" s="30"/>
      <c r="FB175" s="30"/>
      <c r="FC175" s="30"/>
      <c r="FD175" s="30"/>
      <c r="FE175" s="30"/>
      <c r="FF175" s="30"/>
      <c r="FG175" s="30"/>
      <c r="FH175" s="30"/>
      <c r="FI175" s="30"/>
      <c r="FJ175" s="30"/>
      <c r="FK175" s="30"/>
      <c r="FL175" s="30"/>
      <c r="FM175" s="30"/>
      <c r="FN175" s="30"/>
      <c r="FO175" s="30"/>
      <c r="FP175" s="30"/>
      <c r="FQ175" s="30"/>
      <c r="FR175" s="30"/>
      <c r="FS175" s="30"/>
      <c r="FT175" s="30"/>
      <c r="FU175" s="30"/>
      <c r="FV175" s="30"/>
      <c r="FW175" s="30"/>
      <c r="FX175" s="30"/>
      <c r="FY175" s="30"/>
      <c r="FZ175" s="30"/>
      <c r="GA175" s="30"/>
      <c r="GB175" s="30"/>
      <c r="GC175" s="30"/>
      <c r="GD175" s="30"/>
      <c r="GE175" s="30"/>
      <c r="GF175" s="30"/>
      <c r="GG175" s="30"/>
      <c r="GH175" s="30"/>
      <c r="GI175" s="30"/>
      <c r="GJ175" s="30"/>
      <c r="GK175" s="30"/>
      <c r="GL175" s="30"/>
      <c r="GM175" s="30"/>
      <c r="GN175" s="30"/>
      <c r="GO175" s="30"/>
      <c r="GP175" s="30"/>
      <c r="GQ175" s="30"/>
      <c r="GR175" s="30"/>
      <c r="GS175" s="30"/>
      <c r="GT175" s="30"/>
      <c r="GU175" s="30"/>
      <c r="GV175" s="30"/>
      <c r="GW175" s="30"/>
      <c r="GX175" s="30"/>
      <c r="GY175" s="30"/>
      <c r="GZ175" s="30"/>
      <c r="HA175" s="30"/>
      <c r="HB175" s="30"/>
      <c r="HC175" s="30"/>
      <c r="HD175" s="30"/>
      <c r="HE175" s="30"/>
      <c r="HF175" s="30"/>
      <c r="HG175" s="30"/>
      <c r="HH175" s="30"/>
      <c r="HI175" s="30"/>
      <c r="HJ175" s="30"/>
      <c r="HK175" s="30"/>
      <c r="HL175" s="30"/>
      <c r="HM175" s="30"/>
      <c r="HN175" s="30"/>
      <c r="HO175" s="30"/>
      <c r="HP175" s="30"/>
      <c r="HQ175" s="30"/>
      <c r="HR175" s="30"/>
      <c r="HS175" s="30"/>
      <c r="HT175" s="30"/>
      <c r="HU175" s="30"/>
      <c r="HV175" s="30"/>
      <c r="HW175" s="30"/>
      <c r="HX175" s="30"/>
      <c r="HY175" s="30"/>
      <c r="HZ175" s="30"/>
      <c r="IA175" s="30"/>
      <c r="IB175" s="30"/>
      <c r="IC175" s="30"/>
      <c r="ID175" s="30"/>
      <c r="IE175" s="30"/>
      <c r="IF175" s="30"/>
      <c r="IG175" s="30"/>
      <c r="IH175" s="30"/>
      <c r="II175" s="30"/>
      <c r="IJ175" s="30"/>
      <c r="IK175" s="30"/>
      <c r="IL175" s="30"/>
      <c r="IM175" s="30"/>
      <c r="IN175" s="30"/>
      <c r="IO175" s="30"/>
      <c r="IP175" s="30"/>
      <c r="IQ175" s="30"/>
      <c r="IR175" s="31"/>
      <c r="IS175" s="31"/>
      <c r="IT175" s="31"/>
      <c r="IU175" s="31"/>
      <c r="IV175" s="31"/>
    </row>
    <row r="176" ht="11.25" customHeight="1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>
        <v>60.0</v>
      </c>
      <c r="U176" s="29" t="s">
        <v>330</v>
      </c>
      <c r="V176" s="29" t="s">
        <v>331</v>
      </c>
      <c r="W176" s="29" t="s">
        <v>332</v>
      </c>
      <c r="X176" s="29" t="s">
        <v>147</v>
      </c>
      <c r="Y176" s="29" t="s">
        <v>147</v>
      </c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  <c r="BC176" s="29"/>
      <c r="BD176" s="29"/>
      <c r="BE176" s="29"/>
      <c r="BF176" s="29"/>
      <c r="BG176" s="29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29"/>
      <c r="BX176" s="29"/>
      <c r="BY176" s="29"/>
      <c r="BZ176" s="29"/>
      <c r="CA176" s="29"/>
      <c r="CB176" s="29"/>
      <c r="CC176" s="29"/>
      <c r="CD176" s="29"/>
      <c r="CE176" s="29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30"/>
      <c r="CY176" s="30"/>
      <c r="CZ176" s="30"/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0"/>
      <c r="DX176" s="30"/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0"/>
      <c r="EK176" s="30"/>
      <c r="EL176" s="30"/>
      <c r="EM176" s="30"/>
      <c r="EN176" s="30"/>
      <c r="EO176" s="30"/>
      <c r="EP176" s="30"/>
      <c r="EQ176" s="30"/>
      <c r="ER176" s="30"/>
      <c r="ES176" s="30"/>
      <c r="ET176" s="30"/>
      <c r="EU176" s="30"/>
      <c r="EV176" s="30"/>
      <c r="EW176" s="30"/>
      <c r="EX176" s="30"/>
      <c r="EY176" s="30"/>
      <c r="EZ176" s="30"/>
      <c r="FA176" s="30"/>
      <c r="FB176" s="30"/>
      <c r="FC176" s="30"/>
      <c r="FD176" s="30"/>
      <c r="FE176" s="30"/>
      <c r="FF176" s="30"/>
      <c r="FG176" s="30"/>
      <c r="FH176" s="30"/>
      <c r="FI176" s="30"/>
      <c r="FJ176" s="30"/>
      <c r="FK176" s="30"/>
      <c r="FL176" s="30"/>
      <c r="FM176" s="30"/>
      <c r="FN176" s="30"/>
      <c r="FO176" s="30"/>
      <c r="FP176" s="30"/>
      <c r="FQ176" s="30"/>
      <c r="FR176" s="30"/>
      <c r="FS176" s="30"/>
      <c r="FT176" s="30"/>
      <c r="FU176" s="30"/>
      <c r="FV176" s="30"/>
      <c r="FW176" s="30"/>
      <c r="FX176" s="30"/>
      <c r="FY176" s="30"/>
      <c r="FZ176" s="30"/>
      <c r="GA176" s="30"/>
      <c r="GB176" s="30"/>
      <c r="GC176" s="30"/>
      <c r="GD176" s="30"/>
      <c r="GE176" s="30"/>
      <c r="GF176" s="30"/>
      <c r="GG176" s="30"/>
      <c r="GH176" s="30"/>
      <c r="GI176" s="30"/>
      <c r="GJ176" s="30"/>
      <c r="GK176" s="30"/>
      <c r="GL176" s="30"/>
      <c r="GM176" s="30"/>
      <c r="GN176" s="30"/>
      <c r="GO176" s="30"/>
      <c r="GP176" s="30"/>
      <c r="GQ176" s="30"/>
      <c r="GR176" s="30"/>
      <c r="GS176" s="30"/>
      <c r="GT176" s="30"/>
      <c r="GU176" s="30"/>
      <c r="GV176" s="30"/>
      <c r="GW176" s="30"/>
      <c r="GX176" s="30"/>
      <c r="GY176" s="30"/>
      <c r="GZ176" s="30"/>
      <c r="HA176" s="30"/>
      <c r="HB176" s="30"/>
      <c r="HC176" s="30"/>
      <c r="HD176" s="30"/>
      <c r="HE176" s="30"/>
      <c r="HF176" s="30"/>
      <c r="HG176" s="30"/>
      <c r="HH176" s="30"/>
      <c r="HI176" s="30"/>
      <c r="HJ176" s="30"/>
      <c r="HK176" s="30"/>
      <c r="HL176" s="30"/>
      <c r="HM176" s="30"/>
      <c r="HN176" s="30"/>
      <c r="HO176" s="30"/>
      <c r="HP176" s="30"/>
      <c r="HQ176" s="30"/>
      <c r="HR176" s="30"/>
      <c r="HS176" s="30"/>
      <c r="HT176" s="30"/>
      <c r="HU176" s="30"/>
      <c r="HV176" s="30"/>
      <c r="HW176" s="30"/>
      <c r="HX176" s="30"/>
      <c r="HY176" s="30"/>
      <c r="HZ176" s="30"/>
      <c r="IA176" s="30"/>
      <c r="IB176" s="30"/>
      <c r="IC176" s="30"/>
      <c r="ID176" s="30"/>
      <c r="IE176" s="30"/>
      <c r="IF176" s="30"/>
      <c r="IG176" s="30"/>
      <c r="IH176" s="30"/>
      <c r="II176" s="30"/>
      <c r="IJ176" s="30"/>
      <c r="IK176" s="30"/>
      <c r="IL176" s="30"/>
      <c r="IM176" s="30"/>
      <c r="IN176" s="30"/>
      <c r="IO176" s="30"/>
      <c r="IP176" s="30"/>
      <c r="IQ176" s="30"/>
      <c r="IR176" s="31"/>
      <c r="IS176" s="31"/>
      <c r="IT176" s="31"/>
      <c r="IU176" s="31"/>
      <c r="IV176" s="31"/>
    </row>
    <row r="177" ht="11.25" customHeight="1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>
        <v>61.0</v>
      </c>
      <c r="U177" s="29" t="s">
        <v>333</v>
      </c>
      <c r="V177" s="29" t="s">
        <v>334</v>
      </c>
      <c r="W177" s="29" t="s">
        <v>335</v>
      </c>
      <c r="X177" s="29" t="s">
        <v>336</v>
      </c>
      <c r="Y177" s="29" t="s">
        <v>337</v>
      </c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  <c r="BC177" s="29"/>
      <c r="BD177" s="29"/>
      <c r="BE177" s="29"/>
      <c r="BF177" s="29"/>
      <c r="BG177" s="29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29"/>
      <c r="BX177" s="29"/>
      <c r="BY177" s="29"/>
      <c r="BZ177" s="29"/>
      <c r="CA177" s="29"/>
      <c r="CB177" s="29"/>
      <c r="CC177" s="29"/>
      <c r="CD177" s="29"/>
      <c r="CE177" s="29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0"/>
      <c r="DX177" s="30"/>
      <c r="DY177" s="30"/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0"/>
      <c r="EK177" s="30"/>
      <c r="EL177" s="30"/>
      <c r="EM177" s="30"/>
      <c r="EN177" s="30"/>
      <c r="EO177" s="30"/>
      <c r="EP177" s="30"/>
      <c r="EQ177" s="30"/>
      <c r="ER177" s="30"/>
      <c r="ES177" s="30"/>
      <c r="ET177" s="30"/>
      <c r="EU177" s="30"/>
      <c r="EV177" s="30"/>
      <c r="EW177" s="30"/>
      <c r="EX177" s="30"/>
      <c r="EY177" s="30"/>
      <c r="EZ177" s="30"/>
      <c r="FA177" s="30"/>
      <c r="FB177" s="30"/>
      <c r="FC177" s="30"/>
      <c r="FD177" s="30"/>
      <c r="FE177" s="30"/>
      <c r="FF177" s="30"/>
      <c r="FG177" s="30"/>
      <c r="FH177" s="30"/>
      <c r="FI177" s="30"/>
      <c r="FJ177" s="30"/>
      <c r="FK177" s="30"/>
      <c r="FL177" s="30"/>
      <c r="FM177" s="30"/>
      <c r="FN177" s="30"/>
      <c r="FO177" s="30"/>
      <c r="FP177" s="30"/>
      <c r="FQ177" s="30"/>
      <c r="FR177" s="30"/>
      <c r="FS177" s="30"/>
      <c r="FT177" s="30"/>
      <c r="FU177" s="30"/>
      <c r="FV177" s="30"/>
      <c r="FW177" s="30"/>
      <c r="FX177" s="30"/>
      <c r="FY177" s="30"/>
      <c r="FZ177" s="30"/>
      <c r="GA177" s="30"/>
      <c r="GB177" s="30"/>
      <c r="GC177" s="30"/>
      <c r="GD177" s="30"/>
      <c r="GE177" s="30"/>
      <c r="GF177" s="30"/>
      <c r="GG177" s="30"/>
      <c r="GH177" s="30"/>
      <c r="GI177" s="30"/>
      <c r="GJ177" s="30"/>
      <c r="GK177" s="30"/>
      <c r="GL177" s="30"/>
      <c r="GM177" s="30"/>
      <c r="GN177" s="30"/>
      <c r="GO177" s="30"/>
      <c r="GP177" s="30"/>
      <c r="GQ177" s="30"/>
      <c r="GR177" s="30"/>
      <c r="GS177" s="30"/>
      <c r="GT177" s="30"/>
      <c r="GU177" s="30"/>
      <c r="GV177" s="30"/>
      <c r="GW177" s="30"/>
      <c r="GX177" s="30"/>
      <c r="GY177" s="30"/>
      <c r="GZ177" s="30"/>
      <c r="HA177" s="30"/>
      <c r="HB177" s="30"/>
      <c r="HC177" s="30"/>
      <c r="HD177" s="30"/>
      <c r="HE177" s="30"/>
      <c r="HF177" s="30"/>
      <c r="HG177" s="30"/>
      <c r="HH177" s="30"/>
      <c r="HI177" s="30"/>
      <c r="HJ177" s="30"/>
      <c r="HK177" s="30"/>
      <c r="HL177" s="30"/>
      <c r="HM177" s="30"/>
      <c r="HN177" s="30"/>
      <c r="HO177" s="30"/>
      <c r="HP177" s="30"/>
      <c r="HQ177" s="30"/>
      <c r="HR177" s="30"/>
      <c r="HS177" s="30"/>
      <c r="HT177" s="30"/>
      <c r="HU177" s="30"/>
      <c r="HV177" s="30"/>
      <c r="HW177" s="30"/>
      <c r="HX177" s="30"/>
      <c r="HY177" s="30"/>
      <c r="HZ177" s="30"/>
      <c r="IA177" s="30"/>
      <c r="IB177" s="30"/>
      <c r="IC177" s="30"/>
      <c r="ID177" s="30"/>
      <c r="IE177" s="30"/>
      <c r="IF177" s="30"/>
      <c r="IG177" s="30"/>
      <c r="IH177" s="30"/>
      <c r="II177" s="30"/>
      <c r="IJ177" s="30"/>
      <c r="IK177" s="30"/>
      <c r="IL177" s="30"/>
      <c r="IM177" s="30"/>
      <c r="IN177" s="30"/>
      <c r="IO177" s="30"/>
      <c r="IP177" s="30"/>
      <c r="IQ177" s="30"/>
      <c r="IR177" s="31"/>
      <c r="IS177" s="31"/>
      <c r="IT177" s="31"/>
      <c r="IU177" s="31"/>
      <c r="IV177" s="31"/>
    </row>
    <row r="178" ht="11.25" customHeight="1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>
        <v>62.0</v>
      </c>
      <c r="U178" s="29" t="s">
        <v>338</v>
      </c>
      <c r="V178" s="29" t="s">
        <v>339</v>
      </c>
      <c r="W178" s="29" t="s">
        <v>340</v>
      </c>
      <c r="X178" s="29" t="s">
        <v>341</v>
      </c>
      <c r="Y178" s="29" t="s">
        <v>147</v>
      </c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  <c r="BC178" s="29"/>
      <c r="BD178" s="29"/>
      <c r="BE178" s="29"/>
      <c r="BF178" s="29"/>
      <c r="BG178" s="29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29"/>
      <c r="BX178" s="29"/>
      <c r="BY178" s="29"/>
      <c r="BZ178" s="29"/>
      <c r="CA178" s="29"/>
      <c r="CB178" s="29"/>
      <c r="CC178" s="29"/>
      <c r="CD178" s="29"/>
      <c r="CE178" s="29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30"/>
      <c r="CY178" s="30"/>
      <c r="CZ178" s="30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0"/>
      <c r="DX178" s="30"/>
      <c r="DY178" s="30"/>
      <c r="DZ178" s="30"/>
      <c r="EA178" s="30"/>
      <c r="EB178" s="30"/>
      <c r="EC178" s="30"/>
      <c r="ED178" s="30"/>
      <c r="EE178" s="30"/>
      <c r="EF178" s="30"/>
      <c r="EG178" s="30"/>
      <c r="EH178" s="30"/>
      <c r="EI178" s="30"/>
      <c r="EJ178" s="30"/>
      <c r="EK178" s="30"/>
      <c r="EL178" s="30"/>
      <c r="EM178" s="30"/>
      <c r="EN178" s="30"/>
      <c r="EO178" s="30"/>
      <c r="EP178" s="30"/>
      <c r="EQ178" s="30"/>
      <c r="ER178" s="30"/>
      <c r="ES178" s="30"/>
      <c r="ET178" s="30"/>
      <c r="EU178" s="30"/>
      <c r="EV178" s="30"/>
      <c r="EW178" s="30"/>
      <c r="EX178" s="30"/>
      <c r="EY178" s="30"/>
      <c r="EZ178" s="30"/>
      <c r="FA178" s="30"/>
      <c r="FB178" s="30"/>
      <c r="FC178" s="30"/>
      <c r="FD178" s="30"/>
      <c r="FE178" s="30"/>
      <c r="FF178" s="30"/>
      <c r="FG178" s="30"/>
      <c r="FH178" s="30"/>
      <c r="FI178" s="30"/>
      <c r="FJ178" s="30"/>
      <c r="FK178" s="30"/>
      <c r="FL178" s="30"/>
      <c r="FM178" s="30"/>
      <c r="FN178" s="30"/>
      <c r="FO178" s="30"/>
      <c r="FP178" s="30"/>
      <c r="FQ178" s="30"/>
      <c r="FR178" s="30"/>
      <c r="FS178" s="30"/>
      <c r="FT178" s="30"/>
      <c r="FU178" s="30"/>
      <c r="FV178" s="30"/>
      <c r="FW178" s="30"/>
      <c r="FX178" s="30"/>
      <c r="FY178" s="30"/>
      <c r="FZ178" s="30"/>
      <c r="GA178" s="30"/>
      <c r="GB178" s="30"/>
      <c r="GC178" s="30"/>
      <c r="GD178" s="30"/>
      <c r="GE178" s="30"/>
      <c r="GF178" s="30"/>
      <c r="GG178" s="30"/>
      <c r="GH178" s="30"/>
      <c r="GI178" s="30"/>
      <c r="GJ178" s="30"/>
      <c r="GK178" s="30"/>
      <c r="GL178" s="30"/>
      <c r="GM178" s="30"/>
      <c r="GN178" s="30"/>
      <c r="GO178" s="30"/>
      <c r="GP178" s="30"/>
      <c r="GQ178" s="30"/>
      <c r="GR178" s="30"/>
      <c r="GS178" s="30"/>
      <c r="GT178" s="30"/>
      <c r="GU178" s="30"/>
      <c r="GV178" s="30"/>
      <c r="GW178" s="30"/>
      <c r="GX178" s="30"/>
      <c r="GY178" s="30"/>
      <c r="GZ178" s="30"/>
      <c r="HA178" s="30"/>
      <c r="HB178" s="30"/>
      <c r="HC178" s="30"/>
      <c r="HD178" s="30"/>
      <c r="HE178" s="30"/>
      <c r="HF178" s="30"/>
      <c r="HG178" s="30"/>
      <c r="HH178" s="30"/>
      <c r="HI178" s="30"/>
      <c r="HJ178" s="30"/>
      <c r="HK178" s="30"/>
      <c r="HL178" s="30"/>
      <c r="HM178" s="30"/>
      <c r="HN178" s="30"/>
      <c r="HO178" s="30"/>
      <c r="HP178" s="30"/>
      <c r="HQ178" s="30"/>
      <c r="HR178" s="30"/>
      <c r="HS178" s="30"/>
      <c r="HT178" s="30"/>
      <c r="HU178" s="30"/>
      <c r="HV178" s="30"/>
      <c r="HW178" s="30"/>
      <c r="HX178" s="30"/>
      <c r="HY178" s="30"/>
      <c r="HZ178" s="30"/>
      <c r="IA178" s="30"/>
      <c r="IB178" s="30"/>
      <c r="IC178" s="30"/>
      <c r="ID178" s="30"/>
      <c r="IE178" s="30"/>
      <c r="IF178" s="30"/>
      <c r="IG178" s="30"/>
      <c r="IH178" s="30"/>
      <c r="II178" s="30"/>
      <c r="IJ178" s="30"/>
      <c r="IK178" s="30"/>
      <c r="IL178" s="30"/>
      <c r="IM178" s="30"/>
      <c r="IN178" s="30"/>
      <c r="IO178" s="30"/>
      <c r="IP178" s="30"/>
      <c r="IQ178" s="30"/>
      <c r="IR178" s="31"/>
      <c r="IS178" s="31"/>
      <c r="IT178" s="31"/>
      <c r="IU178" s="31"/>
      <c r="IV178" s="31"/>
    </row>
    <row r="179" ht="11.25" customHeight="1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>
        <v>63.0</v>
      </c>
      <c r="U179" s="29" t="s">
        <v>342</v>
      </c>
      <c r="V179" s="29" t="s">
        <v>343</v>
      </c>
      <c r="W179" s="29" t="s">
        <v>147</v>
      </c>
      <c r="X179" s="29" t="s">
        <v>147</v>
      </c>
      <c r="Y179" s="29" t="s">
        <v>147</v>
      </c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  <c r="BC179" s="29"/>
      <c r="BD179" s="29"/>
      <c r="BE179" s="29"/>
      <c r="BF179" s="29"/>
      <c r="BG179" s="29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29"/>
      <c r="BX179" s="29"/>
      <c r="BY179" s="29"/>
      <c r="BZ179" s="29"/>
      <c r="CA179" s="29"/>
      <c r="CB179" s="29"/>
      <c r="CC179" s="29"/>
      <c r="CD179" s="29"/>
      <c r="CE179" s="29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30"/>
      <c r="CY179" s="30"/>
      <c r="CZ179" s="30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30"/>
      <c r="DX179" s="30"/>
      <c r="DY179" s="30"/>
      <c r="DZ179" s="30"/>
      <c r="EA179" s="30"/>
      <c r="EB179" s="30"/>
      <c r="EC179" s="30"/>
      <c r="ED179" s="30"/>
      <c r="EE179" s="30"/>
      <c r="EF179" s="30"/>
      <c r="EG179" s="30"/>
      <c r="EH179" s="30"/>
      <c r="EI179" s="30"/>
      <c r="EJ179" s="30"/>
      <c r="EK179" s="30"/>
      <c r="EL179" s="30"/>
      <c r="EM179" s="30"/>
      <c r="EN179" s="30"/>
      <c r="EO179" s="30"/>
      <c r="EP179" s="30"/>
      <c r="EQ179" s="30"/>
      <c r="ER179" s="30"/>
      <c r="ES179" s="30"/>
      <c r="ET179" s="30"/>
      <c r="EU179" s="30"/>
      <c r="EV179" s="30"/>
      <c r="EW179" s="30"/>
      <c r="EX179" s="30"/>
      <c r="EY179" s="30"/>
      <c r="EZ179" s="30"/>
      <c r="FA179" s="30"/>
      <c r="FB179" s="30"/>
      <c r="FC179" s="30"/>
      <c r="FD179" s="30"/>
      <c r="FE179" s="30"/>
      <c r="FF179" s="30"/>
      <c r="FG179" s="30"/>
      <c r="FH179" s="30"/>
      <c r="FI179" s="30"/>
      <c r="FJ179" s="30"/>
      <c r="FK179" s="30"/>
      <c r="FL179" s="30"/>
      <c r="FM179" s="30"/>
      <c r="FN179" s="30"/>
      <c r="FO179" s="30"/>
      <c r="FP179" s="30"/>
      <c r="FQ179" s="30"/>
      <c r="FR179" s="30"/>
      <c r="FS179" s="30"/>
      <c r="FT179" s="30"/>
      <c r="FU179" s="30"/>
      <c r="FV179" s="30"/>
      <c r="FW179" s="30"/>
      <c r="FX179" s="30"/>
      <c r="FY179" s="30"/>
      <c r="FZ179" s="30"/>
      <c r="GA179" s="30"/>
      <c r="GB179" s="30"/>
      <c r="GC179" s="30"/>
      <c r="GD179" s="30"/>
      <c r="GE179" s="30"/>
      <c r="GF179" s="30"/>
      <c r="GG179" s="30"/>
      <c r="GH179" s="30"/>
      <c r="GI179" s="30"/>
      <c r="GJ179" s="30"/>
      <c r="GK179" s="30"/>
      <c r="GL179" s="30"/>
      <c r="GM179" s="30"/>
      <c r="GN179" s="30"/>
      <c r="GO179" s="30"/>
      <c r="GP179" s="30"/>
      <c r="GQ179" s="30"/>
      <c r="GR179" s="30"/>
      <c r="GS179" s="30"/>
      <c r="GT179" s="30"/>
      <c r="GU179" s="30"/>
      <c r="GV179" s="30"/>
      <c r="GW179" s="30"/>
      <c r="GX179" s="30"/>
      <c r="GY179" s="30"/>
      <c r="GZ179" s="30"/>
      <c r="HA179" s="30"/>
      <c r="HB179" s="30"/>
      <c r="HC179" s="30"/>
      <c r="HD179" s="30"/>
      <c r="HE179" s="30"/>
      <c r="HF179" s="30"/>
      <c r="HG179" s="30"/>
      <c r="HH179" s="30"/>
      <c r="HI179" s="30"/>
      <c r="HJ179" s="30"/>
      <c r="HK179" s="30"/>
      <c r="HL179" s="30"/>
      <c r="HM179" s="30"/>
      <c r="HN179" s="30"/>
      <c r="HO179" s="30"/>
      <c r="HP179" s="30"/>
      <c r="HQ179" s="30"/>
      <c r="HR179" s="30"/>
      <c r="HS179" s="30"/>
      <c r="HT179" s="30"/>
      <c r="HU179" s="30"/>
      <c r="HV179" s="30"/>
      <c r="HW179" s="30"/>
      <c r="HX179" s="30"/>
      <c r="HY179" s="30"/>
      <c r="HZ179" s="30"/>
      <c r="IA179" s="30"/>
      <c r="IB179" s="30"/>
      <c r="IC179" s="30"/>
      <c r="ID179" s="30"/>
      <c r="IE179" s="30"/>
      <c r="IF179" s="30"/>
      <c r="IG179" s="30"/>
      <c r="IH179" s="30"/>
      <c r="II179" s="30"/>
      <c r="IJ179" s="30"/>
      <c r="IK179" s="30"/>
      <c r="IL179" s="30"/>
      <c r="IM179" s="30"/>
      <c r="IN179" s="30"/>
      <c r="IO179" s="30"/>
      <c r="IP179" s="30"/>
      <c r="IQ179" s="30"/>
      <c r="IR179" s="31"/>
      <c r="IS179" s="31"/>
      <c r="IT179" s="31"/>
      <c r="IU179" s="31"/>
      <c r="IV179" s="31"/>
    </row>
    <row r="180" ht="11.25" customHeight="1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>
        <v>64.0</v>
      </c>
      <c r="U180" s="29" t="s">
        <v>344</v>
      </c>
      <c r="V180" s="29" t="s">
        <v>345</v>
      </c>
      <c r="W180" s="29" t="s">
        <v>346</v>
      </c>
      <c r="X180" s="29" t="s">
        <v>347</v>
      </c>
      <c r="Y180" s="29" t="s">
        <v>348</v>
      </c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  <c r="BC180" s="29"/>
      <c r="BD180" s="29"/>
      <c r="BE180" s="29"/>
      <c r="BF180" s="29"/>
      <c r="BG180" s="29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29"/>
      <c r="BX180" s="29"/>
      <c r="BY180" s="29"/>
      <c r="BZ180" s="29"/>
      <c r="CA180" s="29"/>
      <c r="CB180" s="29"/>
      <c r="CC180" s="29"/>
      <c r="CD180" s="29"/>
      <c r="CE180" s="29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30"/>
      <c r="CY180" s="30"/>
      <c r="CZ180" s="30"/>
      <c r="DA180" s="30"/>
      <c r="DB180" s="30"/>
      <c r="DC180" s="30"/>
      <c r="DD180" s="3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/>
      <c r="DW180" s="30"/>
      <c r="DX180" s="30"/>
      <c r="DY180" s="30"/>
      <c r="DZ180" s="30"/>
      <c r="EA180" s="30"/>
      <c r="EB180" s="30"/>
      <c r="EC180" s="30"/>
      <c r="ED180" s="30"/>
      <c r="EE180" s="30"/>
      <c r="EF180" s="30"/>
      <c r="EG180" s="30"/>
      <c r="EH180" s="30"/>
      <c r="EI180" s="30"/>
      <c r="EJ180" s="30"/>
      <c r="EK180" s="30"/>
      <c r="EL180" s="30"/>
      <c r="EM180" s="30"/>
      <c r="EN180" s="30"/>
      <c r="EO180" s="30"/>
      <c r="EP180" s="30"/>
      <c r="EQ180" s="30"/>
      <c r="ER180" s="30"/>
      <c r="ES180" s="30"/>
      <c r="ET180" s="30"/>
      <c r="EU180" s="30"/>
      <c r="EV180" s="30"/>
      <c r="EW180" s="30"/>
      <c r="EX180" s="30"/>
      <c r="EY180" s="30"/>
      <c r="EZ180" s="30"/>
      <c r="FA180" s="30"/>
      <c r="FB180" s="30"/>
      <c r="FC180" s="30"/>
      <c r="FD180" s="30"/>
      <c r="FE180" s="30"/>
      <c r="FF180" s="30"/>
      <c r="FG180" s="30"/>
      <c r="FH180" s="30"/>
      <c r="FI180" s="30"/>
      <c r="FJ180" s="30"/>
      <c r="FK180" s="30"/>
      <c r="FL180" s="30"/>
      <c r="FM180" s="30"/>
      <c r="FN180" s="30"/>
      <c r="FO180" s="30"/>
      <c r="FP180" s="30"/>
      <c r="FQ180" s="30"/>
      <c r="FR180" s="30"/>
      <c r="FS180" s="30"/>
      <c r="FT180" s="30"/>
      <c r="FU180" s="30"/>
      <c r="FV180" s="30"/>
      <c r="FW180" s="30"/>
      <c r="FX180" s="30"/>
      <c r="FY180" s="30"/>
      <c r="FZ180" s="30"/>
      <c r="GA180" s="30"/>
      <c r="GB180" s="30"/>
      <c r="GC180" s="30"/>
      <c r="GD180" s="30"/>
      <c r="GE180" s="30"/>
      <c r="GF180" s="30"/>
      <c r="GG180" s="30"/>
      <c r="GH180" s="30"/>
      <c r="GI180" s="30"/>
      <c r="GJ180" s="30"/>
      <c r="GK180" s="30"/>
      <c r="GL180" s="30"/>
      <c r="GM180" s="30"/>
      <c r="GN180" s="30"/>
      <c r="GO180" s="30"/>
      <c r="GP180" s="30"/>
      <c r="GQ180" s="30"/>
      <c r="GR180" s="30"/>
      <c r="GS180" s="30"/>
      <c r="GT180" s="30"/>
      <c r="GU180" s="30"/>
      <c r="GV180" s="30"/>
      <c r="GW180" s="30"/>
      <c r="GX180" s="30"/>
      <c r="GY180" s="30"/>
      <c r="GZ180" s="30"/>
      <c r="HA180" s="30"/>
      <c r="HB180" s="30"/>
      <c r="HC180" s="30"/>
      <c r="HD180" s="30"/>
      <c r="HE180" s="30"/>
      <c r="HF180" s="30"/>
      <c r="HG180" s="30"/>
      <c r="HH180" s="30"/>
      <c r="HI180" s="30"/>
      <c r="HJ180" s="30"/>
      <c r="HK180" s="30"/>
      <c r="HL180" s="30"/>
      <c r="HM180" s="30"/>
      <c r="HN180" s="30"/>
      <c r="HO180" s="30"/>
      <c r="HP180" s="30"/>
      <c r="HQ180" s="30"/>
      <c r="HR180" s="30"/>
      <c r="HS180" s="30"/>
      <c r="HT180" s="30"/>
      <c r="HU180" s="30"/>
      <c r="HV180" s="30"/>
      <c r="HW180" s="30"/>
      <c r="HX180" s="30"/>
      <c r="HY180" s="30"/>
      <c r="HZ180" s="30"/>
      <c r="IA180" s="30"/>
      <c r="IB180" s="30"/>
      <c r="IC180" s="30"/>
      <c r="ID180" s="30"/>
      <c r="IE180" s="30"/>
      <c r="IF180" s="30"/>
      <c r="IG180" s="30"/>
      <c r="IH180" s="30"/>
      <c r="II180" s="30"/>
      <c r="IJ180" s="30"/>
      <c r="IK180" s="30"/>
      <c r="IL180" s="30"/>
      <c r="IM180" s="30"/>
      <c r="IN180" s="30"/>
      <c r="IO180" s="30"/>
      <c r="IP180" s="30"/>
      <c r="IQ180" s="30"/>
      <c r="IR180" s="31"/>
      <c r="IS180" s="31"/>
      <c r="IT180" s="31"/>
      <c r="IU180" s="31"/>
      <c r="IV180" s="31"/>
    </row>
    <row r="181" ht="11.25" customHeight="1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>
        <v>65.0</v>
      </c>
      <c r="U181" s="29" t="s">
        <v>349</v>
      </c>
      <c r="V181" s="29" t="s">
        <v>350</v>
      </c>
      <c r="W181" s="29" t="s">
        <v>351</v>
      </c>
      <c r="X181" s="29" t="s">
        <v>352</v>
      </c>
      <c r="Y181" s="29" t="s">
        <v>147</v>
      </c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  <c r="BC181" s="29"/>
      <c r="BD181" s="29"/>
      <c r="BE181" s="29"/>
      <c r="BF181" s="29"/>
      <c r="BG181" s="29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29"/>
      <c r="BX181" s="29"/>
      <c r="BY181" s="29"/>
      <c r="BZ181" s="29"/>
      <c r="CA181" s="29"/>
      <c r="CB181" s="29"/>
      <c r="CC181" s="29"/>
      <c r="CD181" s="29"/>
      <c r="CE181" s="29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30"/>
      <c r="CY181" s="30"/>
      <c r="CZ181" s="30"/>
      <c r="DA181" s="30"/>
      <c r="DB181" s="30"/>
      <c r="DC181" s="30"/>
      <c r="DD181" s="30"/>
      <c r="DE181" s="30"/>
      <c r="DF181" s="30"/>
      <c r="DG181" s="30"/>
      <c r="DH181" s="30"/>
      <c r="DI181" s="30"/>
      <c r="DJ181" s="30"/>
      <c r="DK181" s="30"/>
      <c r="DL181" s="30"/>
      <c r="DM181" s="30"/>
      <c r="DN181" s="30"/>
      <c r="DO181" s="30"/>
      <c r="DP181" s="30"/>
      <c r="DQ181" s="30"/>
      <c r="DR181" s="30"/>
      <c r="DS181" s="30"/>
      <c r="DT181" s="30"/>
      <c r="DU181" s="30"/>
      <c r="DV181" s="30"/>
      <c r="DW181" s="30"/>
      <c r="DX181" s="30"/>
      <c r="DY181" s="30"/>
      <c r="DZ181" s="30"/>
      <c r="EA181" s="30"/>
      <c r="EB181" s="30"/>
      <c r="EC181" s="30"/>
      <c r="ED181" s="30"/>
      <c r="EE181" s="30"/>
      <c r="EF181" s="30"/>
      <c r="EG181" s="30"/>
      <c r="EH181" s="30"/>
      <c r="EI181" s="30"/>
      <c r="EJ181" s="30"/>
      <c r="EK181" s="30"/>
      <c r="EL181" s="30"/>
      <c r="EM181" s="30"/>
      <c r="EN181" s="30"/>
      <c r="EO181" s="30"/>
      <c r="EP181" s="30"/>
      <c r="EQ181" s="30"/>
      <c r="ER181" s="30"/>
      <c r="ES181" s="30"/>
      <c r="ET181" s="30"/>
      <c r="EU181" s="30"/>
      <c r="EV181" s="30"/>
      <c r="EW181" s="30"/>
      <c r="EX181" s="30"/>
      <c r="EY181" s="30"/>
      <c r="EZ181" s="30"/>
      <c r="FA181" s="30"/>
      <c r="FB181" s="30"/>
      <c r="FC181" s="30"/>
      <c r="FD181" s="30"/>
      <c r="FE181" s="30"/>
      <c r="FF181" s="30"/>
      <c r="FG181" s="30"/>
      <c r="FH181" s="30"/>
      <c r="FI181" s="30"/>
      <c r="FJ181" s="30"/>
      <c r="FK181" s="30"/>
      <c r="FL181" s="30"/>
      <c r="FM181" s="30"/>
      <c r="FN181" s="30"/>
      <c r="FO181" s="30"/>
      <c r="FP181" s="30"/>
      <c r="FQ181" s="30"/>
      <c r="FR181" s="30"/>
      <c r="FS181" s="30"/>
      <c r="FT181" s="30"/>
      <c r="FU181" s="30"/>
      <c r="FV181" s="30"/>
      <c r="FW181" s="30"/>
      <c r="FX181" s="30"/>
      <c r="FY181" s="30"/>
      <c r="FZ181" s="30"/>
      <c r="GA181" s="30"/>
      <c r="GB181" s="30"/>
      <c r="GC181" s="30"/>
      <c r="GD181" s="30"/>
      <c r="GE181" s="30"/>
      <c r="GF181" s="30"/>
      <c r="GG181" s="30"/>
      <c r="GH181" s="30"/>
      <c r="GI181" s="30"/>
      <c r="GJ181" s="30"/>
      <c r="GK181" s="30"/>
      <c r="GL181" s="30"/>
      <c r="GM181" s="30"/>
      <c r="GN181" s="30"/>
      <c r="GO181" s="30"/>
      <c r="GP181" s="30"/>
      <c r="GQ181" s="30"/>
      <c r="GR181" s="30"/>
      <c r="GS181" s="30"/>
      <c r="GT181" s="30"/>
      <c r="GU181" s="30"/>
      <c r="GV181" s="30"/>
      <c r="GW181" s="30"/>
      <c r="GX181" s="30"/>
      <c r="GY181" s="30"/>
      <c r="GZ181" s="30"/>
      <c r="HA181" s="30"/>
      <c r="HB181" s="30"/>
      <c r="HC181" s="30"/>
      <c r="HD181" s="30"/>
      <c r="HE181" s="30"/>
      <c r="HF181" s="30"/>
      <c r="HG181" s="30"/>
      <c r="HH181" s="30"/>
      <c r="HI181" s="30"/>
      <c r="HJ181" s="30"/>
      <c r="HK181" s="30"/>
      <c r="HL181" s="30"/>
      <c r="HM181" s="30"/>
      <c r="HN181" s="30"/>
      <c r="HO181" s="30"/>
      <c r="HP181" s="30"/>
      <c r="HQ181" s="30"/>
      <c r="HR181" s="30"/>
      <c r="HS181" s="30"/>
      <c r="HT181" s="30"/>
      <c r="HU181" s="30"/>
      <c r="HV181" s="30"/>
      <c r="HW181" s="30"/>
      <c r="HX181" s="30"/>
      <c r="HY181" s="30"/>
      <c r="HZ181" s="30"/>
      <c r="IA181" s="30"/>
      <c r="IB181" s="30"/>
      <c r="IC181" s="30"/>
      <c r="ID181" s="30"/>
      <c r="IE181" s="30"/>
      <c r="IF181" s="30"/>
      <c r="IG181" s="30"/>
      <c r="IH181" s="30"/>
      <c r="II181" s="30"/>
      <c r="IJ181" s="30"/>
      <c r="IK181" s="30"/>
      <c r="IL181" s="30"/>
      <c r="IM181" s="30"/>
      <c r="IN181" s="30"/>
      <c r="IO181" s="30"/>
      <c r="IP181" s="30"/>
      <c r="IQ181" s="30"/>
      <c r="IR181" s="31"/>
      <c r="IS181" s="31"/>
      <c r="IT181" s="31"/>
      <c r="IU181" s="31"/>
      <c r="IV181" s="31"/>
    </row>
    <row r="182" ht="11.25" customHeight="1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>
        <v>66.0</v>
      </c>
      <c r="U182" s="29" t="s">
        <v>353</v>
      </c>
      <c r="V182" s="29" t="s">
        <v>354</v>
      </c>
      <c r="W182" s="29" t="s">
        <v>355</v>
      </c>
      <c r="X182" s="29" t="s">
        <v>356</v>
      </c>
      <c r="Y182" s="29" t="s">
        <v>147</v>
      </c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  <c r="BC182" s="29"/>
      <c r="BD182" s="29"/>
      <c r="BE182" s="29"/>
      <c r="BF182" s="29"/>
      <c r="BG182" s="29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29"/>
      <c r="BX182" s="29"/>
      <c r="BY182" s="29"/>
      <c r="BZ182" s="29"/>
      <c r="CA182" s="29"/>
      <c r="CB182" s="29"/>
      <c r="CC182" s="29"/>
      <c r="CD182" s="29"/>
      <c r="CE182" s="29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30"/>
      <c r="CY182" s="30"/>
      <c r="CZ182" s="30"/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0"/>
      <c r="DX182" s="30"/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0"/>
      <c r="EK182" s="30"/>
      <c r="EL182" s="30"/>
      <c r="EM182" s="30"/>
      <c r="EN182" s="30"/>
      <c r="EO182" s="30"/>
      <c r="EP182" s="30"/>
      <c r="EQ182" s="30"/>
      <c r="ER182" s="30"/>
      <c r="ES182" s="30"/>
      <c r="ET182" s="30"/>
      <c r="EU182" s="30"/>
      <c r="EV182" s="30"/>
      <c r="EW182" s="30"/>
      <c r="EX182" s="30"/>
      <c r="EY182" s="30"/>
      <c r="EZ182" s="30"/>
      <c r="FA182" s="30"/>
      <c r="FB182" s="30"/>
      <c r="FC182" s="30"/>
      <c r="FD182" s="30"/>
      <c r="FE182" s="30"/>
      <c r="FF182" s="30"/>
      <c r="FG182" s="30"/>
      <c r="FH182" s="30"/>
      <c r="FI182" s="30"/>
      <c r="FJ182" s="30"/>
      <c r="FK182" s="30"/>
      <c r="FL182" s="30"/>
      <c r="FM182" s="30"/>
      <c r="FN182" s="30"/>
      <c r="FO182" s="30"/>
      <c r="FP182" s="30"/>
      <c r="FQ182" s="30"/>
      <c r="FR182" s="30"/>
      <c r="FS182" s="30"/>
      <c r="FT182" s="30"/>
      <c r="FU182" s="30"/>
      <c r="FV182" s="30"/>
      <c r="FW182" s="30"/>
      <c r="FX182" s="30"/>
      <c r="FY182" s="30"/>
      <c r="FZ182" s="30"/>
      <c r="GA182" s="30"/>
      <c r="GB182" s="30"/>
      <c r="GC182" s="30"/>
      <c r="GD182" s="30"/>
      <c r="GE182" s="30"/>
      <c r="GF182" s="30"/>
      <c r="GG182" s="30"/>
      <c r="GH182" s="30"/>
      <c r="GI182" s="30"/>
      <c r="GJ182" s="30"/>
      <c r="GK182" s="30"/>
      <c r="GL182" s="30"/>
      <c r="GM182" s="30"/>
      <c r="GN182" s="30"/>
      <c r="GO182" s="30"/>
      <c r="GP182" s="30"/>
      <c r="GQ182" s="30"/>
      <c r="GR182" s="30"/>
      <c r="GS182" s="30"/>
      <c r="GT182" s="30"/>
      <c r="GU182" s="30"/>
      <c r="GV182" s="30"/>
      <c r="GW182" s="30"/>
      <c r="GX182" s="30"/>
      <c r="GY182" s="30"/>
      <c r="GZ182" s="30"/>
      <c r="HA182" s="30"/>
      <c r="HB182" s="30"/>
      <c r="HC182" s="30"/>
      <c r="HD182" s="30"/>
      <c r="HE182" s="30"/>
      <c r="HF182" s="30"/>
      <c r="HG182" s="30"/>
      <c r="HH182" s="30"/>
      <c r="HI182" s="30"/>
      <c r="HJ182" s="30"/>
      <c r="HK182" s="30"/>
      <c r="HL182" s="30"/>
      <c r="HM182" s="30"/>
      <c r="HN182" s="30"/>
      <c r="HO182" s="30"/>
      <c r="HP182" s="30"/>
      <c r="HQ182" s="30"/>
      <c r="HR182" s="30"/>
      <c r="HS182" s="30"/>
      <c r="HT182" s="30"/>
      <c r="HU182" s="30"/>
      <c r="HV182" s="30"/>
      <c r="HW182" s="30"/>
      <c r="HX182" s="30"/>
      <c r="HY182" s="30"/>
      <c r="HZ182" s="30"/>
      <c r="IA182" s="30"/>
      <c r="IB182" s="30"/>
      <c r="IC182" s="30"/>
      <c r="ID182" s="30"/>
      <c r="IE182" s="30"/>
      <c r="IF182" s="30"/>
      <c r="IG182" s="30"/>
      <c r="IH182" s="30"/>
      <c r="II182" s="30"/>
      <c r="IJ182" s="30"/>
      <c r="IK182" s="30"/>
      <c r="IL182" s="30"/>
      <c r="IM182" s="30"/>
      <c r="IN182" s="30"/>
      <c r="IO182" s="30"/>
      <c r="IP182" s="30"/>
      <c r="IQ182" s="30"/>
      <c r="IR182" s="31"/>
      <c r="IS182" s="31"/>
      <c r="IT182" s="31"/>
      <c r="IU182" s="31"/>
      <c r="IV182" s="31"/>
    </row>
    <row r="183" ht="11.25" customHeight="1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>
        <v>67.0</v>
      </c>
      <c r="U183" s="29" t="s">
        <v>357</v>
      </c>
      <c r="V183" s="29" t="s">
        <v>358</v>
      </c>
      <c r="W183" s="29" t="s">
        <v>359</v>
      </c>
      <c r="X183" s="29" t="s">
        <v>360</v>
      </c>
      <c r="Y183" s="29" t="s">
        <v>361</v>
      </c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  <c r="BC183" s="29"/>
      <c r="BD183" s="29"/>
      <c r="BE183" s="29"/>
      <c r="BF183" s="29"/>
      <c r="BG183" s="29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29"/>
      <c r="BX183" s="29"/>
      <c r="BY183" s="29"/>
      <c r="BZ183" s="29"/>
      <c r="CA183" s="29"/>
      <c r="CB183" s="29"/>
      <c r="CC183" s="29"/>
      <c r="CD183" s="29"/>
      <c r="CE183" s="29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30"/>
      <c r="CY183" s="30"/>
      <c r="CZ183" s="30"/>
      <c r="DA183" s="30"/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0"/>
      <c r="DX183" s="30"/>
      <c r="DY183" s="30"/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0"/>
      <c r="EK183" s="30"/>
      <c r="EL183" s="30"/>
      <c r="EM183" s="30"/>
      <c r="EN183" s="30"/>
      <c r="EO183" s="30"/>
      <c r="EP183" s="30"/>
      <c r="EQ183" s="30"/>
      <c r="ER183" s="30"/>
      <c r="ES183" s="30"/>
      <c r="ET183" s="30"/>
      <c r="EU183" s="30"/>
      <c r="EV183" s="30"/>
      <c r="EW183" s="30"/>
      <c r="EX183" s="30"/>
      <c r="EY183" s="30"/>
      <c r="EZ183" s="30"/>
      <c r="FA183" s="30"/>
      <c r="FB183" s="30"/>
      <c r="FC183" s="30"/>
      <c r="FD183" s="30"/>
      <c r="FE183" s="30"/>
      <c r="FF183" s="30"/>
      <c r="FG183" s="30"/>
      <c r="FH183" s="30"/>
      <c r="FI183" s="30"/>
      <c r="FJ183" s="30"/>
      <c r="FK183" s="30"/>
      <c r="FL183" s="30"/>
      <c r="FM183" s="30"/>
      <c r="FN183" s="30"/>
      <c r="FO183" s="30"/>
      <c r="FP183" s="30"/>
      <c r="FQ183" s="30"/>
      <c r="FR183" s="30"/>
      <c r="FS183" s="30"/>
      <c r="FT183" s="30"/>
      <c r="FU183" s="30"/>
      <c r="FV183" s="30"/>
      <c r="FW183" s="30"/>
      <c r="FX183" s="30"/>
      <c r="FY183" s="30"/>
      <c r="FZ183" s="30"/>
      <c r="GA183" s="30"/>
      <c r="GB183" s="30"/>
      <c r="GC183" s="30"/>
      <c r="GD183" s="30"/>
      <c r="GE183" s="30"/>
      <c r="GF183" s="30"/>
      <c r="GG183" s="30"/>
      <c r="GH183" s="30"/>
      <c r="GI183" s="30"/>
      <c r="GJ183" s="30"/>
      <c r="GK183" s="30"/>
      <c r="GL183" s="30"/>
      <c r="GM183" s="30"/>
      <c r="GN183" s="30"/>
      <c r="GO183" s="30"/>
      <c r="GP183" s="30"/>
      <c r="GQ183" s="30"/>
      <c r="GR183" s="30"/>
      <c r="GS183" s="30"/>
      <c r="GT183" s="30"/>
      <c r="GU183" s="30"/>
      <c r="GV183" s="30"/>
      <c r="GW183" s="30"/>
      <c r="GX183" s="30"/>
      <c r="GY183" s="30"/>
      <c r="GZ183" s="30"/>
      <c r="HA183" s="30"/>
      <c r="HB183" s="30"/>
      <c r="HC183" s="30"/>
      <c r="HD183" s="30"/>
      <c r="HE183" s="30"/>
      <c r="HF183" s="30"/>
      <c r="HG183" s="30"/>
      <c r="HH183" s="30"/>
      <c r="HI183" s="30"/>
      <c r="HJ183" s="30"/>
      <c r="HK183" s="30"/>
      <c r="HL183" s="30"/>
      <c r="HM183" s="30"/>
      <c r="HN183" s="30"/>
      <c r="HO183" s="30"/>
      <c r="HP183" s="30"/>
      <c r="HQ183" s="30"/>
      <c r="HR183" s="30"/>
      <c r="HS183" s="30"/>
      <c r="HT183" s="30"/>
      <c r="HU183" s="30"/>
      <c r="HV183" s="30"/>
      <c r="HW183" s="30"/>
      <c r="HX183" s="30"/>
      <c r="HY183" s="30"/>
      <c r="HZ183" s="30"/>
      <c r="IA183" s="30"/>
      <c r="IB183" s="30"/>
      <c r="IC183" s="30"/>
      <c r="ID183" s="30"/>
      <c r="IE183" s="30"/>
      <c r="IF183" s="30"/>
      <c r="IG183" s="30"/>
      <c r="IH183" s="30"/>
      <c r="II183" s="30"/>
      <c r="IJ183" s="30"/>
      <c r="IK183" s="30"/>
      <c r="IL183" s="30"/>
      <c r="IM183" s="30"/>
      <c r="IN183" s="30"/>
      <c r="IO183" s="30"/>
      <c r="IP183" s="30"/>
      <c r="IQ183" s="30"/>
      <c r="IR183" s="31"/>
      <c r="IS183" s="31"/>
      <c r="IT183" s="31"/>
      <c r="IU183" s="31"/>
      <c r="IV183" s="31"/>
    </row>
    <row r="184" ht="11.25" customHeight="1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>
        <v>68.0</v>
      </c>
      <c r="U184" s="29" t="s">
        <v>362</v>
      </c>
      <c r="V184" s="29" t="s">
        <v>363</v>
      </c>
      <c r="W184" s="29" t="s">
        <v>364</v>
      </c>
      <c r="X184" s="29" t="s">
        <v>365</v>
      </c>
      <c r="Y184" s="29" t="s">
        <v>366</v>
      </c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  <c r="BC184" s="29"/>
      <c r="BD184" s="29"/>
      <c r="BE184" s="29"/>
      <c r="BF184" s="29"/>
      <c r="BG184" s="29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29"/>
      <c r="BX184" s="29"/>
      <c r="BY184" s="29"/>
      <c r="BZ184" s="29"/>
      <c r="CA184" s="29"/>
      <c r="CB184" s="29"/>
      <c r="CC184" s="29"/>
      <c r="CD184" s="29"/>
      <c r="CE184" s="29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30"/>
      <c r="CY184" s="30"/>
      <c r="CZ184" s="30"/>
      <c r="DA184" s="30"/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/>
      <c r="DW184" s="30"/>
      <c r="DX184" s="30"/>
      <c r="DY184" s="30"/>
      <c r="DZ184" s="30"/>
      <c r="EA184" s="30"/>
      <c r="EB184" s="30"/>
      <c r="EC184" s="30"/>
      <c r="ED184" s="30"/>
      <c r="EE184" s="30"/>
      <c r="EF184" s="30"/>
      <c r="EG184" s="30"/>
      <c r="EH184" s="30"/>
      <c r="EI184" s="30"/>
      <c r="EJ184" s="30"/>
      <c r="EK184" s="30"/>
      <c r="EL184" s="30"/>
      <c r="EM184" s="30"/>
      <c r="EN184" s="30"/>
      <c r="EO184" s="30"/>
      <c r="EP184" s="30"/>
      <c r="EQ184" s="30"/>
      <c r="ER184" s="30"/>
      <c r="ES184" s="30"/>
      <c r="ET184" s="30"/>
      <c r="EU184" s="30"/>
      <c r="EV184" s="30"/>
      <c r="EW184" s="30"/>
      <c r="EX184" s="30"/>
      <c r="EY184" s="30"/>
      <c r="EZ184" s="30"/>
      <c r="FA184" s="30"/>
      <c r="FB184" s="30"/>
      <c r="FC184" s="30"/>
      <c r="FD184" s="30"/>
      <c r="FE184" s="30"/>
      <c r="FF184" s="30"/>
      <c r="FG184" s="30"/>
      <c r="FH184" s="30"/>
      <c r="FI184" s="30"/>
      <c r="FJ184" s="30"/>
      <c r="FK184" s="30"/>
      <c r="FL184" s="30"/>
      <c r="FM184" s="30"/>
      <c r="FN184" s="30"/>
      <c r="FO184" s="30"/>
      <c r="FP184" s="30"/>
      <c r="FQ184" s="30"/>
      <c r="FR184" s="30"/>
      <c r="FS184" s="30"/>
      <c r="FT184" s="30"/>
      <c r="FU184" s="30"/>
      <c r="FV184" s="30"/>
      <c r="FW184" s="30"/>
      <c r="FX184" s="30"/>
      <c r="FY184" s="30"/>
      <c r="FZ184" s="30"/>
      <c r="GA184" s="30"/>
      <c r="GB184" s="30"/>
      <c r="GC184" s="30"/>
      <c r="GD184" s="30"/>
      <c r="GE184" s="30"/>
      <c r="GF184" s="30"/>
      <c r="GG184" s="30"/>
      <c r="GH184" s="30"/>
      <c r="GI184" s="30"/>
      <c r="GJ184" s="30"/>
      <c r="GK184" s="30"/>
      <c r="GL184" s="30"/>
      <c r="GM184" s="30"/>
      <c r="GN184" s="30"/>
      <c r="GO184" s="30"/>
      <c r="GP184" s="30"/>
      <c r="GQ184" s="30"/>
      <c r="GR184" s="30"/>
      <c r="GS184" s="30"/>
      <c r="GT184" s="30"/>
      <c r="GU184" s="30"/>
      <c r="GV184" s="30"/>
      <c r="GW184" s="30"/>
      <c r="GX184" s="30"/>
      <c r="GY184" s="30"/>
      <c r="GZ184" s="30"/>
      <c r="HA184" s="30"/>
      <c r="HB184" s="30"/>
      <c r="HC184" s="30"/>
      <c r="HD184" s="30"/>
      <c r="HE184" s="30"/>
      <c r="HF184" s="30"/>
      <c r="HG184" s="30"/>
      <c r="HH184" s="30"/>
      <c r="HI184" s="30"/>
      <c r="HJ184" s="30"/>
      <c r="HK184" s="30"/>
      <c r="HL184" s="30"/>
      <c r="HM184" s="30"/>
      <c r="HN184" s="30"/>
      <c r="HO184" s="30"/>
      <c r="HP184" s="30"/>
      <c r="HQ184" s="30"/>
      <c r="HR184" s="30"/>
      <c r="HS184" s="30"/>
      <c r="HT184" s="30"/>
      <c r="HU184" s="30"/>
      <c r="HV184" s="30"/>
      <c r="HW184" s="30"/>
      <c r="HX184" s="30"/>
      <c r="HY184" s="30"/>
      <c r="HZ184" s="30"/>
      <c r="IA184" s="30"/>
      <c r="IB184" s="30"/>
      <c r="IC184" s="30"/>
      <c r="ID184" s="30"/>
      <c r="IE184" s="30"/>
      <c r="IF184" s="30"/>
      <c r="IG184" s="30"/>
      <c r="IH184" s="30"/>
      <c r="II184" s="30"/>
      <c r="IJ184" s="30"/>
      <c r="IK184" s="30"/>
      <c r="IL184" s="30"/>
      <c r="IM184" s="30"/>
      <c r="IN184" s="30"/>
      <c r="IO184" s="30"/>
      <c r="IP184" s="30"/>
      <c r="IQ184" s="30"/>
      <c r="IR184" s="31"/>
      <c r="IS184" s="31"/>
      <c r="IT184" s="31"/>
      <c r="IU184" s="31"/>
      <c r="IV184" s="31"/>
    </row>
    <row r="185" ht="11.25" customHeight="1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>
        <v>69.0</v>
      </c>
      <c r="U185" s="29" t="s">
        <v>367</v>
      </c>
      <c r="V185" s="29" t="s">
        <v>368</v>
      </c>
      <c r="W185" s="29" t="s">
        <v>369</v>
      </c>
      <c r="X185" s="29" t="s">
        <v>147</v>
      </c>
      <c r="Y185" s="29" t="s">
        <v>147</v>
      </c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  <c r="BC185" s="29"/>
      <c r="BD185" s="29"/>
      <c r="BE185" s="29"/>
      <c r="BF185" s="29"/>
      <c r="BG185" s="29"/>
      <c r="BH185" s="29"/>
      <c r="BI185" s="29"/>
      <c r="BJ185" s="29"/>
      <c r="BK185" s="29"/>
      <c r="BL185" s="29"/>
      <c r="BM185" s="29"/>
      <c r="BN185" s="29"/>
      <c r="BO185" s="29"/>
      <c r="BP185" s="29"/>
      <c r="BQ185" s="29"/>
      <c r="BR185" s="29"/>
      <c r="BS185" s="29"/>
      <c r="BT185" s="29"/>
      <c r="BU185" s="29"/>
      <c r="BV185" s="29"/>
      <c r="BW185" s="29"/>
      <c r="BX185" s="29"/>
      <c r="BY185" s="29"/>
      <c r="BZ185" s="29"/>
      <c r="CA185" s="29"/>
      <c r="CB185" s="29"/>
      <c r="CC185" s="29"/>
      <c r="CD185" s="29"/>
      <c r="CE185" s="29"/>
      <c r="CF185" s="29"/>
      <c r="CG185" s="29"/>
      <c r="CH185" s="29"/>
      <c r="CI185" s="29"/>
      <c r="CJ185" s="29"/>
      <c r="CK185" s="29"/>
      <c r="CL185" s="29"/>
      <c r="CM185" s="29"/>
      <c r="CN185" s="29"/>
      <c r="CO185" s="29"/>
      <c r="CP185" s="29"/>
      <c r="CQ185" s="29"/>
      <c r="CR185" s="29"/>
      <c r="CS185" s="29"/>
      <c r="CT185" s="29"/>
      <c r="CU185" s="29"/>
      <c r="CV185" s="29"/>
      <c r="CW185" s="29"/>
      <c r="CX185" s="30"/>
      <c r="CY185" s="30"/>
      <c r="CZ185" s="30"/>
      <c r="DA185" s="30"/>
      <c r="DB185" s="30"/>
      <c r="DC185" s="30"/>
      <c r="DD185" s="3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/>
      <c r="DW185" s="30"/>
      <c r="DX185" s="30"/>
      <c r="DY185" s="30"/>
      <c r="DZ185" s="30"/>
      <c r="EA185" s="30"/>
      <c r="EB185" s="30"/>
      <c r="EC185" s="30"/>
      <c r="ED185" s="30"/>
      <c r="EE185" s="30"/>
      <c r="EF185" s="30"/>
      <c r="EG185" s="30"/>
      <c r="EH185" s="30"/>
      <c r="EI185" s="30"/>
      <c r="EJ185" s="30"/>
      <c r="EK185" s="30"/>
      <c r="EL185" s="30"/>
      <c r="EM185" s="30"/>
      <c r="EN185" s="30"/>
      <c r="EO185" s="30"/>
      <c r="EP185" s="30"/>
      <c r="EQ185" s="30"/>
      <c r="ER185" s="30"/>
      <c r="ES185" s="30"/>
      <c r="ET185" s="30"/>
      <c r="EU185" s="30"/>
      <c r="EV185" s="30"/>
      <c r="EW185" s="30"/>
      <c r="EX185" s="30"/>
      <c r="EY185" s="30"/>
      <c r="EZ185" s="30"/>
      <c r="FA185" s="30"/>
      <c r="FB185" s="30"/>
      <c r="FC185" s="30"/>
      <c r="FD185" s="30"/>
      <c r="FE185" s="30"/>
      <c r="FF185" s="30"/>
      <c r="FG185" s="30"/>
      <c r="FH185" s="30"/>
      <c r="FI185" s="30"/>
      <c r="FJ185" s="30"/>
      <c r="FK185" s="30"/>
      <c r="FL185" s="30"/>
      <c r="FM185" s="30"/>
      <c r="FN185" s="30"/>
      <c r="FO185" s="30"/>
      <c r="FP185" s="30"/>
      <c r="FQ185" s="30"/>
      <c r="FR185" s="30"/>
      <c r="FS185" s="30"/>
      <c r="FT185" s="30"/>
      <c r="FU185" s="30"/>
      <c r="FV185" s="30"/>
      <c r="FW185" s="30"/>
      <c r="FX185" s="30"/>
      <c r="FY185" s="30"/>
      <c r="FZ185" s="30"/>
      <c r="GA185" s="30"/>
      <c r="GB185" s="30"/>
      <c r="GC185" s="30"/>
      <c r="GD185" s="30"/>
      <c r="GE185" s="30"/>
      <c r="GF185" s="30"/>
      <c r="GG185" s="30"/>
      <c r="GH185" s="30"/>
      <c r="GI185" s="30"/>
      <c r="GJ185" s="30"/>
      <c r="GK185" s="30"/>
      <c r="GL185" s="30"/>
      <c r="GM185" s="30"/>
      <c r="GN185" s="30"/>
      <c r="GO185" s="30"/>
      <c r="GP185" s="30"/>
      <c r="GQ185" s="30"/>
      <c r="GR185" s="30"/>
      <c r="GS185" s="30"/>
      <c r="GT185" s="30"/>
      <c r="GU185" s="30"/>
      <c r="GV185" s="30"/>
      <c r="GW185" s="30"/>
      <c r="GX185" s="30"/>
      <c r="GY185" s="30"/>
      <c r="GZ185" s="30"/>
      <c r="HA185" s="30"/>
      <c r="HB185" s="30"/>
      <c r="HC185" s="30"/>
      <c r="HD185" s="30"/>
      <c r="HE185" s="30"/>
      <c r="HF185" s="30"/>
      <c r="HG185" s="30"/>
      <c r="HH185" s="30"/>
      <c r="HI185" s="30"/>
      <c r="HJ185" s="30"/>
      <c r="HK185" s="30"/>
      <c r="HL185" s="30"/>
      <c r="HM185" s="30"/>
      <c r="HN185" s="30"/>
      <c r="HO185" s="30"/>
      <c r="HP185" s="30"/>
      <c r="HQ185" s="30"/>
      <c r="HR185" s="30"/>
      <c r="HS185" s="30"/>
      <c r="HT185" s="30"/>
      <c r="HU185" s="30"/>
      <c r="HV185" s="30"/>
      <c r="HW185" s="30"/>
      <c r="HX185" s="30"/>
      <c r="HY185" s="30"/>
      <c r="HZ185" s="30"/>
      <c r="IA185" s="30"/>
      <c r="IB185" s="30"/>
      <c r="IC185" s="30"/>
      <c r="ID185" s="30"/>
      <c r="IE185" s="30"/>
      <c r="IF185" s="30"/>
      <c r="IG185" s="30"/>
      <c r="IH185" s="30"/>
      <c r="II185" s="30"/>
      <c r="IJ185" s="30"/>
      <c r="IK185" s="30"/>
      <c r="IL185" s="30"/>
      <c r="IM185" s="30"/>
      <c r="IN185" s="30"/>
      <c r="IO185" s="30"/>
      <c r="IP185" s="30"/>
      <c r="IQ185" s="30"/>
      <c r="IR185" s="31"/>
      <c r="IS185" s="31"/>
      <c r="IT185" s="31"/>
      <c r="IU185" s="31"/>
      <c r="IV185" s="31"/>
    </row>
    <row r="186" ht="11.25" customHeight="1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>
        <v>70.0</v>
      </c>
      <c r="U186" s="29" t="s">
        <v>370</v>
      </c>
      <c r="V186" s="29" t="s">
        <v>371</v>
      </c>
      <c r="W186" s="29" t="s">
        <v>372</v>
      </c>
      <c r="X186" s="29" t="s">
        <v>373</v>
      </c>
      <c r="Y186" s="29" t="s">
        <v>374</v>
      </c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  <c r="BC186" s="29"/>
      <c r="BD186" s="29"/>
      <c r="BE186" s="29"/>
      <c r="BF186" s="29"/>
      <c r="BG186" s="29"/>
      <c r="BH186" s="29"/>
      <c r="BI186" s="29"/>
      <c r="BJ186" s="29"/>
      <c r="BK186" s="29"/>
      <c r="BL186" s="29"/>
      <c r="BM186" s="29"/>
      <c r="BN186" s="29"/>
      <c r="BO186" s="29"/>
      <c r="BP186" s="29"/>
      <c r="BQ186" s="29"/>
      <c r="BR186" s="29"/>
      <c r="BS186" s="29"/>
      <c r="BT186" s="29"/>
      <c r="BU186" s="29"/>
      <c r="BV186" s="29"/>
      <c r="BW186" s="29"/>
      <c r="BX186" s="29"/>
      <c r="BY186" s="29"/>
      <c r="BZ186" s="29"/>
      <c r="CA186" s="29"/>
      <c r="CB186" s="29"/>
      <c r="CC186" s="29"/>
      <c r="CD186" s="29"/>
      <c r="CE186" s="29"/>
      <c r="CF186" s="29"/>
      <c r="CG186" s="29"/>
      <c r="CH186" s="29"/>
      <c r="CI186" s="29"/>
      <c r="CJ186" s="29"/>
      <c r="CK186" s="29"/>
      <c r="CL186" s="29"/>
      <c r="CM186" s="29"/>
      <c r="CN186" s="29"/>
      <c r="CO186" s="29"/>
      <c r="CP186" s="29"/>
      <c r="CQ186" s="29"/>
      <c r="CR186" s="29"/>
      <c r="CS186" s="29"/>
      <c r="CT186" s="29"/>
      <c r="CU186" s="29"/>
      <c r="CV186" s="29"/>
      <c r="CW186" s="29"/>
      <c r="CX186" s="30"/>
      <c r="CY186" s="30"/>
      <c r="CZ186" s="30"/>
      <c r="DA186" s="30"/>
      <c r="DB186" s="30"/>
      <c r="DC186" s="30"/>
      <c r="DD186" s="3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/>
      <c r="DW186" s="30"/>
      <c r="DX186" s="30"/>
      <c r="DY186" s="30"/>
      <c r="DZ186" s="30"/>
      <c r="EA186" s="30"/>
      <c r="EB186" s="30"/>
      <c r="EC186" s="30"/>
      <c r="ED186" s="30"/>
      <c r="EE186" s="30"/>
      <c r="EF186" s="30"/>
      <c r="EG186" s="30"/>
      <c r="EH186" s="30"/>
      <c r="EI186" s="30"/>
      <c r="EJ186" s="30"/>
      <c r="EK186" s="30"/>
      <c r="EL186" s="30"/>
      <c r="EM186" s="30"/>
      <c r="EN186" s="30"/>
      <c r="EO186" s="30"/>
      <c r="EP186" s="30"/>
      <c r="EQ186" s="30"/>
      <c r="ER186" s="30"/>
      <c r="ES186" s="30"/>
      <c r="ET186" s="30"/>
      <c r="EU186" s="30"/>
      <c r="EV186" s="30"/>
      <c r="EW186" s="30"/>
      <c r="EX186" s="30"/>
      <c r="EY186" s="30"/>
      <c r="EZ186" s="30"/>
      <c r="FA186" s="30"/>
      <c r="FB186" s="30"/>
      <c r="FC186" s="30"/>
      <c r="FD186" s="30"/>
      <c r="FE186" s="30"/>
      <c r="FF186" s="30"/>
      <c r="FG186" s="30"/>
      <c r="FH186" s="30"/>
      <c r="FI186" s="30"/>
      <c r="FJ186" s="30"/>
      <c r="FK186" s="30"/>
      <c r="FL186" s="30"/>
      <c r="FM186" s="30"/>
      <c r="FN186" s="30"/>
      <c r="FO186" s="30"/>
      <c r="FP186" s="30"/>
      <c r="FQ186" s="30"/>
      <c r="FR186" s="30"/>
      <c r="FS186" s="30"/>
      <c r="FT186" s="30"/>
      <c r="FU186" s="30"/>
      <c r="FV186" s="30"/>
      <c r="FW186" s="30"/>
      <c r="FX186" s="30"/>
      <c r="FY186" s="30"/>
      <c r="FZ186" s="30"/>
      <c r="GA186" s="30"/>
      <c r="GB186" s="30"/>
      <c r="GC186" s="30"/>
      <c r="GD186" s="30"/>
      <c r="GE186" s="30"/>
      <c r="GF186" s="30"/>
      <c r="GG186" s="30"/>
      <c r="GH186" s="30"/>
      <c r="GI186" s="30"/>
      <c r="GJ186" s="30"/>
      <c r="GK186" s="30"/>
      <c r="GL186" s="30"/>
      <c r="GM186" s="30"/>
      <c r="GN186" s="30"/>
      <c r="GO186" s="30"/>
      <c r="GP186" s="30"/>
      <c r="GQ186" s="30"/>
      <c r="GR186" s="30"/>
      <c r="GS186" s="30"/>
      <c r="GT186" s="30"/>
      <c r="GU186" s="30"/>
      <c r="GV186" s="30"/>
      <c r="GW186" s="30"/>
      <c r="GX186" s="30"/>
      <c r="GY186" s="30"/>
      <c r="GZ186" s="30"/>
      <c r="HA186" s="30"/>
      <c r="HB186" s="30"/>
      <c r="HC186" s="30"/>
      <c r="HD186" s="30"/>
      <c r="HE186" s="30"/>
      <c r="HF186" s="30"/>
      <c r="HG186" s="30"/>
      <c r="HH186" s="30"/>
      <c r="HI186" s="30"/>
      <c r="HJ186" s="30"/>
      <c r="HK186" s="30"/>
      <c r="HL186" s="30"/>
      <c r="HM186" s="30"/>
      <c r="HN186" s="30"/>
      <c r="HO186" s="30"/>
      <c r="HP186" s="30"/>
      <c r="HQ186" s="30"/>
      <c r="HR186" s="30"/>
      <c r="HS186" s="30"/>
      <c r="HT186" s="30"/>
      <c r="HU186" s="30"/>
      <c r="HV186" s="30"/>
      <c r="HW186" s="30"/>
      <c r="HX186" s="30"/>
      <c r="HY186" s="30"/>
      <c r="HZ186" s="30"/>
      <c r="IA186" s="30"/>
      <c r="IB186" s="30"/>
      <c r="IC186" s="30"/>
      <c r="ID186" s="30"/>
      <c r="IE186" s="30"/>
      <c r="IF186" s="30"/>
      <c r="IG186" s="30"/>
      <c r="IH186" s="30"/>
      <c r="II186" s="30"/>
      <c r="IJ186" s="30"/>
      <c r="IK186" s="30"/>
      <c r="IL186" s="30"/>
      <c r="IM186" s="30"/>
      <c r="IN186" s="30"/>
      <c r="IO186" s="30"/>
      <c r="IP186" s="30"/>
      <c r="IQ186" s="30"/>
      <c r="IR186" s="31"/>
      <c r="IS186" s="31"/>
      <c r="IT186" s="31"/>
      <c r="IU186" s="31"/>
      <c r="IV186" s="31"/>
    </row>
    <row r="187" ht="11.25" customHeight="1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>
        <v>71.0</v>
      </c>
      <c r="U187" s="29" t="s">
        <v>375</v>
      </c>
      <c r="V187" s="29" t="s">
        <v>376</v>
      </c>
      <c r="W187" s="29" t="s">
        <v>377</v>
      </c>
      <c r="X187" s="29" t="s">
        <v>378</v>
      </c>
      <c r="Y187" s="29" t="s">
        <v>147</v>
      </c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  <c r="BC187" s="29"/>
      <c r="BD187" s="29"/>
      <c r="BE187" s="29"/>
      <c r="BF187" s="29"/>
      <c r="BG187" s="29"/>
      <c r="BH187" s="29"/>
      <c r="BI187" s="29"/>
      <c r="BJ187" s="29"/>
      <c r="BK187" s="29"/>
      <c r="BL187" s="29"/>
      <c r="BM187" s="29"/>
      <c r="BN187" s="29"/>
      <c r="BO187" s="29"/>
      <c r="BP187" s="29"/>
      <c r="BQ187" s="29"/>
      <c r="BR187" s="29"/>
      <c r="BS187" s="29"/>
      <c r="BT187" s="29"/>
      <c r="BU187" s="29"/>
      <c r="BV187" s="29"/>
      <c r="BW187" s="29"/>
      <c r="BX187" s="29"/>
      <c r="BY187" s="29"/>
      <c r="BZ187" s="29"/>
      <c r="CA187" s="29"/>
      <c r="CB187" s="29"/>
      <c r="CC187" s="29"/>
      <c r="CD187" s="29"/>
      <c r="CE187" s="29"/>
      <c r="CF187" s="29"/>
      <c r="CG187" s="29"/>
      <c r="CH187" s="29"/>
      <c r="CI187" s="29"/>
      <c r="CJ187" s="29"/>
      <c r="CK187" s="29"/>
      <c r="CL187" s="29"/>
      <c r="CM187" s="29"/>
      <c r="CN187" s="29"/>
      <c r="CO187" s="29"/>
      <c r="CP187" s="29"/>
      <c r="CQ187" s="29"/>
      <c r="CR187" s="29"/>
      <c r="CS187" s="29"/>
      <c r="CT187" s="29"/>
      <c r="CU187" s="29"/>
      <c r="CV187" s="29"/>
      <c r="CW187" s="29"/>
      <c r="CX187" s="30"/>
      <c r="CY187" s="30"/>
      <c r="CZ187" s="30"/>
      <c r="DA187" s="30"/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/>
      <c r="DW187" s="30"/>
      <c r="DX187" s="30"/>
      <c r="DY187" s="30"/>
      <c r="DZ187" s="30"/>
      <c r="EA187" s="30"/>
      <c r="EB187" s="30"/>
      <c r="EC187" s="30"/>
      <c r="ED187" s="30"/>
      <c r="EE187" s="30"/>
      <c r="EF187" s="30"/>
      <c r="EG187" s="30"/>
      <c r="EH187" s="30"/>
      <c r="EI187" s="30"/>
      <c r="EJ187" s="30"/>
      <c r="EK187" s="30"/>
      <c r="EL187" s="30"/>
      <c r="EM187" s="30"/>
      <c r="EN187" s="30"/>
      <c r="EO187" s="30"/>
      <c r="EP187" s="30"/>
      <c r="EQ187" s="30"/>
      <c r="ER187" s="30"/>
      <c r="ES187" s="30"/>
      <c r="ET187" s="30"/>
      <c r="EU187" s="30"/>
      <c r="EV187" s="30"/>
      <c r="EW187" s="30"/>
      <c r="EX187" s="30"/>
      <c r="EY187" s="30"/>
      <c r="EZ187" s="30"/>
      <c r="FA187" s="30"/>
      <c r="FB187" s="30"/>
      <c r="FC187" s="30"/>
      <c r="FD187" s="30"/>
      <c r="FE187" s="30"/>
      <c r="FF187" s="30"/>
      <c r="FG187" s="30"/>
      <c r="FH187" s="30"/>
      <c r="FI187" s="30"/>
      <c r="FJ187" s="30"/>
      <c r="FK187" s="30"/>
      <c r="FL187" s="30"/>
      <c r="FM187" s="30"/>
      <c r="FN187" s="30"/>
      <c r="FO187" s="30"/>
      <c r="FP187" s="30"/>
      <c r="FQ187" s="30"/>
      <c r="FR187" s="30"/>
      <c r="FS187" s="30"/>
      <c r="FT187" s="30"/>
      <c r="FU187" s="30"/>
      <c r="FV187" s="30"/>
      <c r="FW187" s="30"/>
      <c r="FX187" s="30"/>
      <c r="FY187" s="30"/>
      <c r="FZ187" s="30"/>
      <c r="GA187" s="30"/>
      <c r="GB187" s="30"/>
      <c r="GC187" s="30"/>
      <c r="GD187" s="30"/>
      <c r="GE187" s="30"/>
      <c r="GF187" s="30"/>
      <c r="GG187" s="30"/>
      <c r="GH187" s="30"/>
      <c r="GI187" s="30"/>
      <c r="GJ187" s="30"/>
      <c r="GK187" s="30"/>
      <c r="GL187" s="30"/>
      <c r="GM187" s="30"/>
      <c r="GN187" s="30"/>
      <c r="GO187" s="30"/>
      <c r="GP187" s="30"/>
      <c r="GQ187" s="30"/>
      <c r="GR187" s="30"/>
      <c r="GS187" s="30"/>
      <c r="GT187" s="30"/>
      <c r="GU187" s="30"/>
      <c r="GV187" s="30"/>
      <c r="GW187" s="30"/>
      <c r="GX187" s="30"/>
      <c r="GY187" s="30"/>
      <c r="GZ187" s="30"/>
      <c r="HA187" s="30"/>
      <c r="HB187" s="30"/>
      <c r="HC187" s="30"/>
      <c r="HD187" s="30"/>
      <c r="HE187" s="30"/>
      <c r="HF187" s="30"/>
      <c r="HG187" s="30"/>
      <c r="HH187" s="30"/>
      <c r="HI187" s="30"/>
      <c r="HJ187" s="30"/>
      <c r="HK187" s="30"/>
      <c r="HL187" s="30"/>
      <c r="HM187" s="30"/>
      <c r="HN187" s="30"/>
      <c r="HO187" s="30"/>
      <c r="HP187" s="30"/>
      <c r="HQ187" s="30"/>
      <c r="HR187" s="30"/>
      <c r="HS187" s="30"/>
      <c r="HT187" s="30"/>
      <c r="HU187" s="30"/>
      <c r="HV187" s="30"/>
      <c r="HW187" s="30"/>
      <c r="HX187" s="30"/>
      <c r="HY187" s="30"/>
      <c r="HZ187" s="30"/>
      <c r="IA187" s="30"/>
      <c r="IB187" s="30"/>
      <c r="IC187" s="30"/>
      <c r="ID187" s="30"/>
      <c r="IE187" s="30"/>
      <c r="IF187" s="30"/>
      <c r="IG187" s="30"/>
      <c r="IH187" s="30"/>
      <c r="II187" s="30"/>
      <c r="IJ187" s="30"/>
      <c r="IK187" s="30"/>
      <c r="IL187" s="30"/>
      <c r="IM187" s="30"/>
      <c r="IN187" s="30"/>
      <c r="IO187" s="30"/>
      <c r="IP187" s="30"/>
      <c r="IQ187" s="30"/>
      <c r="IR187" s="31"/>
      <c r="IS187" s="31"/>
      <c r="IT187" s="31"/>
      <c r="IU187" s="31"/>
      <c r="IV187" s="31"/>
    </row>
    <row r="188" ht="11.25" customHeight="1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>
        <v>72.0</v>
      </c>
      <c r="U188" s="29" t="s">
        <v>379</v>
      </c>
      <c r="V188" s="29" t="s">
        <v>380</v>
      </c>
      <c r="W188" s="29" t="s">
        <v>381</v>
      </c>
      <c r="X188" s="29" t="s">
        <v>147</v>
      </c>
      <c r="Y188" s="29" t="s">
        <v>147</v>
      </c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  <c r="BC188" s="29"/>
      <c r="BD188" s="29"/>
      <c r="BE188" s="29"/>
      <c r="BF188" s="29"/>
      <c r="BG188" s="29"/>
      <c r="BH188" s="29"/>
      <c r="BI188" s="29"/>
      <c r="BJ188" s="29"/>
      <c r="BK188" s="29"/>
      <c r="BL188" s="29"/>
      <c r="BM188" s="29"/>
      <c r="BN188" s="29"/>
      <c r="BO188" s="29"/>
      <c r="BP188" s="29"/>
      <c r="BQ188" s="29"/>
      <c r="BR188" s="29"/>
      <c r="BS188" s="29"/>
      <c r="BT188" s="29"/>
      <c r="BU188" s="29"/>
      <c r="BV188" s="29"/>
      <c r="BW188" s="29"/>
      <c r="BX188" s="29"/>
      <c r="BY188" s="29"/>
      <c r="BZ188" s="29"/>
      <c r="CA188" s="29"/>
      <c r="CB188" s="29"/>
      <c r="CC188" s="29"/>
      <c r="CD188" s="29"/>
      <c r="CE188" s="29"/>
      <c r="CF188" s="29"/>
      <c r="CG188" s="29"/>
      <c r="CH188" s="29"/>
      <c r="CI188" s="29"/>
      <c r="CJ188" s="29"/>
      <c r="CK188" s="29"/>
      <c r="CL188" s="29"/>
      <c r="CM188" s="29"/>
      <c r="CN188" s="29"/>
      <c r="CO188" s="29"/>
      <c r="CP188" s="29"/>
      <c r="CQ188" s="29"/>
      <c r="CR188" s="29"/>
      <c r="CS188" s="29"/>
      <c r="CT188" s="29"/>
      <c r="CU188" s="29"/>
      <c r="CV188" s="29"/>
      <c r="CW188" s="29"/>
      <c r="CX188" s="30"/>
      <c r="CY188" s="30"/>
      <c r="CZ188" s="30"/>
      <c r="DA188" s="30"/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30"/>
      <c r="DX188" s="30"/>
      <c r="DY188" s="30"/>
      <c r="DZ188" s="30"/>
      <c r="EA188" s="30"/>
      <c r="EB188" s="30"/>
      <c r="EC188" s="30"/>
      <c r="ED188" s="30"/>
      <c r="EE188" s="30"/>
      <c r="EF188" s="30"/>
      <c r="EG188" s="30"/>
      <c r="EH188" s="30"/>
      <c r="EI188" s="30"/>
      <c r="EJ188" s="30"/>
      <c r="EK188" s="30"/>
      <c r="EL188" s="30"/>
      <c r="EM188" s="30"/>
      <c r="EN188" s="30"/>
      <c r="EO188" s="30"/>
      <c r="EP188" s="30"/>
      <c r="EQ188" s="30"/>
      <c r="ER188" s="30"/>
      <c r="ES188" s="30"/>
      <c r="ET188" s="30"/>
      <c r="EU188" s="30"/>
      <c r="EV188" s="30"/>
      <c r="EW188" s="30"/>
      <c r="EX188" s="30"/>
      <c r="EY188" s="30"/>
      <c r="EZ188" s="30"/>
      <c r="FA188" s="30"/>
      <c r="FB188" s="30"/>
      <c r="FC188" s="30"/>
      <c r="FD188" s="30"/>
      <c r="FE188" s="30"/>
      <c r="FF188" s="30"/>
      <c r="FG188" s="30"/>
      <c r="FH188" s="30"/>
      <c r="FI188" s="30"/>
      <c r="FJ188" s="30"/>
      <c r="FK188" s="30"/>
      <c r="FL188" s="30"/>
      <c r="FM188" s="30"/>
      <c r="FN188" s="30"/>
      <c r="FO188" s="30"/>
      <c r="FP188" s="30"/>
      <c r="FQ188" s="30"/>
      <c r="FR188" s="30"/>
      <c r="FS188" s="30"/>
      <c r="FT188" s="30"/>
      <c r="FU188" s="30"/>
      <c r="FV188" s="30"/>
      <c r="FW188" s="30"/>
      <c r="FX188" s="30"/>
      <c r="FY188" s="30"/>
      <c r="FZ188" s="30"/>
      <c r="GA188" s="30"/>
      <c r="GB188" s="30"/>
      <c r="GC188" s="30"/>
      <c r="GD188" s="30"/>
      <c r="GE188" s="30"/>
      <c r="GF188" s="30"/>
      <c r="GG188" s="30"/>
      <c r="GH188" s="30"/>
      <c r="GI188" s="30"/>
      <c r="GJ188" s="30"/>
      <c r="GK188" s="30"/>
      <c r="GL188" s="30"/>
      <c r="GM188" s="30"/>
      <c r="GN188" s="30"/>
      <c r="GO188" s="30"/>
      <c r="GP188" s="30"/>
      <c r="GQ188" s="30"/>
      <c r="GR188" s="30"/>
      <c r="GS188" s="30"/>
      <c r="GT188" s="30"/>
      <c r="GU188" s="30"/>
      <c r="GV188" s="30"/>
      <c r="GW188" s="30"/>
      <c r="GX188" s="30"/>
      <c r="GY188" s="30"/>
      <c r="GZ188" s="30"/>
      <c r="HA188" s="30"/>
      <c r="HB188" s="30"/>
      <c r="HC188" s="30"/>
      <c r="HD188" s="30"/>
      <c r="HE188" s="30"/>
      <c r="HF188" s="30"/>
      <c r="HG188" s="30"/>
      <c r="HH188" s="30"/>
      <c r="HI188" s="30"/>
      <c r="HJ188" s="30"/>
      <c r="HK188" s="30"/>
      <c r="HL188" s="30"/>
      <c r="HM188" s="30"/>
      <c r="HN188" s="30"/>
      <c r="HO188" s="30"/>
      <c r="HP188" s="30"/>
      <c r="HQ188" s="30"/>
      <c r="HR188" s="30"/>
      <c r="HS188" s="30"/>
      <c r="HT188" s="30"/>
      <c r="HU188" s="30"/>
      <c r="HV188" s="30"/>
      <c r="HW188" s="30"/>
      <c r="HX188" s="30"/>
      <c r="HY188" s="30"/>
      <c r="HZ188" s="30"/>
      <c r="IA188" s="30"/>
      <c r="IB188" s="30"/>
      <c r="IC188" s="30"/>
      <c r="ID188" s="30"/>
      <c r="IE188" s="30"/>
      <c r="IF188" s="30"/>
      <c r="IG188" s="30"/>
      <c r="IH188" s="30"/>
      <c r="II188" s="30"/>
      <c r="IJ188" s="30"/>
      <c r="IK188" s="30"/>
      <c r="IL188" s="30"/>
      <c r="IM188" s="30"/>
      <c r="IN188" s="30"/>
      <c r="IO188" s="30"/>
      <c r="IP188" s="30"/>
      <c r="IQ188" s="30"/>
      <c r="IR188" s="31"/>
      <c r="IS188" s="31"/>
      <c r="IT188" s="31"/>
      <c r="IU188" s="31"/>
      <c r="IV188" s="31"/>
    </row>
    <row r="189" ht="11.25" customHeight="1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>
        <v>73.0</v>
      </c>
      <c r="U189" s="29" t="s">
        <v>382</v>
      </c>
      <c r="V189" s="29" t="s">
        <v>383</v>
      </c>
      <c r="W189" s="29" t="s">
        <v>384</v>
      </c>
      <c r="X189" s="29" t="s">
        <v>147</v>
      </c>
      <c r="Y189" s="29" t="s">
        <v>147</v>
      </c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  <c r="BC189" s="29"/>
      <c r="BD189" s="29"/>
      <c r="BE189" s="29"/>
      <c r="BF189" s="29"/>
      <c r="BG189" s="29"/>
      <c r="BH189" s="29"/>
      <c r="BI189" s="29"/>
      <c r="BJ189" s="29"/>
      <c r="BK189" s="29"/>
      <c r="BL189" s="29"/>
      <c r="BM189" s="29"/>
      <c r="BN189" s="29"/>
      <c r="BO189" s="29"/>
      <c r="BP189" s="29"/>
      <c r="BQ189" s="29"/>
      <c r="BR189" s="29"/>
      <c r="BS189" s="29"/>
      <c r="BT189" s="29"/>
      <c r="BU189" s="29"/>
      <c r="BV189" s="29"/>
      <c r="BW189" s="29"/>
      <c r="BX189" s="29"/>
      <c r="BY189" s="29"/>
      <c r="BZ189" s="29"/>
      <c r="CA189" s="29"/>
      <c r="CB189" s="29"/>
      <c r="CC189" s="29"/>
      <c r="CD189" s="29"/>
      <c r="CE189" s="29"/>
      <c r="CF189" s="29"/>
      <c r="CG189" s="29"/>
      <c r="CH189" s="29"/>
      <c r="CI189" s="29"/>
      <c r="CJ189" s="2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30"/>
      <c r="CY189" s="30"/>
      <c r="CZ189" s="30"/>
      <c r="DA189" s="30"/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30"/>
      <c r="DX189" s="30"/>
      <c r="DY189" s="30"/>
      <c r="DZ189" s="30"/>
      <c r="EA189" s="30"/>
      <c r="EB189" s="30"/>
      <c r="EC189" s="30"/>
      <c r="ED189" s="30"/>
      <c r="EE189" s="30"/>
      <c r="EF189" s="30"/>
      <c r="EG189" s="30"/>
      <c r="EH189" s="30"/>
      <c r="EI189" s="30"/>
      <c r="EJ189" s="30"/>
      <c r="EK189" s="30"/>
      <c r="EL189" s="30"/>
      <c r="EM189" s="30"/>
      <c r="EN189" s="30"/>
      <c r="EO189" s="30"/>
      <c r="EP189" s="30"/>
      <c r="EQ189" s="30"/>
      <c r="ER189" s="30"/>
      <c r="ES189" s="30"/>
      <c r="ET189" s="30"/>
      <c r="EU189" s="30"/>
      <c r="EV189" s="30"/>
      <c r="EW189" s="30"/>
      <c r="EX189" s="30"/>
      <c r="EY189" s="30"/>
      <c r="EZ189" s="30"/>
      <c r="FA189" s="30"/>
      <c r="FB189" s="30"/>
      <c r="FC189" s="30"/>
      <c r="FD189" s="30"/>
      <c r="FE189" s="30"/>
      <c r="FF189" s="30"/>
      <c r="FG189" s="30"/>
      <c r="FH189" s="30"/>
      <c r="FI189" s="30"/>
      <c r="FJ189" s="30"/>
      <c r="FK189" s="30"/>
      <c r="FL189" s="30"/>
      <c r="FM189" s="30"/>
      <c r="FN189" s="30"/>
      <c r="FO189" s="30"/>
      <c r="FP189" s="30"/>
      <c r="FQ189" s="30"/>
      <c r="FR189" s="30"/>
      <c r="FS189" s="30"/>
      <c r="FT189" s="30"/>
      <c r="FU189" s="30"/>
      <c r="FV189" s="30"/>
      <c r="FW189" s="30"/>
      <c r="FX189" s="30"/>
      <c r="FY189" s="30"/>
      <c r="FZ189" s="30"/>
      <c r="GA189" s="30"/>
      <c r="GB189" s="30"/>
      <c r="GC189" s="30"/>
      <c r="GD189" s="30"/>
      <c r="GE189" s="30"/>
      <c r="GF189" s="30"/>
      <c r="GG189" s="30"/>
      <c r="GH189" s="30"/>
      <c r="GI189" s="30"/>
      <c r="GJ189" s="30"/>
      <c r="GK189" s="30"/>
      <c r="GL189" s="30"/>
      <c r="GM189" s="30"/>
      <c r="GN189" s="30"/>
      <c r="GO189" s="30"/>
      <c r="GP189" s="30"/>
      <c r="GQ189" s="30"/>
      <c r="GR189" s="30"/>
      <c r="GS189" s="30"/>
      <c r="GT189" s="30"/>
      <c r="GU189" s="30"/>
      <c r="GV189" s="30"/>
      <c r="GW189" s="30"/>
      <c r="GX189" s="30"/>
      <c r="GY189" s="30"/>
      <c r="GZ189" s="30"/>
      <c r="HA189" s="30"/>
      <c r="HB189" s="30"/>
      <c r="HC189" s="30"/>
      <c r="HD189" s="30"/>
      <c r="HE189" s="30"/>
      <c r="HF189" s="30"/>
      <c r="HG189" s="30"/>
      <c r="HH189" s="30"/>
      <c r="HI189" s="30"/>
      <c r="HJ189" s="30"/>
      <c r="HK189" s="30"/>
      <c r="HL189" s="30"/>
      <c r="HM189" s="30"/>
      <c r="HN189" s="30"/>
      <c r="HO189" s="30"/>
      <c r="HP189" s="30"/>
      <c r="HQ189" s="30"/>
      <c r="HR189" s="30"/>
      <c r="HS189" s="30"/>
      <c r="HT189" s="30"/>
      <c r="HU189" s="30"/>
      <c r="HV189" s="30"/>
      <c r="HW189" s="30"/>
      <c r="HX189" s="30"/>
      <c r="HY189" s="30"/>
      <c r="HZ189" s="30"/>
      <c r="IA189" s="30"/>
      <c r="IB189" s="30"/>
      <c r="IC189" s="30"/>
      <c r="ID189" s="30"/>
      <c r="IE189" s="30"/>
      <c r="IF189" s="30"/>
      <c r="IG189" s="30"/>
      <c r="IH189" s="30"/>
      <c r="II189" s="30"/>
      <c r="IJ189" s="30"/>
      <c r="IK189" s="30"/>
      <c r="IL189" s="30"/>
      <c r="IM189" s="30"/>
      <c r="IN189" s="30"/>
      <c r="IO189" s="30"/>
      <c r="IP189" s="30"/>
      <c r="IQ189" s="30"/>
      <c r="IR189" s="31"/>
      <c r="IS189" s="31"/>
      <c r="IT189" s="31"/>
      <c r="IU189" s="31"/>
      <c r="IV189" s="31"/>
    </row>
    <row r="190" ht="11.25" customHeight="1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>
        <v>74.0</v>
      </c>
      <c r="U190" s="29" t="s">
        <v>385</v>
      </c>
      <c r="V190" s="29" t="s">
        <v>386</v>
      </c>
      <c r="W190" s="29" t="s">
        <v>387</v>
      </c>
      <c r="X190" s="29" t="s">
        <v>388</v>
      </c>
      <c r="Y190" s="29" t="s">
        <v>147</v>
      </c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  <c r="BC190" s="29"/>
      <c r="BD190" s="29"/>
      <c r="BE190" s="29"/>
      <c r="BF190" s="29"/>
      <c r="BG190" s="29"/>
      <c r="BH190" s="29"/>
      <c r="BI190" s="29"/>
      <c r="BJ190" s="29"/>
      <c r="BK190" s="29"/>
      <c r="BL190" s="29"/>
      <c r="BM190" s="29"/>
      <c r="BN190" s="29"/>
      <c r="BO190" s="29"/>
      <c r="BP190" s="29"/>
      <c r="BQ190" s="29"/>
      <c r="BR190" s="29"/>
      <c r="BS190" s="29"/>
      <c r="BT190" s="29"/>
      <c r="BU190" s="29"/>
      <c r="BV190" s="29"/>
      <c r="BW190" s="29"/>
      <c r="BX190" s="29"/>
      <c r="BY190" s="29"/>
      <c r="BZ190" s="29"/>
      <c r="CA190" s="29"/>
      <c r="CB190" s="29"/>
      <c r="CC190" s="29"/>
      <c r="CD190" s="29"/>
      <c r="CE190" s="29"/>
      <c r="CF190" s="29"/>
      <c r="CG190" s="29"/>
      <c r="CH190" s="29"/>
      <c r="CI190" s="29"/>
      <c r="CJ190" s="29"/>
      <c r="CK190" s="29"/>
      <c r="CL190" s="29"/>
      <c r="CM190" s="29"/>
      <c r="CN190" s="29"/>
      <c r="CO190" s="29"/>
      <c r="CP190" s="29"/>
      <c r="CQ190" s="29"/>
      <c r="CR190" s="29"/>
      <c r="CS190" s="29"/>
      <c r="CT190" s="29"/>
      <c r="CU190" s="29"/>
      <c r="CV190" s="29"/>
      <c r="CW190" s="29"/>
      <c r="CX190" s="30"/>
      <c r="CY190" s="30"/>
      <c r="CZ190" s="30"/>
      <c r="DA190" s="30"/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/>
      <c r="DW190" s="30"/>
      <c r="DX190" s="30"/>
      <c r="DY190" s="30"/>
      <c r="DZ190" s="30"/>
      <c r="EA190" s="30"/>
      <c r="EB190" s="30"/>
      <c r="EC190" s="30"/>
      <c r="ED190" s="30"/>
      <c r="EE190" s="30"/>
      <c r="EF190" s="30"/>
      <c r="EG190" s="30"/>
      <c r="EH190" s="30"/>
      <c r="EI190" s="30"/>
      <c r="EJ190" s="30"/>
      <c r="EK190" s="30"/>
      <c r="EL190" s="30"/>
      <c r="EM190" s="30"/>
      <c r="EN190" s="30"/>
      <c r="EO190" s="30"/>
      <c r="EP190" s="30"/>
      <c r="EQ190" s="30"/>
      <c r="ER190" s="30"/>
      <c r="ES190" s="30"/>
      <c r="ET190" s="30"/>
      <c r="EU190" s="30"/>
      <c r="EV190" s="30"/>
      <c r="EW190" s="30"/>
      <c r="EX190" s="30"/>
      <c r="EY190" s="30"/>
      <c r="EZ190" s="30"/>
      <c r="FA190" s="30"/>
      <c r="FB190" s="30"/>
      <c r="FC190" s="30"/>
      <c r="FD190" s="30"/>
      <c r="FE190" s="30"/>
      <c r="FF190" s="30"/>
      <c r="FG190" s="30"/>
      <c r="FH190" s="30"/>
      <c r="FI190" s="30"/>
      <c r="FJ190" s="30"/>
      <c r="FK190" s="30"/>
      <c r="FL190" s="30"/>
      <c r="FM190" s="30"/>
      <c r="FN190" s="30"/>
      <c r="FO190" s="30"/>
      <c r="FP190" s="30"/>
      <c r="FQ190" s="30"/>
      <c r="FR190" s="30"/>
      <c r="FS190" s="30"/>
      <c r="FT190" s="30"/>
      <c r="FU190" s="30"/>
      <c r="FV190" s="30"/>
      <c r="FW190" s="30"/>
      <c r="FX190" s="30"/>
      <c r="FY190" s="30"/>
      <c r="FZ190" s="30"/>
      <c r="GA190" s="30"/>
      <c r="GB190" s="30"/>
      <c r="GC190" s="30"/>
      <c r="GD190" s="30"/>
      <c r="GE190" s="30"/>
      <c r="GF190" s="30"/>
      <c r="GG190" s="30"/>
      <c r="GH190" s="30"/>
      <c r="GI190" s="30"/>
      <c r="GJ190" s="30"/>
      <c r="GK190" s="30"/>
      <c r="GL190" s="30"/>
      <c r="GM190" s="30"/>
      <c r="GN190" s="30"/>
      <c r="GO190" s="30"/>
      <c r="GP190" s="30"/>
      <c r="GQ190" s="30"/>
      <c r="GR190" s="30"/>
      <c r="GS190" s="30"/>
      <c r="GT190" s="30"/>
      <c r="GU190" s="30"/>
      <c r="GV190" s="30"/>
      <c r="GW190" s="30"/>
      <c r="GX190" s="30"/>
      <c r="GY190" s="30"/>
      <c r="GZ190" s="30"/>
      <c r="HA190" s="30"/>
      <c r="HB190" s="30"/>
      <c r="HC190" s="30"/>
      <c r="HD190" s="30"/>
      <c r="HE190" s="30"/>
      <c r="HF190" s="30"/>
      <c r="HG190" s="30"/>
      <c r="HH190" s="30"/>
      <c r="HI190" s="30"/>
      <c r="HJ190" s="30"/>
      <c r="HK190" s="30"/>
      <c r="HL190" s="30"/>
      <c r="HM190" s="30"/>
      <c r="HN190" s="30"/>
      <c r="HO190" s="30"/>
      <c r="HP190" s="30"/>
      <c r="HQ190" s="30"/>
      <c r="HR190" s="30"/>
      <c r="HS190" s="30"/>
      <c r="HT190" s="30"/>
      <c r="HU190" s="30"/>
      <c r="HV190" s="30"/>
      <c r="HW190" s="30"/>
      <c r="HX190" s="30"/>
      <c r="HY190" s="30"/>
      <c r="HZ190" s="30"/>
      <c r="IA190" s="30"/>
      <c r="IB190" s="30"/>
      <c r="IC190" s="30"/>
      <c r="ID190" s="30"/>
      <c r="IE190" s="30"/>
      <c r="IF190" s="30"/>
      <c r="IG190" s="30"/>
      <c r="IH190" s="30"/>
      <c r="II190" s="30"/>
      <c r="IJ190" s="30"/>
      <c r="IK190" s="30"/>
      <c r="IL190" s="30"/>
      <c r="IM190" s="30"/>
      <c r="IN190" s="30"/>
      <c r="IO190" s="30"/>
      <c r="IP190" s="30"/>
      <c r="IQ190" s="30"/>
      <c r="IR190" s="31"/>
      <c r="IS190" s="31"/>
      <c r="IT190" s="31"/>
      <c r="IU190" s="31"/>
      <c r="IV190" s="31"/>
    </row>
    <row r="191" ht="11.25" customHeight="1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>
        <v>75.0</v>
      </c>
      <c r="U191" s="29" t="s">
        <v>389</v>
      </c>
      <c r="V191" s="29" t="s">
        <v>390</v>
      </c>
      <c r="W191" s="29" t="s">
        <v>391</v>
      </c>
      <c r="X191" s="29" t="s">
        <v>392</v>
      </c>
      <c r="Y191" s="29" t="s">
        <v>393</v>
      </c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  <c r="BC191" s="29"/>
      <c r="BD191" s="29"/>
      <c r="BE191" s="29"/>
      <c r="BF191" s="29"/>
      <c r="BG191" s="29"/>
      <c r="BH191" s="29"/>
      <c r="BI191" s="29"/>
      <c r="BJ191" s="29"/>
      <c r="BK191" s="29"/>
      <c r="BL191" s="29"/>
      <c r="BM191" s="29"/>
      <c r="BN191" s="29"/>
      <c r="BO191" s="29"/>
      <c r="BP191" s="29"/>
      <c r="BQ191" s="29"/>
      <c r="BR191" s="29"/>
      <c r="BS191" s="29"/>
      <c r="BT191" s="29"/>
      <c r="BU191" s="29"/>
      <c r="BV191" s="29"/>
      <c r="BW191" s="29"/>
      <c r="BX191" s="29"/>
      <c r="BY191" s="29"/>
      <c r="BZ191" s="29"/>
      <c r="CA191" s="29"/>
      <c r="CB191" s="29"/>
      <c r="CC191" s="29"/>
      <c r="CD191" s="29"/>
      <c r="CE191" s="29"/>
      <c r="CF191" s="29"/>
      <c r="CG191" s="29"/>
      <c r="CH191" s="29"/>
      <c r="CI191" s="29"/>
      <c r="CJ191" s="29"/>
      <c r="CK191" s="29"/>
      <c r="CL191" s="29"/>
      <c r="CM191" s="29"/>
      <c r="CN191" s="29"/>
      <c r="CO191" s="29"/>
      <c r="CP191" s="29"/>
      <c r="CQ191" s="29"/>
      <c r="CR191" s="29"/>
      <c r="CS191" s="29"/>
      <c r="CT191" s="29"/>
      <c r="CU191" s="29"/>
      <c r="CV191" s="29"/>
      <c r="CW191" s="29"/>
      <c r="CX191" s="30"/>
      <c r="CY191" s="30"/>
      <c r="CZ191" s="30"/>
      <c r="DA191" s="30"/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30"/>
      <c r="DX191" s="30"/>
      <c r="DY191" s="30"/>
      <c r="DZ191" s="30"/>
      <c r="EA191" s="30"/>
      <c r="EB191" s="30"/>
      <c r="EC191" s="30"/>
      <c r="ED191" s="30"/>
      <c r="EE191" s="30"/>
      <c r="EF191" s="30"/>
      <c r="EG191" s="30"/>
      <c r="EH191" s="30"/>
      <c r="EI191" s="30"/>
      <c r="EJ191" s="30"/>
      <c r="EK191" s="30"/>
      <c r="EL191" s="30"/>
      <c r="EM191" s="30"/>
      <c r="EN191" s="30"/>
      <c r="EO191" s="30"/>
      <c r="EP191" s="30"/>
      <c r="EQ191" s="30"/>
      <c r="ER191" s="30"/>
      <c r="ES191" s="30"/>
      <c r="ET191" s="30"/>
      <c r="EU191" s="30"/>
      <c r="EV191" s="30"/>
      <c r="EW191" s="30"/>
      <c r="EX191" s="30"/>
      <c r="EY191" s="30"/>
      <c r="EZ191" s="30"/>
      <c r="FA191" s="30"/>
      <c r="FB191" s="30"/>
      <c r="FC191" s="30"/>
      <c r="FD191" s="30"/>
      <c r="FE191" s="30"/>
      <c r="FF191" s="30"/>
      <c r="FG191" s="30"/>
      <c r="FH191" s="30"/>
      <c r="FI191" s="30"/>
      <c r="FJ191" s="30"/>
      <c r="FK191" s="30"/>
      <c r="FL191" s="30"/>
      <c r="FM191" s="30"/>
      <c r="FN191" s="30"/>
      <c r="FO191" s="30"/>
      <c r="FP191" s="30"/>
      <c r="FQ191" s="30"/>
      <c r="FR191" s="30"/>
      <c r="FS191" s="30"/>
      <c r="FT191" s="30"/>
      <c r="FU191" s="30"/>
      <c r="FV191" s="30"/>
      <c r="FW191" s="30"/>
      <c r="FX191" s="30"/>
      <c r="FY191" s="30"/>
      <c r="FZ191" s="30"/>
      <c r="GA191" s="30"/>
      <c r="GB191" s="30"/>
      <c r="GC191" s="30"/>
      <c r="GD191" s="30"/>
      <c r="GE191" s="30"/>
      <c r="GF191" s="30"/>
      <c r="GG191" s="30"/>
      <c r="GH191" s="30"/>
      <c r="GI191" s="30"/>
      <c r="GJ191" s="30"/>
      <c r="GK191" s="30"/>
      <c r="GL191" s="30"/>
      <c r="GM191" s="30"/>
      <c r="GN191" s="30"/>
      <c r="GO191" s="30"/>
      <c r="GP191" s="30"/>
      <c r="GQ191" s="30"/>
      <c r="GR191" s="30"/>
      <c r="GS191" s="30"/>
      <c r="GT191" s="30"/>
      <c r="GU191" s="30"/>
      <c r="GV191" s="30"/>
      <c r="GW191" s="30"/>
      <c r="GX191" s="30"/>
      <c r="GY191" s="30"/>
      <c r="GZ191" s="30"/>
      <c r="HA191" s="30"/>
      <c r="HB191" s="30"/>
      <c r="HC191" s="30"/>
      <c r="HD191" s="30"/>
      <c r="HE191" s="30"/>
      <c r="HF191" s="30"/>
      <c r="HG191" s="30"/>
      <c r="HH191" s="30"/>
      <c r="HI191" s="30"/>
      <c r="HJ191" s="30"/>
      <c r="HK191" s="30"/>
      <c r="HL191" s="30"/>
      <c r="HM191" s="30"/>
      <c r="HN191" s="30"/>
      <c r="HO191" s="30"/>
      <c r="HP191" s="30"/>
      <c r="HQ191" s="30"/>
      <c r="HR191" s="30"/>
      <c r="HS191" s="30"/>
      <c r="HT191" s="30"/>
      <c r="HU191" s="30"/>
      <c r="HV191" s="30"/>
      <c r="HW191" s="30"/>
      <c r="HX191" s="30"/>
      <c r="HY191" s="30"/>
      <c r="HZ191" s="30"/>
      <c r="IA191" s="30"/>
      <c r="IB191" s="30"/>
      <c r="IC191" s="30"/>
      <c r="ID191" s="30"/>
      <c r="IE191" s="30"/>
      <c r="IF191" s="30"/>
      <c r="IG191" s="30"/>
      <c r="IH191" s="30"/>
      <c r="II191" s="30"/>
      <c r="IJ191" s="30"/>
      <c r="IK191" s="30"/>
      <c r="IL191" s="30"/>
      <c r="IM191" s="30"/>
      <c r="IN191" s="30"/>
      <c r="IO191" s="30"/>
      <c r="IP191" s="30"/>
      <c r="IQ191" s="30"/>
      <c r="IR191" s="31"/>
      <c r="IS191" s="31"/>
      <c r="IT191" s="31"/>
      <c r="IU191" s="31"/>
      <c r="IV191" s="31"/>
    </row>
    <row r="192" ht="11.25" customHeight="1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>
        <v>76.0</v>
      </c>
      <c r="U192" s="29" t="s">
        <v>394</v>
      </c>
      <c r="V192" s="29" t="s">
        <v>395</v>
      </c>
      <c r="W192" s="29" t="s">
        <v>396</v>
      </c>
      <c r="X192" s="29" t="s">
        <v>147</v>
      </c>
      <c r="Y192" s="29" t="s">
        <v>147</v>
      </c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  <c r="BC192" s="29"/>
      <c r="BD192" s="29"/>
      <c r="BE192" s="29"/>
      <c r="BF192" s="29"/>
      <c r="BG192" s="29"/>
      <c r="BH192" s="29"/>
      <c r="BI192" s="29"/>
      <c r="BJ192" s="29"/>
      <c r="BK192" s="29"/>
      <c r="BL192" s="29"/>
      <c r="BM192" s="29"/>
      <c r="BN192" s="29"/>
      <c r="BO192" s="29"/>
      <c r="BP192" s="29"/>
      <c r="BQ192" s="29"/>
      <c r="BR192" s="29"/>
      <c r="BS192" s="29"/>
      <c r="BT192" s="29"/>
      <c r="BU192" s="29"/>
      <c r="BV192" s="29"/>
      <c r="BW192" s="29"/>
      <c r="BX192" s="29"/>
      <c r="BY192" s="29"/>
      <c r="BZ192" s="29"/>
      <c r="CA192" s="29"/>
      <c r="CB192" s="29"/>
      <c r="CC192" s="29"/>
      <c r="CD192" s="29"/>
      <c r="CE192" s="29"/>
      <c r="CF192" s="29"/>
      <c r="CG192" s="29"/>
      <c r="CH192" s="29"/>
      <c r="CI192" s="29"/>
      <c r="CJ192" s="29"/>
      <c r="CK192" s="29"/>
      <c r="CL192" s="29"/>
      <c r="CM192" s="29"/>
      <c r="CN192" s="29"/>
      <c r="CO192" s="29"/>
      <c r="CP192" s="29"/>
      <c r="CQ192" s="29"/>
      <c r="CR192" s="29"/>
      <c r="CS192" s="29"/>
      <c r="CT192" s="29"/>
      <c r="CU192" s="29"/>
      <c r="CV192" s="29"/>
      <c r="CW192" s="29"/>
      <c r="CX192" s="30"/>
      <c r="CY192" s="30"/>
      <c r="CZ192" s="30"/>
      <c r="DA192" s="30"/>
      <c r="DB192" s="30"/>
      <c r="DC192" s="30"/>
      <c r="DD192" s="30"/>
      <c r="DE192" s="30"/>
      <c r="DF192" s="30"/>
      <c r="DG192" s="30"/>
      <c r="DH192" s="30"/>
      <c r="DI192" s="30"/>
      <c r="DJ192" s="30"/>
      <c r="DK192" s="30"/>
      <c r="DL192" s="30"/>
      <c r="DM192" s="30"/>
      <c r="DN192" s="30"/>
      <c r="DO192" s="30"/>
      <c r="DP192" s="30"/>
      <c r="DQ192" s="30"/>
      <c r="DR192" s="30"/>
      <c r="DS192" s="30"/>
      <c r="DT192" s="30"/>
      <c r="DU192" s="30"/>
      <c r="DV192" s="30"/>
      <c r="DW192" s="30"/>
      <c r="DX192" s="30"/>
      <c r="DY192" s="30"/>
      <c r="DZ192" s="30"/>
      <c r="EA192" s="30"/>
      <c r="EB192" s="30"/>
      <c r="EC192" s="30"/>
      <c r="ED192" s="30"/>
      <c r="EE192" s="30"/>
      <c r="EF192" s="30"/>
      <c r="EG192" s="30"/>
      <c r="EH192" s="30"/>
      <c r="EI192" s="30"/>
      <c r="EJ192" s="30"/>
      <c r="EK192" s="30"/>
      <c r="EL192" s="30"/>
      <c r="EM192" s="30"/>
      <c r="EN192" s="30"/>
      <c r="EO192" s="30"/>
      <c r="EP192" s="30"/>
      <c r="EQ192" s="30"/>
      <c r="ER192" s="30"/>
      <c r="ES192" s="30"/>
      <c r="ET192" s="30"/>
      <c r="EU192" s="30"/>
      <c r="EV192" s="30"/>
      <c r="EW192" s="30"/>
      <c r="EX192" s="30"/>
      <c r="EY192" s="30"/>
      <c r="EZ192" s="30"/>
      <c r="FA192" s="30"/>
      <c r="FB192" s="30"/>
      <c r="FC192" s="30"/>
      <c r="FD192" s="30"/>
      <c r="FE192" s="30"/>
      <c r="FF192" s="30"/>
      <c r="FG192" s="30"/>
      <c r="FH192" s="30"/>
      <c r="FI192" s="30"/>
      <c r="FJ192" s="30"/>
      <c r="FK192" s="30"/>
      <c r="FL192" s="30"/>
      <c r="FM192" s="30"/>
      <c r="FN192" s="30"/>
      <c r="FO192" s="30"/>
      <c r="FP192" s="30"/>
      <c r="FQ192" s="30"/>
      <c r="FR192" s="30"/>
      <c r="FS192" s="30"/>
      <c r="FT192" s="30"/>
      <c r="FU192" s="30"/>
      <c r="FV192" s="30"/>
      <c r="FW192" s="30"/>
      <c r="FX192" s="30"/>
      <c r="FY192" s="30"/>
      <c r="FZ192" s="30"/>
      <c r="GA192" s="30"/>
      <c r="GB192" s="30"/>
      <c r="GC192" s="30"/>
      <c r="GD192" s="30"/>
      <c r="GE192" s="30"/>
      <c r="GF192" s="30"/>
      <c r="GG192" s="30"/>
      <c r="GH192" s="30"/>
      <c r="GI192" s="30"/>
      <c r="GJ192" s="30"/>
      <c r="GK192" s="30"/>
      <c r="GL192" s="30"/>
      <c r="GM192" s="30"/>
      <c r="GN192" s="30"/>
      <c r="GO192" s="30"/>
      <c r="GP192" s="30"/>
      <c r="GQ192" s="30"/>
      <c r="GR192" s="30"/>
      <c r="GS192" s="30"/>
      <c r="GT192" s="30"/>
      <c r="GU192" s="30"/>
      <c r="GV192" s="30"/>
      <c r="GW192" s="30"/>
      <c r="GX192" s="30"/>
      <c r="GY192" s="30"/>
      <c r="GZ192" s="30"/>
      <c r="HA192" s="30"/>
      <c r="HB192" s="30"/>
      <c r="HC192" s="30"/>
      <c r="HD192" s="30"/>
      <c r="HE192" s="30"/>
      <c r="HF192" s="30"/>
      <c r="HG192" s="30"/>
      <c r="HH192" s="30"/>
      <c r="HI192" s="30"/>
      <c r="HJ192" s="30"/>
      <c r="HK192" s="30"/>
      <c r="HL192" s="30"/>
      <c r="HM192" s="30"/>
      <c r="HN192" s="30"/>
      <c r="HO192" s="30"/>
      <c r="HP192" s="30"/>
      <c r="HQ192" s="30"/>
      <c r="HR192" s="30"/>
      <c r="HS192" s="30"/>
      <c r="HT192" s="30"/>
      <c r="HU192" s="30"/>
      <c r="HV192" s="30"/>
      <c r="HW192" s="30"/>
      <c r="HX192" s="30"/>
      <c r="HY192" s="30"/>
      <c r="HZ192" s="30"/>
      <c r="IA192" s="30"/>
      <c r="IB192" s="30"/>
      <c r="IC192" s="30"/>
      <c r="ID192" s="30"/>
      <c r="IE192" s="30"/>
      <c r="IF192" s="30"/>
      <c r="IG192" s="30"/>
      <c r="IH192" s="30"/>
      <c r="II192" s="30"/>
      <c r="IJ192" s="30"/>
      <c r="IK192" s="30"/>
      <c r="IL192" s="30"/>
      <c r="IM192" s="30"/>
      <c r="IN192" s="30"/>
      <c r="IO192" s="30"/>
      <c r="IP192" s="30"/>
      <c r="IQ192" s="30"/>
      <c r="IR192" s="31"/>
      <c r="IS192" s="31"/>
      <c r="IT192" s="31"/>
      <c r="IU192" s="31"/>
      <c r="IV192" s="31"/>
    </row>
    <row r="193" ht="11.25" customHeight="1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>
        <v>77.0</v>
      </c>
      <c r="U193" s="29" t="s">
        <v>397</v>
      </c>
      <c r="V193" s="29" t="s">
        <v>398</v>
      </c>
      <c r="W193" s="29" t="s">
        <v>399</v>
      </c>
      <c r="X193" s="29" t="s">
        <v>147</v>
      </c>
      <c r="Y193" s="29" t="s">
        <v>147</v>
      </c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  <c r="BC193" s="29"/>
      <c r="BD193" s="29"/>
      <c r="BE193" s="29"/>
      <c r="BF193" s="29"/>
      <c r="BG193" s="29"/>
      <c r="BH193" s="29"/>
      <c r="BI193" s="29"/>
      <c r="BJ193" s="29"/>
      <c r="BK193" s="29"/>
      <c r="BL193" s="29"/>
      <c r="BM193" s="29"/>
      <c r="BN193" s="29"/>
      <c r="BO193" s="29"/>
      <c r="BP193" s="29"/>
      <c r="BQ193" s="29"/>
      <c r="BR193" s="29"/>
      <c r="BS193" s="29"/>
      <c r="BT193" s="29"/>
      <c r="BU193" s="29"/>
      <c r="BV193" s="29"/>
      <c r="BW193" s="29"/>
      <c r="BX193" s="29"/>
      <c r="BY193" s="29"/>
      <c r="BZ193" s="29"/>
      <c r="CA193" s="29"/>
      <c r="CB193" s="29"/>
      <c r="CC193" s="29"/>
      <c r="CD193" s="29"/>
      <c r="CE193" s="29"/>
      <c r="CF193" s="29"/>
      <c r="CG193" s="29"/>
      <c r="CH193" s="29"/>
      <c r="CI193" s="29"/>
      <c r="CJ193" s="29"/>
      <c r="CK193" s="29"/>
      <c r="CL193" s="29"/>
      <c r="CM193" s="29"/>
      <c r="CN193" s="29"/>
      <c r="CO193" s="29"/>
      <c r="CP193" s="29"/>
      <c r="CQ193" s="29"/>
      <c r="CR193" s="29"/>
      <c r="CS193" s="29"/>
      <c r="CT193" s="29"/>
      <c r="CU193" s="29"/>
      <c r="CV193" s="29"/>
      <c r="CW193" s="29"/>
      <c r="CX193" s="30"/>
      <c r="CY193" s="30"/>
      <c r="CZ193" s="30"/>
      <c r="DA193" s="30"/>
      <c r="DB193" s="30"/>
      <c r="DC193" s="30"/>
      <c r="DD193" s="30"/>
      <c r="DE193" s="30"/>
      <c r="DF193" s="30"/>
      <c r="DG193" s="30"/>
      <c r="DH193" s="30"/>
      <c r="DI193" s="30"/>
      <c r="DJ193" s="30"/>
      <c r="DK193" s="30"/>
      <c r="DL193" s="30"/>
      <c r="DM193" s="30"/>
      <c r="DN193" s="30"/>
      <c r="DO193" s="30"/>
      <c r="DP193" s="30"/>
      <c r="DQ193" s="30"/>
      <c r="DR193" s="30"/>
      <c r="DS193" s="30"/>
      <c r="DT193" s="30"/>
      <c r="DU193" s="30"/>
      <c r="DV193" s="30"/>
      <c r="DW193" s="30"/>
      <c r="DX193" s="30"/>
      <c r="DY193" s="30"/>
      <c r="DZ193" s="30"/>
      <c r="EA193" s="30"/>
      <c r="EB193" s="30"/>
      <c r="EC193" s="30"/>
      <c r="ED193" s="30"/>
      <c r="EE193" s="30"/>
      <c r="EF193" s="30"/>
      <c r="EG193" s="30"/>
      <c r="EH193" s="30"/>
      <c r="EI193" s="30"/>
      <c r="EJ193" s="30"/>
      <c r="EK193" s="30"/>
      <c r="EL193" s="30"/>
      <c r="EM193" s="30"/>
      <c r="EN193" s="30"/>
      <c r="EO193" s="30"/>
      <c r="EP193" s="30"/>
      <c r="EQ193" s="30"/>
      <c r="ER193" s="30"/>
      <c r="ES193" s="30"/>
      <c r="ET193" s="30"/>
      <c r="EU193" s="30"/>
      <c r="EV193" s="30"/>
      <c r="EW193" s="30"/>
      <c r="EX193" s="30"/>
      <c r="EY193" s="30"/>
      <c r="EZ193" s="30"/>
      <c r="FA193" s="30"/>
      <c r="FB193" s="30"/>
      <c r="FC193" s="30"/>
      <c r="FD193" s="30"/>
      <c r="FE193" s="30"/>
      <c r="FF193" s="30"/>
      <c r="FG193" s="30"/>
      <c r="FH193" s="30"/>
      <c r="FI193" s="30"/>
      <c r="FJ193" s="30"/>
      <c r="FK193" s="30"/>
      <c r="FL193" s="30"/>
      <c r="FM193" s="30"/>
      <c r="FN193" s="30"/>
      <c r="FO193" s="30"/>
      <c r="FP193" s="30"/>
      <c r="FQ193" s="30"/>
      <c r="FR193" s="30"/>
      <c r="FS193" s="30"/>
      <c r="FT193" s="30"/>
      <c r="FU193" s="30"/>
      <c r="FV193" s="30"/>
      <c r="FW193" s="30"/>
      <c r="FX193" s="30"/>
      <c r="FY193" s="30"/>
      <c r="FZ193" s="30"/>
      <c r="GA193" s="30"/>
      <c r="GB193" s="30"/>
      <c r="GC193" s="30"/>
      <c r="GD193" s="30"/>
      <c r="GE193" s="30"/>
      <c r="GF193" s="30"/>
      <c r="GG193" s="30"/>
      <c r="GH193" s="30"/>
      <c r="GI193" s="30"/>
      <c r="GJ193" s="30"/>
      <c r="GK193" s="30"/>
      <c r="GL193" s="30"/>
      <c r="GM193" s="30"/>
      <c r="GN193" s="30"/>
      <c r="GO193" s="30"/>
      <c r="GP193" s="30"/>
      <c r="GQ193" s="30"/>
      <c r="GR193" s="30"/>
      <c r="GS193" s="30"/>
      <c r="GT193" s="30"/>
      <c r="GU193" s="30"/>
      <c r="GV193" s="30"/>
      <c r="GW193" s="30"/>
      <c r="GX193" s="30"/>
      <c r="GY193" s="30"/>
      <c r="GZ193" s="30"/>
      <c r="HA193" s="30"/>
      <c r="HB193" s="30"/>
      <c r="HC193" s="30"/>
      <c r="HD193" s="30"/>
      <c r="HE193" s="30"/>
      <c r="HF193" s="30"/>
      <c r="HG193" s="30"/>
      <c r="HH193" s="30"/>
      <c r="HI193" s="30"/>
      <c r="HJ193" s="30"/>
      <c r="HK193" s="30"/>
      <c r="HL193" s="30"/>
      <c r="HM193" s="30"/>
      <c r="HN193" s="30"/>
      <c r="HO193" s="30"/>
      <c r="HP193" s="30"/>
      <c r="HQ193" s="30"/>
      <c r="HR193" s="30"/>
      <c r="HS193" s="30"/>
      <c r="HT193" s="30"/>
      <c r="HU193" s="30"/>
      <c r="HV193" s="30"/>
      <c r="HW193" s="30"/>
      <c r="HX193" s="30"/>
      <c r="HY193" s="30"/>
      <c r="HZ193" s="30"/>
      <c r="IA193" s="30"/>
      <c r="IB193" s="30"/>
      <c r="IC193" s="30"/>
      <c r="ID193" s="30"/>
      <c r="IE193" s="30"/>
      <c r="IF193" s="30"/>
      <c r="IG193" s="30"/>
      <c r="IH193" s="30"/>
      <c r="II193" s="30"/>
      <c r="IJ193" s="30"/>
      <c r="IK193" s="30"/>
      <c r="IL193" s="30"/>
      <c r="IM193" s="30"/>
      <c r="IN193" s="30"/>
      <c r="IO193" s="30"/>
      <c r="IP193" s="30"/>
      <c r="IQ193" s="30"/>
      <c r="IR193" s="31"/>
      <c r="IS193" s="31"/>
      <c r="IT193" s="31"/>
      <c r="IU193" s="31"/>
      <c r="IV193" s="31"/>
    </row>
    <row r="194" ht="11.25" customHeight="1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>
        <v>78.0</v>
      </c>
      <c r="U194" s="29" t="s">
        <v>400</v>
      </c>
      <c r="V194" s="29" t="s">
        <v>401</v>
      </c>
      <c r="W194" s="29" t="s">
        <v>402</v>
      </c>
      <c r="X194" s="29" t="s">
        <v>403</v>
      </c>
      <c r="Y194" s="29" t="s">
        <v>147</v>
      </c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  <c r="BC194" s="29"/>
      <c r="BD194" s="29"/>
      <c r="BE194" s="29"/>
      <c r="BF194" s="29"/>
      <c r="BG194" s="29"/>
      <c r="BH194" s="29"/>
      <c r="BI194" s="29"/>
      <c r="BJ194" s="29"/>
      <c r="BK194" s="29"/>
      <c r="BL194" s="29"/>
      <c r="BM194" s="29"/>
      <c r="BN194" s="29"/>
      <c r="BO194" s="29"/>
      <c r="BP194" s="29"/>
      <c r="BQ194" s="29"/>
      <c r="BR194" s="29"/>
      <c r="BS194" s="29"/>
      <c r="BT194" s="29"/>
      <c r="BU194" s="29"/>
      <c r="BV194" s="29"/>
      <c r="BW194" s="29"/>
      <c r="BX194" s="29"/>
      <c r="BY194" s="29"/>
      <c r="BZ194" s="29"/>
      <c r="CA194" s="29"/>
      <c r="CB194" s="29"/>
      <c r="CC194" s="29"/>
      <c r="CD194" s="29"/>
      <c r="CE194" s="29"/>
      <c r="CF194" s="29"/>
      <c r="CG194" s="29"/>
      <c r="CH194" s="29"/>
      <c r="CI194" s="29"/>
      <c r="CJ194" s="29"/>
      <c r="CK194" s="29"/>
      <c r="CL194" s="29"/>
      <c r="CM194" s="29"/>
      <c r="CN194" s="29"/>
      <c r="CO194" s="29"/>
      <c r="CP194" s="29"/>
      <c r="CQ194" s="29"/>
      <c r="CR194" s="29"/>
      <c r="CS194" s="29"/>
      <c r="CT194" s="29"/>
      <c r="CU194" s="29"/>
      <c r="CV194" s="29"/>
      <c r="CW194" s="29"/>
      <c r="CX194" s="30"/>
      <c r="CY194" s="30"/>
      <c r="CZ194" s="30"/>
      <c r="DA194" s="30"/>
      <c r="DB194" s="30"/>
      <c r="DC194" s="30"/>
      <c r="DD194" s="30"/>
      <c r="DE194" s="30"/>
      <c r="DF194" s="30"/>
      <c r="DG194" s="30"/>
      <c r="DH194" s="30"/>
      <c r="DI194" s="30"/>
      <c r="DJ194" s="30"/>
      <c r="DK194" s="30"/>
      <c r="DL194" s="30"/>
      <c r="DM194" s="30"/>
      <c r="DN194" s="30"/>
      <c r="DO194" s="30"/>
      <c r="DP194" s="30"/>
      <c r="DQ194" s="30"/>
      <c r="DR194" s="30"/>
      <c r="DS194" s="30"/>
      <c r="DT194" s="30"/>
      <c r="DU194" s="30"/>
      <c r="DV194" s="30"/>
      <c r="DW194" s="30"/>
      <c r="DX194" s="30"/>
      <c r="DY194" s="30"/>
      <c r="DZ194" s="30"/>
      <c r="EA194" s="30"/>
      <c r="EB194" s="30"/>
      <c r="EC194" s="30"/>
      <c r="ED194" s="30"/>
      <c r="EE194" s="30"/>
      <c r="EF194" s="30"/>
      <c r="EG194" s="30"/>
      <c r="EH194" s="30"/>
      <c r="EI194" s="30"/>
      <c r="EJ194" s="30"/>
      <c r="EK194" s="30"/>
      <c r="EL194" s="30"/>
      <c r="EM194" s="30"/>
      <c r="EN194" s="30"/>
      <c r="EO194" s="30"/>
      <c r="EP194" s="30"/>
      <c r="EQ194" s="30"/>
      <c r="ER194" s="30"/>
      <c r="ES194" s="30"/>
      <c r="ET194" s="30"/>
      <c r="EU194" s="30"/>
      <c r="EV194" s="30"/>
      <c r="EW194" s="30"/>
      <c r="EX194" s="30"/>
      <c r="EY194" s="30"/>
      <c r="EZ194" s="30"/>
      <c r="FA194" s="30"/>
      <c r="FB194" s="30"/>
      <c r="FC194" s="30"/>
      <c r="FD194" s="30"/>
      <c r="FE194" s="30"/>
      <c r="FF194" s="30"/>
      <c r="FG194" s="30"/>
      <c r="FH194" s="30"/>
      <c r="FI194" s="30"/>
      <c r="FJ194" s="30"/>
      <c r="FK194" s="30"/>
      <c r="FL194" s="30"/>
      <c r="FM194" s="30"/>
      <c r="FN194" s="30"/>
      <c r="FO194" s="30"/>
      <c r="FP194" s="30"/>
      <c r="FQ194" s="30"/>
      <c r="FR194" s="30"/>
      <c r="FS194" s="30"/>
      <c r="FT194" s="30"/>
      <c r="FU194" s="30"/>
      <c r="FV194" s="30"/>
      <c r="FW194" s="30"/>
      <c r="FX194" s="30"/>
      <c r="FY194" s="30"/>
      <c r="FZ194" s="30"/>
      <c r="GA194" s="30"/>
      <c r="GB194" s="30"/>
      <c r="GC194" s="30"/>
      <c r="GD194" s="30"/>
      <c r="GE194" s="30"/>
      <c r="GF194" s="30"/>
      <c r="GG194" s="30"/>
      <c r="GH194" s="30"/>
      <c r="GI194" s="30"/>
      <c r="GJ194" s="30"/>
      <c r="GK194" s="30"/>
      <c r="GL194" s="30"/>
      <c r="GM194" s="30"/>
      <c r="GN194" s="30"/>
      <c r="GO194" s="30"/>
      <c r="GP194" s="30"/>
      <c r="GQ194" s="30"/>
      <c r="GR194" s="30"/>
      <c r="GS194" s="30"/>
      <c r="GT194" s="30"/>
      <c r="GU194" s="30"/>
      <c r="GV194" s="30"/>
      <c r="GW194" s="30"/>
      <c r="GX194" s="30"/>
      <c r="GY194" s="30"/>
      <c r="GZ194" s="30"/>
      <c r="HA194" s="30"/>
      <c r="HB194" s="30"/>
      <c r="HC194" s="30"/>
      <c r="HD194" s="30"/>
      <c r="HE194" s="30"/>
      <c r="HF194" s="30"/>
      <c r="HG194" s="30"/>
      <c r="HH194" s="30"/>
      <c r="HI194" s="30"/>
      <c r="HJ194" s="30"/>
      <c r="HK194" s="30"/>
      <c r="HL194" s="30"/>
      <c r="HM194" s="30"/>
      <c r="HN194" s="30"/>
      <c r="HO194" s="30"/>
      <c r="HP194" s="30"/>
      <c r="HQ194" s="30"/>
      <c r="HR194" s="30"/>
      <c r="HS194" s="30"/>
      <c r="HT194" s="30"/>
      <c r="HU194" s="30"/>
      <c r="HV194" s="30"/>
      <c r="HW194" s="30"/>
      <c r="HX194" s="30"/>
      <c r="HY194" s="30"/>
      <c r="HZ194" s="30"/>
      <c r="IA194" s="30"/>
      <c r="IB194" s="30"/>
      <c r="IC194" s="30"/>
      <c r="ID194" s="30"/>
      <c r="IE194" s="30"/>
      <c r="IF194" s="30"/>
      <c r="IG194" s="30"/>
      <c r="IH194" s="30"/>
      <c r="II194" s="30"/>
      <c r="IJ194" s="30"/>
      <c r="IK194" s="30"/>
      <c r="IL194" s="30"/>
      <c r="IM194" s="30"/>
      <c r="IN194" s="30"/>
      <c r="IO194" s="30"/>
      <c r="IP194" s="30"/>
      <c r="IQ194" s="30"/>
      <c r="IR194" s="31"/>
      <c r="IS194" s="31"/>
      <c r="IT194" s="31"/>
      <c r="IU194" s="31"/>
      <c r="IV194" s="31"/>
    </row>
    <row r="195" ht="11.25" customHeight="1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>
        <v>79.0</v>
      </c>
      <c r="U195" s="29" t="s">
        <v>404</v>
      </c>
      <c r="V195" s="29" t="s">
        <v>405</v>
      </c>
      <c r="W195" s="29" t="s">
        <v>406</v>
      </c>
      <c r="X195" s="29" t="s">
        <v>407</v>
      </c>
      <c r="Y195" s="29" t="s">
        <v>408</v>
      </c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29"/>
      <c r="BP195" s="2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29"/>
      <c r="CJ195" s="2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30"/>
      <c r="CY195" s="30"/>
      <c r="CZ195" s="30"/>
      <c r="DA195" s="30"/>
      <c r="DB195" s="30"/>
      <c r="DC195" s="30"/>
      <c r="DD195" s="3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/>
      <c r="DW195" s="30"/>
      <c r="DX195" s="30"/>
      <c r="DY195" s="30"/>
      <c r="DZ195" s="30"/>
      <c r="EA195" s="30"/>
      <c r="EB195" s="30"/>
      <c r="EC195" s="30"/>
      <c r="ED195" s="30"/>
      <c r="EE195" s="30"/>
      <c r="EF195" s="30"/>
      <c r="EG195" s="30"/>
      <c r="EH195" s="30"/>
      <c r="EI195" s="30"/>
      <c r="EJ195" s="30"/>
      <c r="EK195" s="30"/>
      <c r="EL195" s="30"/>
      <c r="EM195" s="30"/>
      <c r="EN195" s="30"/>
      <c r="EO195" s="30"/>
      <c r="EP195" s="30"/>
      <c r="EQ195" s="30"/>
      <c r="ER195" s="30"/>
      <c r="ES195" s="30"/>
      <c r="ET195" s="30"/>
      <c r="EU195" s="30"/>
      <c r="EV195" s="30"/>
      <c r="EW195" s="30"/>
      <c r="EX195" s="30"/>
      <c r="EY195" s="30"/>
      <c r="EZ195" s="30"/>
      <c r="FA195" s="30"/>
      <c r="FB195" s="30"/>
      <c r="FC195" s="30"/>
      <c r="FD195" s="30"/>
      <c r="FE195" s="30"/>
      <c r="FF195" s="30"/>
      <c r="FG195" s="30"/>
      <c r="FH195" s="30"/>
      <c r="FI195" s="30"/>
      <c r="FJ195" s="30"/>
      <c r="FK195" s="30"/>
      <c r="FL195" s="30"/>
      <c r="FM195" s="30"/>
      <c r="FN195" s="30"/>
      <c r="FO195" s="30"/>
      <c r="FP195" s="30"/>
      <c r="FQ195" s="30"/>
      <c r="FR195" s="30"/>
      <c r="FS195" s="30"/>
      <c r="FT195" s="30"/>
      <c r="FU195" s="30"/>
      <c r="FV195" s="30"/>
      <c r="FW195" s="30"/>
      <c r="FX195" s="30"/>
      <c r="FY195" s="30"/>
      <c r="FZ195" s="30"/>
      <c r="GA195" s="30"/>
      <c r="GB195" s="30"/>
      <c r="GC195" s="30"/>
      <c r="GD195" s="30"/>
      <c r="GE195" s="30"/>
      <c r="GF195" s="30"/>
      <c r="GG195" s="30"/>
      <c r="GH195" s="30"/>
      <c r="GI195" s="30"/>
      <c r="GJ195" s="30"/>
      <c r="GK195" s="30"/>
      <c r="GL195" s="30"/>
      <c r="GM195" s="30"/>
      <c r="GN195" s="30"/>
      <c r="GO195" s="30"/>
      <c r="GP195" s="30"/>
      <c r="GQ195" s="30"/>
      <c r="GR195" s="30"/>
      <c r="GS195" s="30"/>
      <c r="GT195" s="30"/>
      <c r="GU195" s="30"/>
      <c r="GV195" s="30"/>
      <c r="GW195" s="30"/>
      <c r="GX195" s="30"/>
      <c r="GY195" s="30"/>
      <c r="GZ195" s="30"/>
      <c r="HA195" s="30"/>
      <c r="HB195" s="30"/>
      <c r="HC195" s="30"/>
      <c r="HD195" s="30"/>
      <c r="HE195" s="30"/>
      <c r="HF195" s="30"/>
      <c r="HG195" s="30"/>
      <c r="HH195" s="30"/>
      <c r="HI195" s="30"/>
      <c r="HJ195" s="30"/>
      <c r="HK195" s="30"/>
      <c r="HL195" s="30"/>
      <c r="HM195" s="30"/>
      <c r="HN195" s="30"/>
      <c r="HO195" s="30"/>
      <c r="HP195" s="30"/>
      <c r="HQ195" s="30"/>
      <c r="HR195" s="30"/>
      <c r="HS195" s="30"/>
      <c r="HT195" s="30"/>
      <c r="HU195" s="30"/>
      <c r="HV195" s="30"/>
      <c r="HW195" s="30"/>
      <c r="HX195" s="30"/>
      <c r="HY195" s="30"/>
      <c r="HZ195" s="30"/>
      <c r="IA195" s="30"/>
      <c r="IB195" s="30"/>
      <c r="IC195" s="30"/>
      <c r="ID195" s="30"/>
      <c r="IE195" s="30"/>
      <c r="IF195" s="30"/>
      <c r="IG195" s="30"/>
      <c r="IH195" s="30"/>
      <c r="II195" s="30"/>
      <c r="IJ195" s="30"/>
      <c r="IK195" s="30"/>
      <c r="IL195" s="30"/>
      <c r="IM195" s="30"/>
      <c r="IN195" s="30"/>
      <c r="IO195" s="30"/>
      <c r="IP195" s="30"/>
      <c r="IQ195" s="30"/>
      <c r="IR195" s="31"/>
      <c r="IS195" s="31"/>
      <c r="IT195" s="31"/>
      <c r="IU195" s="31"/>
      <c r="IV195" s="31"/>
    </row>
    <row r="196" ht="11.25" customHeight="1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>
        <v>80.0</v>
      </c>
      <c r="U196" s="29" t="s">
        <v>409</v>
      </c>
      <c r="V196" s="29" t="s">
        <v>410</v>
      </c>
      <c r="W196" s="29" t="s">
        <v>411</v>
      </c>
      <c r="X196" s="29" t="s">
        <v>412</v>
      </c>
      <c r="Y196" s="29" t="s">
        <v>147</v>
      </c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  <c r="BC196" s="29"/>
      <c r="BD196" s="29"/>
      <c r="BE196" s="29"/>
      <c r="BF196" s="29"/>
      <c r="BG196" s="29"/>
      <c r="BH196" s="29"/>
      <c r="BI196" s="29"/>
      <c r="BJ196" s="29"/>
      <c r="BK196" s="29"/>
      <c r="BL196" s="29"/>
      <c r="BM196" s="29"/>
      <c r="BN196" s="29"/>
      <c r="BO196" s="29"/>
      <c r="BP196" s="29"/>
      <c r="BQ196" s="29"/>
      <c r="BR196" s="29"/>
      <c r="BS196" s="29"/>
      <c r="BT196" s="29"/>
      <c r="BU196" s="29"/>
      <c r="BV196" s="29"/>
      <c r="BW196" s="29"/>
      <c r="BX196" s="29"/>
      <c r="BY196" s="29"/>
      <c r="BZ196" s="29"/>
      <c r="CA196" s="29"/>
      <c r="CB196" s="29"/>
      <c r="CC196" s="29"/>
      <c r="CD196" s="29"/>
      <c r="CE196" s="29"/>
      <c r="CF196" s="29"/>
      <c r="CG196" s="29"/>
      <c r="CH196" s="29"/>
      <c r="CI196" s="29"/>
      <c r="CJ196" s="29"/>
      <c r="CK196" s="29"/>
      <c r="CL196" s="29"/>
      <c r="CM196" s="29"/>
      <c r="CN196" s="29"/>
      <c r="CO196" s="29"/>
      <c r="CP196" s="29"/>
      <c r="CQ196" s="29"/>
      <c r="CR196" s="29"/>
      <c r="CS196" s="29"/>
      <c r="CT196" s="29"/>
      <c r="CU196" s="29"/>
      <c r="CV196" s="29"/>
      <c r="CW196" s="29"/>
      <c r="CX196" s="30"/>
      <c r="CY196" s="30"/>
      <c r="CZ196" s="30"/>
      <c r="DA196" s="30"/>
      <c r="DB196" s="30"/>
      <c r="DC196" s="30"/>
      <c r="DD196" s="30"/>
      <c r="DE196" s="30"/>
      <c r="DF196" s="30"/>
      <c r="DG196" s="30"/>
      <c r="DH196" s="30"/>
      <c r="DI196" s="30"/>
      <c r="DJ196" s="30"/>
      <c r="DK196" s="30"/>
      <c r="DL196" s="30"/>
      <c r="DM196" s="30"/>
      <c r="DN196" s="30"/>
      <c r="DO196" s="30"/>
      <c r="DP196" s="30"/>
      <c r="DQ196" s="30"/>
      <c r="DR196" s="30"/>
      <c r="DS196" s="30"/>
      <c r="DT196" s="30"/>
      <c r="DU196" s="30"/>
      <c r="DV196" s="30"/>
      <c r="DW196" s="30"/>
      <c r="DX196" s="30"/>
      <c r="DY196" s="30"/>
      <c r="DZ196" s="30"/>
      <c r="EA196" s="30"/>
      <c r="EB196" s="30"/>
      <c r="EC196" s="30"/>
      <c r="ED196" s="30"/>
      <c r="EE196" s="30"/>
      <c r="EF196" s="30"/>
      <c r="EG196" s="30"/>
      <c r="EH196" s="30"/>
      <c r="EI196" s="30"/>
      <c r="EJ196" s="30"/>
      <c r="EK196" s="30"/>
      <c r="EL196" s="30"/>
      <c r="EM196" s="30"/>
      <c r="EN196" s="30"/>
      <c r="EO196" s="30"/>
      <c r="EP196" s="30"/>
      <c r="EQ196" s="30"/>
      <c r="ER196" s="30"/>
      <c r="ES196" s="30"/>
      <c r="ET196" s="30"/>
      <c r="EU196" s="30"/>
      <c r="EV196" s="30"/>
      <c r="EW196" s="30"/>
      <c r="EX196" s="30"/>
      <c r="EY196" s="30"/>
      <c r="EZ196" s="30"/>
      <c r="FA196" s="30"/>
      <c r="FB196" s="30"/>
      <c r="FC196" s="30"/>
      <c r="FD196" s="30"/>
      <c r="FE196" s="30"/>
      <c r="FF196" s="30"/>
      <c r="FG196" s="30"/>
      <c r="FH196" s="30"/>
      <c r="FI196" s="30"/>
      <c r="FJ196" s="30"/>
      <c r="FK196" s="30"/>
      <c r="FL196" s="30"/>
      <c r="FM196" s="30"/>
      <c r="FN196" s="30"/>
      <c r="FO196" s="30"/>
      <c r="FP196" s="30"/>
      <c r="FQ196" s="30"/>
      <c r="FR196" s="30"/>
      <c r="FS196" s="30"/>
      <c r="FT196" s="30"/>
      <c r="FU196" s="30"/>
      <c r="FV196" s="30"/>
      <c r="FW196" s="30"/>
      <c r="FX196" s="30"/>
      <c r="FY196" s="30"/>
      <c r="FZ196" s="30"/>
      <c r="GA196" s="30"/>
      <c r="GB196" s="30"/>
      <c r="GC196" s="30"/>
      <c r="GD196" s="30"/>
      <c r="GE196" s="30"/>
      <c r="GF196" s="30"/>
      <c r="GG196" s="30"/>
      <c r="GH196" s="30"/>
      <c r="GI196" s="30"/>
      <c r="GJ196" s="30"/>
      <c r="GK196" s="30"/>
      <c r="GL196" s="30"/>
      <c r="GM196" s="30"/>
      <c r="GN196" s="30"/>
      <c r="GO196" s="30"/>
      <c r="GP196" s="30"/>
      <c r="GQ196" s="30"/>
      <c r="GR196" s="30"/>
      <c r="GS196" s="30"/>
      <c r="GT196" s="30"/>
      <c r="GU196" s="30"/>
      <c r="GV196" s="30"/>
      <c r="GW196" s="30"/>
      <c r="GX196" s="30"/>
      <c r="GY196" s="30"/>
      <c r="GZ196" s="30"/>
      <c r="HA196" s="30"/>
      <c r="HB196" s="30"/>
      <c r="HC196" s="30"/>
      <c r="HD196" s="30"/>
      <c r="HE196" s="30"/>
      <c r="HF196" s="30"/>
      <c r="HG196" s="30"/>
      <c r="HH196" s="30"/>
      <c r="HI196" s="30"/>
      <c r="HJ196" s="30"/>
      <c r="HK196" s="30"/>
      <c r="HL196" s="30"/>
      <c r="HM196" s="30"/>
      <c r="HN196" s="30"/>
      <c r="HO196" s="30"/>
      <c r="HP196" s="30"/>
      <c r="HQ196" s="30"/>
      <c r="HR196" s="30"/>
      <c r="HS196" s="30"/>
      <c r="HT196" s="30"/>
      <c r="HU196" s="30"/>
      <c r="HV196" s="30"/>
      <c r="HW196" s="30"/>
      <c r="HX196" s="30"/>
      <c r="HY196" s="30"/>
      <c r="HZ196" s="30"/>
      <c r="IA196" s="30"/>
      <c r="IB196" s="30"/>
      <c r="IC196" s="30"/>
      <c r="ID196" s="30"/>
      <c r="IE196" s="30"/>
      <c r="IF196" s="30"/>
      <c r="IG196" s="30"/>
      <c r="IH196" s="30"/>
      <c r="II196" s="30"/>
      <c r="IJ196" s="30"/>
      <c r="IK196" s="30"/>
      <c r="IL196" s="30"/>
      <c r="IM196" s="30"/>
      <c r="IN196" s="30"/>
      <c r="IO196" s="30"/>
      <c r="IP196" s="30"/>
      <c r="IQ196" s="30"/>
      <c r="IR196" s="31"/>
      <c r="IS196" s="31"/>
      <c r="IT196" s="31"/>
      <c r="IU196" s="31"/>
      <c r="IV196" s="31"/>
    </row>
    <row r="197" ht="11.25" customHeight="1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>
        <v>81.0</v>
      </c>
      <c r="U197" s="29" t="s">
        <v>413</v>
      </c>
      <c r="V197" s="29" t="s">
        <v>414</v>
      </c>
      <c r="W197" s="29" t="s">
        <v>415</v>
      </c>
      <c r="X197" s="29" t="s">
        <v>416</v>
      </c>
      <c r="Y197" s="29" t="s">
        <v>147</v>
      </c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  <c r="BC197" s="29"/>
      <c r="BD197" s="29"/>
      <c r="BE197" s="29"/>
      <c r="BF197" s="29"/>
      <c r="BG197" s="29"/>
      <c r="BH197" s="29"/>
      <c r="BI197" s="29"/>
      <c r="BJ197" s="29"/>
      <c r="BK197" s="29"/>
      <c r="BL197" s="29"/>
      <c r="BM197" s="29"/>
      <c r="BN197" s="29"/>
      <c r="BO197" s="29"/>
      <c r="BP197" s="29"/>
      <c r="BQ197" s="29"/>
      <c r="BR197" s="29"/>
      <c r="BS197" s="29"/>
      <c r="BT197" s="29"/>
      <c r="BU197" s="29"/>
      <c r="BV197" s="29"/>
      <c r="BW197" s="29"/>
      <c r="BX197" s="29"/>
      <c r="BY197" s="29"/>
      <c r="BZ197" s="29"/>
      <c r="CA197" s="29"/>
      <c r="CB197" s="29"/>
      <c r="CC197" s="29"/>
      <c r="CD197" s="29"/>
      <c r="CE197" s="29"/>
      <c r="CF197" s="29"/>
      <c r="CG197" s="29"/>
      <c r="CH197" s="29"/>
      <c r="CI197" s="29"/>
      <c r="CJ197" s="29"/>
      <c r="CK197" s="29"/>
      <c r="CL197" s="29"/>
      <c r="CM197" s="29"/>
      <c r="CN197" s="29"/>
      <c r="CO197" s="29"/>
      <c r="CP197" s="29"/>
      <c r="CQ197" s="29"/>
      <c r="CR197" s="29"/>
      <c r="CS197" s="29"/>
      <c r="CT197" s="29"/>
      <c r="CU197" s="29"/>
      <c r="CV197" s="29"/>
      <c r="CW197" s="29"/>
      <c r="CX197" s="30"/>
      <c r="CY197" s="30"/>
      <c r="CZ197" s="30"/>
      <c r="DA197" s="30"/>
      <c r="DB197" s="30"/>
      <c r="DC197" s="30"/>
      <c r="DD197" s="3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/>
      <c r="DW197" s="30"/>
      <c r="DX197" s="30"/>
      <c r="DY197" s="30"/>
      <c r="DZ197" s="30"/>
      <c r="EA197" s="30"/>
      <c r="EB197" s="30"/>
      <c r="EC197" s="30"/>
      <c r="ED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V197" s="30"/>
      <c r="EW197" s="30"/>
      <c r="EX197" s="30"/>
      <c r="EY197" s="30"/>
      <c r="EZ197" s="30"/>
      <c r="FA197" s="30"/>
      <c r="FB197" s="30"/>
      <c r="FC197" s="30"/>
      <c r="FD197" s="30"/>
      <c r="FE197" s="30"/>
      <c r="FF197" s="30"/>
      <c r="FG197" s="30"/>
      <c r="FH197" s="30"/>
      <c r="FI197" s="30"/>
      <c r="FJ197" s="30"/>
      <c r="FK197" s="30"/>
      <c r="FL197" s="30"/>
      <c r="FM197" s="30"/>
      <c r="FN197" s="30"/>
      <c r="FO197" s="30"/>
      <c r="FP197" s="30"/>
      <c r="FQ197" s="30"/>
      <c r="FR197" s="30"/>
      <c r="FS197" s="30"/>
      <c r="FT197" s="30"/>
      <c r="FU197" s="30"/>
      <c r="FV197" s="30"/>
      <c r="FW197" s="30"/>
      <c r="FX197" s="30"/>
      <c r="FY197" s="30"/>
      <c r="FZ197" s="30"/>
      <c r="GA197" s="30"/>
      <c r="GB197" s="30"/>
      <c r="GC197" s="30"/>
      <c r="GD197" s="30"/>
      <c r="GE197" s="30"/>
      <c r="GF197" s="30"/>
      <c r="GG197" s="30"/>
      <c r="GH197" s="30"/>
      <c r="GI197" s="30"/>
      <c r="GJ197" s="30"/>
      <c r="GK197" s="30"/>
      <c r="GL197" s="30"/>
      <c r="GM197" s="30"/>
      <c r="GN197" s="30"/>
      <c r="GO197" s="30"/>
      <c r="GP197" s="30"/>
      <c r="GQ197" s="30"/>
      <c r="GR197" s="30"/>
      <c r="GS197" s="30"/>
      <c r="GT197" s="30"/>
      <c r="GU197" s="30"/>
      <c r="GV197" s="30"/>
      <c r="GW197" s="30"/>
      <c r="GX197" s="30"/>
      <c r="GY197" s="30"/>
      <c r="GZ197" s="30"/>
      <c r="HA197" s="30"/>
      <c r="HB197" s="30"/>
      <c r="HC197" s="30"/>
      <c r="HD197" s="30"/>
      <c r="HE197" s="30"/>
      <c r="HF197" s="30"/>
      <c r="HG197" s="30"/>
      <c r="HH197" s="30"/>
      <c r="HI197" s="30"/>
      <c r="HJ197" s="30"/>
      <c r="HK197" s="30"/>
      <c r="HL197" s="30"/>
      <c r="HM197" s="30"/>
      <c r="HN197" s="30"/>
      <c r="HO197" s="30"/>
      <c r="HP197" s="30"/>
      <c r="HQ197" s="30"/>
      <c r="HR197" s="30"/>
      <c r="HS197" s="30"/>
      <c r="HT197" s="30"/>
      <c r="HU197" s="30"/>
      <c r="HV197" s="30"/>
      <c r="HW197" s="30"/>
      <c r="HX197" s="30"/>
      <c r="HY197" s="30"/>
      <c r="HZ197" s="30"/>
      <c r="IA197" s="30"/>
      <c r="IB197" s="30"/>
      <c r="IC197" s="30"/>
      <c r="ID197" s="30"/>
      <c r="IE197" s="30"/>
      <c r="IF197" s="30"/>
      <c r="IG197" s="30"/>
      <c r="IH197" s="30"/>
      <c r="II197" s="30"/>
      <c r="IJ197" s="30"/>
      <c r="IK197" s="30"/>
      <c r="IL197" s="30"/>
      <c r="IM197" s="30"/>
      <c r="IN197" s="30"/>
      <c r="IO197" s="30"/>
      <c r="IP197" s="30"/>
      <c r="IQ197" s="30"/>
      <c r="IR197" s="31"/>
      <c r="IS197" s="31"/>
      <c r="IT197" s="31"/>
      <c r="IU197" s="31"/>
      <c r="IV197" s="31"/>
    </row>
    <row r="198" ht="11.25" customHeight="1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>
        <v>82.0</v>
      </c>
      <c r="U198" s="29" t="s">
        <v>417</v>
      </c>
      <c r="V198" s="29" t="s">
        <v>418</v>
      </c>
      <c r="W198" s="29" t="s">
        <v>419</v>
      </c>
      <c r="X198" s="29" t="s">
        <v>147</v>
      </c>
      <c r="Y198" s="29" t="s">
        <v>147</v>
      </c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  <c r="BC198" s="29"/>
      <c r="BD198" s="29"/>
      <c r="BE198" s="29"/>
      <c r="BF198" s="29"/>
      <c r="BG198" s="29"/>
      <c r="BH198" s="29"/>
      <c r="BI198" s="29"/>
      <c r="BJ198" s="29"/>
      <c r="BK198" s="29"/>
      <c r="BL198" s="29"/>
      <c r="BM198" s="29"/>
      <c r="BN198" s="29"/>
      <c r="BO198" s="29"/>
      <c r="BP198" s="29"/>
      <c r="BQ198" s="29"/>
      <c r="BR198" s="29"/>
      <c r="BS198" s="29"/>
      <c r="BT198" s="29"/>
      <c r="BU198" s="29"/>
      <c r="BV198" s="29"/>
      <c r="BW198" s="29"/>
      <c r="BX198" s="29"/>
      <c r="BY198" s="29"/>
      <c r="BZ198" s="29"/>
      <c r="CA198" s="29"/>
      <c r="CB198" s="29"/>
      <c r="CC198" s="29"/>
      <c r="CD198" s="29"/>
      <c r="CE198" s="29"/>
      <c r="CF198" s="29"/>
      <c r="CG198" s="29"/>
      <c r="CH198" s="29"/>
      <c r="CI198" s="29"/>
      <c r="CJ198" s="29"/>
      <c r="CK198" s="29"/>
      <c r="CL198" s="29"/>
      <c r="CM198" s="29"/>
      <c r="CN198" s="29"/>
      <c r="CO198" s="29"/>
      <c r="CP198" s="29"/>
      <c r="CQ198" s="29"/>
      <c r="CR198" s="29"/>
      <c r="CS198" s="29"/>
      <c r="CT198" s="29"/>
      <c r="CU198" s="29"/>
      <c r="CV198" s="29"/>
      <c r="CW198" s="29"/>
      <c r="CX198" s="30"/>
      <c r="CY198" s="30"/>
      <c r="CZ198" s="30"/>
      <c r="DA198" s="30"/>
      <c r="DB198" s="30"/>
      <c r="DC198" s="30"/>
      <c r="DD198" s="3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/>
      <c r="DW198" s="30"/>
      <c r="DX198" s="30"/>
      <c r="DY198" s="30"/>
      <c r="DZ198" s="30"/>
      <c r="EA198" s="30"/>
      <c r="EB198" s="30"/>
      <c r="EC198" s="30"/>
      <c r="ED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  <c r="FA198" s="30"/>
      <c r="FB198" s="30"/>
      <c r="FC198" s="30"/>
      <c r="FD198" s="30"/>
      <c r="FE198" s="30"/>
      <c r="FF198" s="30"/>
      <c r="FG198" s="30"/>
      <c r="FH198" s="30"/>
      <c r="FI198" s="30"/>
      <c r="FJ198" s="30"/>
      <c r="FK198" s="30"/>
      <c r="FL198" s="30"/>
      <c r="FM198" s="30"/>
      <c r="FN198" s="30"/>
      <c r="FO198" s="30"/>
      <c r="FP198" s="30"/>
      <c r="FQ198" s="30"/>
      <c r="FR198" s="30"/>
      <c r="FS198" s="30"/>
      <c r="FT198" s="30"/>
      <c r="FU198" s="30"/>
      <c r="FV198" s="30"/>
      <c r="FW198" s="30"/>
      <c r="FX198" s="30"/>
      <c r="FY198" s="30"/>
      <c r="FZ198" s="30"/>
      <c r="GA198" s="30"/>
      <c r="GB198" s="30"/>
      <c r="GC198" s="30"/>
      <c r="GD198" s="30"/>
      <c r="GE198" s="30"/>
      <c r="GF198" s="30"/>
      <c r="GG198" s="30"/>
      <c r="GH198" s="30"/>
      <c r="GI198" s="30"/>
      <c r="GJ198" s="30"/>
      <c r="GK198" s="30"/>
      <c r="GL198" s="30"/>
      <c r="GM198" s="30"/>
      <c r="GN198" s="30"/>
      <c r="GO198" s="30"/>
      <c r="GP198" s="30"/>
      <c r="GQ198" s="30"/>
      <c r="GR198" s="30"/>
      <c r="GS198" s="30"/>
      <c r="GT198" s="30"/>
      <c r="GU198" s="30"/>
      <c r="GV198" s="30"/>
      <c r="GW198" s="30"/>
      <c r="GX198" s="30"/>
      <c r="GY198" s="30"/>
      <c r="GZ198" s="30"/>
      <c r="HA198" s="30"/>
      <c r="HB198" s="30"/>
      <c r="HC198" s="30"/>
      <c r="HD198" s="30"/>
      <c r="HE198" s="30"/>
      <c r="HF198" s="30"/>
      <c r="HG198" s="30"/>
      <c r="HH198" s="30"/>
      <c r="HI198" s="30"/>
      <c r="HJ198" s="30"/>
      <c r="HK198" s="30"/>
      <c r="HL198" s="30"/>
      <c r="HM198" s="30"/>
      <c r="HN198" s="30"/>
      <c r="HO198" s="30"/>
      <c r="HP198" s="30"/>
      <c r="HQ198" s="30"/>
      <c r="HR198" s="30"/>
      <c r="HS198" s="30"/>
      <c r="HT198" s="30"/>
      <c r="HU198" s="30"/>
      <c r="HV198" s="30"/>
      <c r="HW198" s="30"/>
      <c r="HX198" s="30"/>
      <c r="HY198" s="30"/>
      <c r="HZ198" s="30"/>
      <c r="IA198" s="30"/>
      <c r="IB198" s="30"/>
      <c r="IC198" s="30"/>
      <c r="ID198" s="30"/>
      <c r="IE198" s="30"/>
      <c r="IF198" s="30"/>
      <c r="IG198" s="30"/>
      <c r="IH198" s="30"/>
      <c r="II198" s="30"/>
      <c r="IJ198" s="30"/>
      <c r="IK198" s="30"/>
      <c r="IL198" s="30"/>
      <c r="IM198" s="30"/>
      <c r="IN198" s="30"/>
      <c r="IO198" s="30"/>
      <c r="IP198" s="30"/>
      <c r="IQ198" s="30"/>
      <c r="IR198" s="31"/>
      <c r="IS198" s="31"/>
      <c r="IT198" s="31"/>
      <c r="IU198" s="31"/>
      <c r="IV198" s="31"/>
    </row>
    <row r="199" ht="11.25" customHeight="1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>
        <v>83.0</v>
      </c>
      <c r="U199" s="29" t="s">
        <v>420</v>
      </c>
      <c r="V199" s="29" t="s">
        <v>421</v>
      </c>
      <c r="W199" s="29" t="s">
        <v>422</v>
      </c>
      <c r="X199" s="29" t="s">
        <v>423</v>
      </c>
      <c r="Y199" s="29" t="s">
        <v>147</v>
      </c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  <c r="BC199" s="29"/>
      <c r="BD199" s="29"/>
      <c r="BE199" s="29"/>
      <c r="BF199" s="29"/>
      <c r="BG199" s="29"/>
      <c r="BH199" s="29"/>
      <c r="BI199" s="29"/>
      <c r="BJ199" s="29"/>
      <c r="BK199" s="29"/>
      <c r="BL199" s="29"/>
      <c r="BM199" s="29"/>
      <c r="BN199" s="29"/>
      <c r="BO199" s="29"/>
      <c r="BP199" s="29"/>
      <c r="BQ199" s="29"/>
      <c r="BR199" s="29"/>
      <c r="BS199" s="29"/>
      <c r="BT199" s="29"/>
      <c r="BU199" s="29"/>
      <c r="BV199" s="29"/>
      <c r="BW199" s="29"/>
      <c r="BX199" s="29"/>
      <c r="BY199" s="29"/>
      <c r="BZ199" s="29"/>
      <c r="CA199" s="29"/>
      <c r="CB199" s="29"/>
      <c r="CC199" s="29"/>
      <c r="CD199" s="29"/>
      <c r="CE199" s="29"/>
      <c r="CF199" s="29"/>
      <c r="CG199" s="29"/>
      <c r="CH199" s="29"/>
      <c r="CI199" s="29"/>
      <c r="CJ199" s="29"/>
      <c r="CK199" s="29"/>
      <c r="CL199" s="29"/>
      <c r="CM199" s="29"/>
      <c r="CN199" s="29"/>
      <c r="CO199" s="29"/>
      <c r="CP199" s="29"/>
      <c r="CQ199" s="29"/>
      <c r="CR199" s="29"/>
      <c r="CS199" s="29"/>
      <c r="CT199" s="29"/>
      <c r="CU199" s="29"/>
      <c r="CV199" s="29"/>
      <c r="CW199" s="29"/>
      <c r="CX199" s="30"/>
      <c r="CY199" s="30"/>
      <c r="CZ199" s="30"/>
      <c r="DA199" s="30"/>
      <c r="DB199" s="30"/>
      <c r="DC199" s="30"/>
      <c r="DD199" s="30"/>
      <c r="DE199" s="30"/>
      <c r="DF199" s="30"/>
      <c r="DG199" s="30"/>
      <c r="DH199" s="30"/>
      <c r="DI199" s="30"/>
      <c r="DJ199" s="30"/>
      <c r="DK199" s="30"/>
      <c r="DL199" s="30"/>
      <c r="DM199" s="30"/>
      <c r="DN199" s="30"/>
      <c r="DO199" s="30"/>
      <c r="DP199" s="30"/>
      <c r="DQ199" s="30"/>
      <c r="DR199" s="30"/>
      <c r="DS199" s="30"/>
      <c r="DT199" s="30"/>
      <c r="DU199" s="30"/>
      <c r="DV199" s="30"/>
      <c r="DW199" s="30"/>
      <c r="DX199" s="30"/>
      <c r="DY199" s="30"/>
      <c r="DZ199" s="30"/>
      <c r="EA199" s="30"/>
      <c r="EB199" s="30"/>
      <c r="EC199" s="30"/>
      <c r="ED199" s="30"/>
      <c r="EE199" s="30"/>
      <c r="EF199" s="30"/>
      <c r="EG199" s="30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0"/>
      <c r="EW199" s="30"/>
      <c r="EX199" s="30"/>
      <c r="EY199" s="30"/>
      <c r="EZ199" s="30"/>
      <c r="FA199" s="30"/>
      <c r="FB199" s="30"/>
      <c r="FC199" s="30"/>
      <c r="FD199" s="30"/>
      <c r="FE199" s="30"/>
      <c r="FF199" s="30"/>
      <c r="FG199" s="30"/>
      <c r="FH199" s="30"/>
      <c r="FI199" s="30"/>
      <c r="FJ199" s="30"/>
      <c r="FK199" s="30"/>
      <c r="FL199" s="30"/>
      <c r="FM199" s="30"/>
      <c r="FN199" s="30"/>
      <c r="FO199" s="30"/>
      <c r="FP199" s="30"/>
      <c r="FQ199" s="30"/>
      <c r="FR199" s="30"/>
      <c r="FS199" s="30"/>
      <c r="FT199" s="30"/>
      <c r="FU199" s="30"/>
      <c r="FV199" s="30"/>
      <c r="FW199" s="30"/>
      <c r="FX199" s="30"/>
      <c r="FY199" s="30"/>
      <c r="FZ199" s="30"/>
      <c r="GA199" s="30"/>
      <c r="GB199" s="30"/>
      <c r="GC199" s="30"/>
      <c r="GD199" s="30"/>
      <c r="GE199" s="30"/>
      <c r="GF199" s="30"/>
      <c r="GG199" s="30"/>
      <c r="GH199" s="30"/>
      <c r="GI199" s="30"/>
      <c r="GJ199" s="30"/>
      <c r="GK199" s="30"/>
      <c r="GL199" s="30"/>
      <c r="GM199" s="30"/>
      <c r="GN199" s="30"/>
      <c r="GO199" s="30"/>
      <c r="GP199" s="30"/>
      <c r="GQ199" s="30"/>
      <c r="GR199" s="30"/>
      <c r="GS199" s="30"/>
      <c r="GT199" s="30"/>
      <c r="GU199" s="30"/>
      <c r="GV199" s="30"/>
      <c r="GW199" s="30"/>
      <c r="GX199" s="30"/>
      <c r="GY199" s="30"/>
      <c r="GZ199" s="30"/>
      <c r="HA199" s="30"/>
      <c r="HB199" s="30"/>
      <c r="HC199" s="30"/>
      <c r="HD199" s="30"/>
      <c r="HE199" s="30"/>
      <c r="HF199" s="30"/>
      <c r="HG199" s="30"/>
      <c r="HH199" s="30"/>
      <c r="HI199" s="30"/>
      <c r="HJ199" s="30"/>
      <c r="HK199" s="30"/>
      <c r="HL199" s="30"/>
      <c r="HM199" s="30"/>
      <c r="HN199" s="30"/>
      <c r="HO199" s="30"/>
      <c r="HP199" s="30"/>
      <c r="HQ199" s="30"/>
      <c r="HR199" s="30"/>
      <c r="HS199" s="30"/>
      <c r="HT199" s="30"/>
      <c r="HU199" s="30"/>
      <c r="HV199" s="30"/>
      <c r="HW199" s="30"/>
      <c r="HX199" s="30"/>
      <c r="HY199" s="30"/>
      <c r="HZ199" s="30"/>
      <c r="IA199" s="30"/>
      <c r="IB199" s="30"/>
      <c r="IC199" s="30"/>
      <c r="ID199" s="30"/>
      <c r="IE199" s="30"/>
      <c r="IF199" s="30"/>
      <c r="IG199" s="30"/>
      <c r="IH199" s="30"/>
      <c r="II199" s="30"/>
      <c r="IJ199" s="30"/>
      <c r="IK199" s="30"/>
      <c r="IL199" s="30"/>
      <c r="IM199" s="30"/>
      <c r="IN199" s="30"/>
      <c r="IO199" s="30"/>
      <c r="IP199" s="30"/>
      <c r="IQ199" s="30"/>
      <c r="IR199" s="31"/>
      <c r="IS199" s="31"/>
      <c r="IT199" s="31"/>
      <c r="IU199" s="31"/>
      <c r="IV199" s="31"/>
    </row>
    <row r="200" ht="11.25" customHeight="1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>
        <v>84.0</v>
      </c>
      <c r="U200" s="29" t="s">
        <v>424</v>
      </c>
      <c r="V200" s="29" t="s">
        <v>425</v>
      </c>
      <c r="W200" s="29" t="s">
        <v>426</v>
      </c>
      <c r="X200" s="29" t="s">
        <v>427</v>
      </c>
      <c r="Y200" s="29" t="s">
        <v>428</v>
      </c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29"/>
      <c r="BM200" s="29"/>
      <c r="BN200" s="29"/>
      <c r="BO200" s="29"/>
      <c r="BP200" s="29"/>
      <c r="BQ200" s="29"/>
      <c r="BR200" s="29"/>
      <c r="BS200" s="29"/>
      <c r="BT200" s="29"/>
      <c r="BU200" s="29"/>
      <c r="BV200" s="29"/>
      <c r="BW200" s="29"/>
      <c r="BX200" s="29"/>
      <c r="BY200" s="29"/>
      <c r="BZ200" s="29"/>
      <c r="CA200" s="29"/>
      <c r="CB200" s="29"/>
      <c r="CC200" s="29"/>
      <c r="CD200" s="29"/>
      <c r="CE200" s="29"/>
      <c r="CF200" s="29"/>
      <c r="CG200" s="29"/>
      <c r="CH200" s="29"/>
      <c r="CI200" s="29"/>
      <c r="CJ200" s="29"/>
      <c r="CK200" s="2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29"/>
      <c r="CW200" s="29"/>
      <c r="CX200" s="30"/>
      <c r="CY200" s="30"/>
      <c r="CZ200" s="30"/>
      <c r="DA200" s="30"/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30"/>
      <c r="DX200" s="3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V200" s="30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0"/>
      <c r="FI200" s="30"/>
      <c r="FJ200" s="30"/>
      <c r="FK200" s="30"/>
      <c r="FL200" s="30"/>
      <c r="FM200" s="30"/>
      <c r="FN200" s="30"/>
      <c r="FO200" s="30"/>
      <c r="FP200" s="30"/>
      <c r="FQ200" s="30"/>
      <c r="FR200" s="30"/>
      <c r="FS200" s="30"/>
      <c r="FT200" s="30"/>
      <c r="FU200" s="30"/>
      <c r="FV200" s="30"/>
      <c r="FW200" s="30"/>
      <c r="FX200" s="30"/>
      <c r="FY200" s="30"/>
      <c r="FZ200" s="30"/>
      <c r="GA200" s="30"/>
      <c r="GB200" s="30"/>
      <c r="GC200" s="30"/>
      <c r="GD200" s="30"/>
      <c r="GE200" s="30"/>
      <c r="GF200" s="30"/>
      <c r="GG200" s="30"/>
      <c r="GH200" s="30"/>
      <c r="GI200" s="30"/>
      <c r="GJ200" s="30"/>
      <c r="GK200" s="30"/>
      <c r="GL200" s="30"/>
      <c r="GM200" s="30"/>
      <c r="GN200" s="30"/>
      <c r="GO200" s="30"/>
      <c r="GP200" s="30"/>
      <c r="GQ200" s="30"/>
      <c r="GR200" s="30"/>
      <c r="GS200" s="30"/>
      <c r="GT200" s="30"/>
      <c r="GU200" s="30"/>
      <c r="GV200" s="30"/>
      <c r="GW200" s="30"/>
      <c r="GX200" s="30"/>
      <c r="GY200" s="30"/>
      <c r="GZ200" s="30"/>
      <c r="HA200" s="30"/>
      <c r="HB200" s="30"/>
      <c r="HC200" s="30"/>
      <c r="HD200" s="30"/>
      <c r="HE200" s="30"/>
      <c r="HF200" s="30"/>
      <c r="HG200" s="30"/>
      <c r="HH200" s="30"/>
      <c r="HI200" s="30"/>
      <c r="HJ200" s="30"/>
      <c r="HK200" s="30"/>
      <c r="HL200" s="30"/>
      <c r="HM200" s="30"/>
      <c r="HN200" s="30"/>
      <c r="HO200" s="30"/>
      <c r="HP200" s="30"/>
      <c r="HQ200" s="30"/>
      <c r="HR200" s="30"/>
      <c r="HS200" s="30"/>
      <c r="HT200" s="30"/>
      <c r="HU200" s="30"/>
      <c r="HV200" s="30"/>
      <c r="HW200" s="30"/>
      <c r="HX200" s="30"/>
      <c r="HY200" s="30"/>
      <c r="HZ200" s="30"/>
      <c r="IA200" s="30"/>
      <c r="IB200" s="30"/>
      <c r="IC200" s="30"/>
      <c r="ID200" s="30"/>
      <c r="IE200" s="30"/>
      <c r="IF200" s="30"/>
      <c r="IG200" s="30"/>
      <c r="IH200" s="30"/>
      <c r="II200" s="30"/>
      <c r="IJ200" s="30"/>
      <c r="IK200" s="30"/>
      <c r="IL200" s="30"/>
      <c r="IM200" s="30"/>
      <c r="IN200" s="30"/>
      <c r="IO200" s="30"/>
      <c r="IP200" s="30"/>
      <c r="IQ200" s="30"/>
      <c r="IR200" s="31"/>
      <c r="IS200" s="31"/>
      <c r="IT200" s="31"/>
      <c r="IU200" s="31"/>
      <c r="IV200" s="31"/>
    </row>
    <row r="201" ht="11.25" customHeight="1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>
        <v>85.0</v>
      </c>
      <c r="U201" s="29" t="s">
        <v>429</v>
      </c>
      <c r="V201" s="29" t="s">
        <v>430</v>
      </c>
      <c r="W201" s="29" t="s">
        <v>431</v>
      </c>
      <c r="X201" s="29" t="s">
        <v>147</v>
      </c>
      <c r="Y201" s="29" t="s">
        <v>147</v>
      </c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  <c r="BC201" s="29"/>
      <c r="BD201" s="29"/>
      <c r="BE201" s="29"/>
      <c r="BF201" s="29"/>
      <c r="BG201" s="29"/>
      <c r="BH201" s="29"/>
      <c r="BI201" s="29"/>
      <c r="BJ201" s="29"/>
      <c r="BK201" s="29"/>
      <c r="BL201" s="29"/>
      <c r="BM201" s="29"/>
      <c r="BN201" s="29"/>
      <c r="BO201" s="29"/>
      <c r="BP201" s="29"/>
      <c r="BQ201" s="29"/>
      <c r="BR201" s="29"/>
      <c r="BS201" s="29"/>
      <c r="BT201" s="29"/>
      <c r="BU201" s="29"/>
      <c r="BV201" s="29"/>
      <c r="BW201" s="29"/>
      <c r="BX201" s="29"/>
      <c r="BY201" s="29"/>
      <c r="BZ201" s="29"/>
      <c r="CA201" s="29"/>
      <c r="CB201" s="29"/>
      <c r="CC201" s="29"/>
      <c r="CD201" s="29"/>
      <c r="CE201" s="29"/>
      <c r="CF201" s="29"/>
      <c r="CG201" s="29"/>
      <c r="CH201" s="29"/>
      <c r="CI201" s="29"/>
      <c r="CJ201" s="29"/>
      <c r="CK201" s="29"/>
      <c r="CL201" s="29"/>
      <c r="CM201" s="29"/>
      <c r="CN201" s="29"/>
      <c r="CO201" s="29"/>
      <c r="CP201" s="29"/>
      <c r="CQ201" s="29"/>
      <c r="CR201" s="29"/>
      <c r="CS201" s="29"/>
      <c r="CT201" s="29"/>
      <c r="CU201" s="29"/>
      <c r="CV201" s="29"/>
      <c r="CW201" s="29"/>
      <c r="CX201" s="30"/>
      <c r="CY201" s="30"/>
      <c r="CZ201" s="30"/>
      <c r="DA201" s="30"/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30"/>
      <c r="DX201" s="3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V201" s="30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0"/>
      <c r="FI201" s="30"/>
      <c r="FJ201" s="30"/>
      <c r="FK201" s="30"/>
      <c r="FL201" s="30"/>
      <c r="FM201" s="30"/>
      <c r="FN201" s="30"/>
      <c r="FO201" s="30"/>
      <c r="FP201" s="30"/>
      <c r="FQ201" s="30"/>
      <c r="FR201" s="30"/>
      <c r="FS201" s="30"/>
      <c r="FT201" s="30"/>
      <c r="FU201" s="30"/>
      <c r="FV201" s="30"/>
      <c r="FW201" s="30"/>
      <c r="FX201" s="30"/>
      <c r="FY201" s="30"/>
      <c r="FZ201" s="30"/>
      <c r="GA201" s="30"/>
      <c r="GB201" s="30"/>
      <c r="GC201" s="30"/>
      <c r="GD201" s="30"/>
      <c r="GE201" s="30"/>
      <c r="GF201" s="30"/>
      <c r="GG201" s="30"/>
      <c r="GH201" s="30"/>
      <c r="GI201" s="30"/>
      <c r="GJ201" s="30"/>
      <c r="GK201" s="30"/>
      <c r="GL201" s="30"/>
      <c r="GM201" s="30"/>
      <c r="GN201" s="30"/>
      <c r="GO201" s="30"/>
      <c r="GP201" s="30"/>
      <c r="GQ201" s="30"/>
      <c r="GR201" s="30"/>
      <c r="GS201" s="30"/>
      <c r="GT201" s="30"/>
      <c r="GU201" s="30"/>
      <c r="GV201" s="30"/>
      <c r="GW201" s="30"/>
      <c r="GX201" s="30"/>
      <c r="GY201" s="30"/>
      <c r="GZ201" s="30"/>
      <c r="HA201" s="30"/>
      <c r="HB201" s="30"/>
      <c r="HC201" s="30"/>
      <c r="HD201" s="30"/>
      <c r="HE201" s="30"/>
      <c r="HF201" s="30"/>
      <c r="HG201" s="30"/>
      <c r="HH201" s="30"/>
      <c r="HI201" s="30"/>
      <c r="HJ201" s="30"/>
      <c r="HK201" s="30"/>
      <c r="HL201" s="30"/>
      <c r="HM201" s="30"/>
      <c r="HN201" s="30"/>
      <c r="HO201" s="30"/>
      <c r="HP201" s="30"/>
      <c r="HQ201" s="30"/>
      <c r="HR201" s="30"/>
      <c r="HS201" s="30"/>
      <c r="HT201" s="30"/>
      <c r="HU201" s="30"/>
      <c r="HV201" s="30"/>
      <c r="HW201" s="30"/>
      <c r="HX201" s="30"/>
      <c r="HY201" s="30"/>
      <c r="HZ201" s="30"/>
      <c r="IA201" s="30"/>
      <c r="IB201" s="30"/>
      <c r="IC201" s="30"/>
      <c r="ID201" s="30"/>
      <c r="IE201" s="30"/>
      <c r="IF201" s="30"/>
      <c r="IG201" s="30"/>
      <c r="IH201" s="30"/>
      <c r="II201" s="30"/>
      <c r="IJ201" s="30"/>
      <c r="IK201" s="30"/>
      <c r="IL201" s="30"/>
      <c r="IM201" s="30"/>
      <c r="IN201" s="30"/>
      <c r="IO201" s="30"/>
      <c r="IP201" s="30"/>
      <c r="IQ201" s="30"/>
      <c r="IR201" s="31"/>
      <c r="IS201" s="31"/>
      <c r="IT201" s="31"/>
      <c r="IU201" s="31"/>
      <c r="IV201" s="31"/>
    </row>
    <row r="202" ht="11.25" customHeight="1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>
        <v>86.0</v>
      </c>
      <c r="U202" s="29" t="s">
        <v>432</v>
      </c>
      <c r="V202" s="29" t="s">
        <v>433</v>
      </c>
      <c r="W202" s="29" t="s">
        <v>147</v>
      </c>
      <c r="X202" s="29" t="s">
        <v>147</v>
      </c>
      <c r="Y202" s="29" t="s">
        <v>147</v>
      </c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  <c r="BC202" s="29"/>
      <c r="BD202" s="29"/>
      <c r="BE202" s="29"/>
      <c r="BF202" s="29"/>
      <c r="BG202" s="29"/>
      <c r="BH202" s="29"/>
      <c r="BI202" s="29"/>
      <c r="BJ202" s="29"/>
      <c r="BK202" s="29"/>
      <c r="BL202" s="29"/>
      <c r="BM202" s="29"/>
      <c r="BN202" s="29"/>
      <c r="BO202" s="29"/>
      <c r="BP202" s="29"/>
      <c r="BQ202" s="29"/>
      <c r="BR202" s="29"/>
      <c r="BS202" s="29"/>
      <c r="BT202" s="29"/>
      <c r="BU202" s="29"/>
      <c r="BV202" s="29"/>
      <c r="BW202" s="29"/>
      <c r="BX202" s="29"/>
      <c r="BY202" s="29"/>
      <c r="BZ202" s="29"/>
      <c r="CA202" s="29"/>
      <c r="CB202" s="29"/>
      <c r="CC202" s="29"/>
      <c r="CD202" s="29"/>
      <c r="CE202" s="29"/>
      <c r="CF202" s="29"/>
      <c r="CG202" s="29"/>
      <c r="CH202" s="29"/>
      <c r="CI202" s="29"/>
      <c r="CJ202" s="29"/>
      <c r="CK202" s="29"/>
      <c r="CL202" s="29"/>
      <c r="CM202" s="29"/>
      <c r="CN202" s="29"/>
      <c r="CO202" s="29"/>
      <c r="CP202" s="29"/>
      <c r="CQ202" s="29"/>
      <c r="CR202" s="29"/>
      <c r="CS202" s="29"/>
      <c r="CT202" s="29"/>
      <c r="CU202" s="29"/>
      <c r="CV202" s="29"/>
      <c r="CW202" s="29"/>
      <c r="CX202" s="30"/>
      <c r="CY202" s="30"/>
      <c r="CZ202" s="30"/>
      <c r="DA202" s="30"/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30"/>
      <c r="DO202" s="30"/>
      <c r="DP202" s="30"/>
      <c r="DQ202" s="30"/>
      <c r="DR202" s="30"/>
      <c r="DS202" s="30"/>
      <c r="DT202" s="30"/>
      <c r="DU202" s="30"/>
      <c r="DV202" s="30"/>
      <c r="DW202" s="30"/>
      <c r="DX202" s="30"/>
      <c r="DY202" s="30"/>
      <c r="DZ202" s="30"/>
      <c r="EA202" s="30"/>
      <c r="EB202" s="30"/>
      <c r="EC202" s="30"/>
      <c r="ED202" s="30"/>
      <c r="EE202" s="30"/>
      <c r="EF202" s="30"/>
      <c r="EG202" s="30"/>
      <c r="EH202" s="30"/>
      <c r="EI202" s="30"/>
      <c r="EJ202" s="30"/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V202" s="30"/>
      <c r="EW202" s="30"/>
      <c r="EX202" s="30"/>
      <c r="EY202" s="30"/>
      <c r="EZ202" s="30"/>
      <c r="FA202" s="30"/>
      <c r="FB202" s="30"/>
      <c r="FC202" s="30"/>
      <c r="FD202" s="30"/>
      <c r="FE202" s="30"/>
      <c r="FF202" s="30"/>
      <c r="FG202" s="30"/>
      <c r="FH202" s="30"/>
      <c r="FI202" s="30"/>
      <c r="FJ202" s="30"/>
      <c r="FK202" s="30"/>
      <c r="FL202" s="30"/>
      <c r="FM202" s="30"/>
      <c r="FN202" s="30"/>
      <c r="FO202" s="30"/>
      <c r="FP202" s="30"/>
      <c r="FQ202" s="30"/>
      <c r="FR202" s="30"/>
      <c r="FS202" s="30"/>
      <c r="FT202" s="30"/>
      <c r="FU202" s="30"/>
      <c r="FV202" s="30"/>
      <c r="FW202" s="30"/>
      <c r="FX202" s="30"/>
      <c r="FY202" s="30"/>
      <c r="FZ202" s="30"/>
      <c r="GA202" s="30"/>
      <c r="GB202" s="30"/>
      <c r="GC202" s="30"/>
      <c r="GD202" s="30"/>
      <c r="GE202" s="30"/>
      <c r="GF202" s="30"/>
      <c r="GG202" s="30"/>
      <c r="GH202" s="30"/>
      <c r="GI202" s="30"/>
      <c r="GJ202" s="30"/>
      <c r="GK202" s="30"/>
      <c r="GL202" s="30"/>
      <c r="GM202" s="30"/>
      <c r="GN202" s="30"/>
      <c r="GO202" s="30"/>
      <c r="GP202" s="30"/>
      <c r="GQ202" s="30"/>
      <c r="GR202" s="30"/>
      <c r="GS202" s="30"/>
      <c r="GT202" s="30"/>
      <c r="GU202" s="30"/>
      <c r="GV202" s="30"/>
      <c r="GW202" s="30"/>
      <c r="GX202" s="30"/>
      <c r="GY202" s="30"/>
      <c r="GZ202" s="30"/>
      <c r="HA202" s="30"/>
      <c r="HB202" s="30"/>
      <c r="HC202" s="30"/>
      <c r="HD202" s="30"/>
      <c r="HE202" s="30"/>
      <c r="HF202" s="30"/>
      <c r="HG202" s="30"/>
      <c r="HH202" s="30"/>
      <c r="HI202" s="30"/>
      <c r="HJ202" s="30"/>
      <c r="HK202" s="30"/>
      <c r="HL202" s="30"/>
      <c r="HM202" s="30"/>
      <c r="HN202" s="30"/>
      <c r="HO202" s="30"/>
      <c r="HP202" s="30"/>
      <c r="HQ202" s="30"/>
      <c r="HR202" s="30"/>
      <c r="HS202" s="30"/>
      <c r="HT202" s="30"/>
      <c r="HU202" s="30"/>
      <c r="HV202" s="30"/>
      <c r="HW202" s="30"/>
      <c r="HX202" s="30"/>
      <c r="HY202" s="30"/>
      <c r="HZ202" s="30"/>
      <c r="IA202" s="30"/>
      <c r="IB202" s="30"/>
      <c r="IC202" s="30"/>
      <c r="ID202" s="30"/>
      <c r="IE202" s="30"/>
      <c r="IF202" s="30"/>
      <c r="IG202" s="30"/>
      <c r="IH202" s="30"/>
      <c r="II202" s="30"/>
      <c r="IJ202" s="30"/>
      <c r="IK202" s="30"/>
      <c r="IL202" s="30"/>
      <c r="IM202" s="30"/>
      <c r="IN202" s="30"/>
      <c r="IO202" s="30"/>
      <c r="IP202" s="30"/>
      <c r="IQ202" s="30"/>
      <c r="IR202" s="31"/>
      <c r="IS202" s="31"/>
      <c r="IT202" s="31"/>
      <c r="IU202" s="31"/>
      <c r="IV202" s="31"/>
    </row>
    <row r="203" ht="11.25" customHeight="1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>
        <v>87.0</v>
      </c>
      <c r="U203" s="29" t="s">
        <v>434</v>
      </c>
      <c r="V203" s="29" t="s">
        <v>435</v>
      </c>
      <c r="W203" s="29" t="s">
        <v>436</v>
      </c>
      <c r="X203" s="29" t="s">
        <v>147</v>
      </c>
      <c r="Y203" s="29" t="s">
        <v>147</v>
      </c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  <c r="BC203" s="29"/>
      <c r="BD203" s="29"/>
      <c r="BE203" s="29"/>
      <c r="BF203" s="29"/>
      <c r="BG203" s="29"/>
      <c r="BH203" s="29"/>
      <c r="BI203" s="29"/>
      <c r="BJ203" s="29"/>
      <c r="BK203" s="29"/>
      <c r="BL203" s="29"/>
      <c r="BM203" s="29"/>
      <c r="BN203" s="29"/>
      <c r="BO203" s="29"/>
      <c r="BP203" s="29"/>
      <c r="BQ203" s="29"/>
      <c r="BR203" s="29"/>
      <c r="BS203" s="29"/>
      <c r="BT203" s="29"/>
      <c r="BU203" s="29"/>
      <c r="BV203" s="29"/>
      <c r="BW203" s="29"/>
      <c r="BX203" s="29"/>
      <c r="BY203" s="29"/>
      <c r="BZ203" s="29"/>
      <c r="CA203" s="29"/>
      <c r="CB203" s="29"/>
      <c r="CC203" s="29"/>
      <c r="CD203" s="29"/>
      <c r="CE203" s="29"/>
      <c r="CF203" s="29"/>
      <c r="CG203" s="29"/>
      <c r="CH203" s="29"/>
      <c r="CI203" s="29"/>
      <c r="CJ203" s="29"/>
      <c r="CK203" s="29"/>
      <c r="CL203" s="29"/>
      <c r="CM203" s="29"/>
      <c r="CN203" s="29"/>
      <c r="CO203" s="29"/>
      <c r="CP203" s="29"/>
      <c r="CQ203" s="29"/>
      <c r="CR203" s="29"/>
      <c r="CS203" s="29"/>
      <c r="CT203" s="29"/>
      <c r="CU203" s="29"/>
      <c r="CV203" s="29"/>
      <c r="CW203" s="29"/>
      <c r="CX203" s="30"/>
      <c r="CY203" s="30"/>
      <c r="CZ203" s="30"/>
      <c r="DA203" s="30"/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30"/>
      <c r="DX203" s="3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30"/>
      <c r="EM203" s="30"/>
      <c r="EN203" s="30"/>
      <c r="EO203" s="30"/>
      <c r="EP203" s="30"/>
      <c r="EQ203" s="30"/>
      <c r="ER203" s="30"/>
      <c r="ES203" s="30"/>
      <c r="ET203" s="30"/>
      <c r="EU203" s="30"/>
      <c r="EV203" s="30"/>
      <c r="EW203" s="30"/>
      <c r="EX203" s="30"/>
      <c r="EY203" s="30"/>
      <c r="EZ203" s="30"/>
      <c r="FA203" s="30"/>
      <c r="FB203" s="30"/>
      <c r="FC203" s="30"/>
      <c r="FD203" s="30"/>
      <c r="FE203" s="30"/>
      <c r="FF203" s="30"/>
      <c r="FG203" s="30"/>
      <c r="FH203" s="30"/>
      <c r="FI203" s="30"/>
      <c r="FJ203" s="30"/>
      <c r="FK203" s="30"/>
      <c r="FL203" s="30"/>
      <c r="FM203" s="30"/>
      <c r="FN203" s="30"/>
      <c r="FO203" s="30"/>
      <c r="FP203" s="30"/>
      <c r="FQ203" s="30"/>
      <c r="FR203" s="30"/>
      <c r="FS203" s="30"/>
      <c r="FT203" s="30"/>
      <c r="FU203" s="30"/>
      <c r="FV203" s="30"/>
      <c r="FW203" s="30"/>
      <c r="FX203" s="30"/>
      <c r="FY203" s="30"/>
      <c r="FZ203" s="30"/>
      <c r="GA203" s="30"/>
      <c r="GB203" s="30"/>
      <c r="GC203" s="30"/>
      <c r="GD203" s="30"/>
      <c r="GE203" s="30"/>
      <c r="GF203" s="30"/>
      <c r="GG203" s="30"/>
      <c r="GH203" s="30"/>
      <c r="GI203" s="30"/>
      <c r="GJ203" s="30"/>
      <c r="GK203" s="30"/>
      <c r="GL203" s="30"/>
      <c r="GM203" s="30"/>
      <c r="GN203" s="30"/>
      <c r="GO203" s="30"/>
      <c r="GP203" s="30"/>
      <c r="GQ203" s="30"/>
      <c r="GR203" s="30"/>
      <c r="GS203" s="30"/>
      <c r="GT203" s="30"/>
      <c r="GU203" s="30"/>
      <c r="GV203" s="30"/>
      <c r="GW203" s="30"/>
      <c r="GX203" s="30"/>
      <c r="GY203" s="30"/>
      <c r="GZ203" s="30"/>
      <c r="HA203" s="30"/>
      <c r="HB203" s="30"/>
      <c r="HC203" s="30"/>
      <c r="HD203" s="30"/>
      <c r="HE203" s="30"/>
      <c r="HF203" s="30"/>
      <c r="HG203" s="30"/>
      <c r="HH203" s="30"/>
      <c r="HI203" s="30"/>
      <c r="HJ203" s="30"/>
      <c r="HK203" s="30"/>
      <c r="HL203" s="30"/>
      <c r="HM203" s="30"/>
      <c r="HN203" s="30"/>
      <c r="HO203" s="30"/>
      <c r="HP203" s="30"/>
      <c r="HQ203" s="30"/>
      <c r="HR203" s="30"/>
      <c r="HS203" s="30"/>
      <c r="HT203" s="30"/>
      <c r="HU203" s="30"/>
      <c r="HV203" s="30"/>
      <c r="HW203" s="30"/>
      <c r="HX203" s="30"/>
      <c r="HY203" s="30"/>
      <c r="HZ203" s="30"/>
      <c r="IA203" s="30"/>
      <c r="IB203" s="30"/>
      <c r="IC203" s="30"/>
      <c r="ID203" s="30"/>
      <c r="IE203" s="30"/>
      <c r="IF203" s="30"/>
      <c r="IG203" s="30"/>
      <c r="IH203" s="30"/>
      <c r="II203" s="30"/>
      <c r="IJ203" s="30"/>
      <c r="IK203" s="30"/>
      <c r="IL203" s="30"/>
      <c r="IM203" s="30"/>
      <c r="IN203" s="30"/>
      <c r="IO203" s="30"/>
      <c r="IP203" s="30"/>
      <c r="IQ203" s="30"/>
      <c r="IR203" s="31"/>
      <c r="IS203" s="31"/>
      <c r="IT203" s="31"/>
      <c r="IU203" s="31"/>
      <c r="IV203" s="31"/>
    </row>
    <row r="204" ht="11.25" customHeight="1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>
        <v>88.0</v>
      </c>
      <c r="U204" s="29" t="s">
        <v>437</v>
      </c>
      <c r="V204" s="29" t="s">
        <v>438</v>
      </c>
      <c r="W204" s="29" t="s">
        <v>439</v>
      </c>
      <c r="X204" s="29" t="s">
        <v>440</v>
      </c>
      <c r="Y204" s="29" t="s">
        <v>441</v>
      </c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  <c r="BC204" s="29"/>
      <c r="BD204" s="29"/>
      <c r="BE204" s="29"/>
      <c r="BF204" s="29"/>
      <c r="BG204" s="29"/>
      <c r="BH204" s="29"/>
      <c r="BI204" s="29"/>
      <c r="BJ204" s="29"/>
      <c r="BK204" s="29"/>
      <c r="BL204" s="29"/>
      <c r="BM204" s="29"/>
      <c r="BN204" s="29"/>
      <c r="BO204" s="29"/>
      <c r="BP204" s="29"/>
      <c r="BQ204" s="29"/>
      <c r="BR204" s="29"/>
      <c r="BS204" s="29"/>
      <c r="BT204" s="29"/>
      <c r="BU204" s="29"/>
      <c r="BV204" s="29"/>
      <c r="BW204" s="29"/>
      <c r="BX204" s="29"/>
      <c r="BY204" s="29"/>
      <c r="BZ204" s="29"/>
      <c r="CA204" s="29"/>
      <c r="CB204" s="29"/>
      <c r="CC204" s="29"/>
      <c r="CD204" s="29"/>
      <c r="CE204" s="29"/>
      <c r="CF204" s="29"/>
      <c r="CG204" s="29"/>
      <c r="CH204" s="29"/>
      <c r="CI204" s="29"/>
      <c r="CJ204" s="29"/>
      <c r="CK204" s="29"/>
      <c r="CL204" s="29"/>
      <c r="CM204" s="29"/>
      <c r="CN204" s="29"/>
      <c r="CO204" s="29"/>
      <c r="CP204" s="29"/>
      <c r="CQ204" s="29"/>
      <c r="CR204" s="29"/>
      <c r="CS204" s="29"/>
      <c r="CT204" s="29"/>
      <c r="CU204" s="29"/>
      <c r="CV204" s="29"/>
      <c r="CW204" s="29"/>
      <c r="CX204" s="30"/>
      <c r="CY204" s="30"/>
      <c r="CZ204" s="30"/>
      <c r="DA204" s="30"/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30"/>
      <c r="DX204" s="3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30"/>
      <c r="EM204" s="30"/>
      <c r="EN204" s="30"/>
      <c r="EO204" s="30"/>
      <c r="EP204" s="30"/>
      <c r="EQ204" s="30"/>
      <c r="ER204" s="30"/>
      <c r="ES204" s="30"/>
      <c r="ET204" s="30"/>
      <c r="EU204" s="30"/>
      <c r="EV204" s="30"/>
      <c r="EW204" s="30"/>
      <c r="EX204" s="30"/>
      <c r="EY204" s="30"/>
      <c r="EZ204" s="30"/>
      <c r="FA204" s="30"/>
      <c r="FB204" s="30"/>
      <c r="FC204" s="30"/>
      <c r="FD204" s="30"/>
      <c r="FE204" s="30"/>
      <c r="FF204" s="30"/>
      <c r="FG204" s="30"/>
      <c r="FH204" s="30"/>
      <c r="FI204" s="30"/>
      <c r="FJ204" s="30"/>
      <c r="FK204" s="30"/>
      <c r="FL204" s="30"/>
      <c r="FM204" s="30"/>
      <c r="FN204" s="30"/>
      <c r="FO204" s="30"/>
      <c r="FP204" s="30"/>
      <c r="FQ204" s="30"/>
      <c r="FR204" s="30"/>
      <c r="FS204" s="30"/>
      <c r="FT204" s="30"/>
      <c r="FU204" s="30"/>
      <c r="FV204" s="30"/>
      <c r="FW204" s="30"/>
      <c r="FX204" s="30"/>
      <c r="FY204" s="30"/>
      <c r="FZ204" s="30"/>
      <c r="GA204" s="30"/>
      <c r="GB204" s="30"/>
      <c r="GC204" s="30"/>
      <c r="GD204" s="30"/>
      <c r="GE204" s="30"/>
      <c r="GF204" s="30"/>
      <c r="GG204" s="30"/>
      <c r="GH204" s="30"/>
      <c r="GI204" s="30"/>
      <c r="GJ204" s="30"/>
      <c r="GK204" s="30"/>
      <c r="GL204" s="30"/>
      <c r="GM204" s="30"/>
      <c r="GN204" s="30"/>
      <c r="GO204" s="30"/>
      <c r="GP204" s="30"/>
      <c r="GQ204" s="30"/>
      <c r="GR204" s="30"/>
      <c r="GS204" s="30"/>
      <c r="GT204" s="30"/>
      <c r="GU204" s="30"/>
      <c r="GV204" s="30"/>
      <c r="GW204" s="30"/>
      <c r="GX204" s="30"/>
      <c r="GY204" s="30"/>
      <c r="GZ204" s="30"/>
      <c r="HA204" s="30"/>
      <c r="HB204" s="30"/>
      <c r="HC204" s="30"/>
      <c r="HD204" s="30"/>
      <c r="HE204" s="30"/>
      <c r="HF204" s="30"/>
      <c r="HG204" s="30"/>
      <c r="HH204" s="30"/>
      <c r="HI204" s="30"/>
      <c r="HJ204" s="30"/>
      <c r="HK204" s="30"/>
      <c r="HL204" s="30"/>
      <c r="HM204" s="30"/>
      <c r="HN204" s="30"/>
      <c r="HO204" s="30"/>
      <c r="HP204" s="30"/>
      <c r="HQ204" s="30"/>
      <c r="HR204" s="30"/>
      <c r="HS204" s="30"/>
      <c r="HT204" s="30"/>
      <c r="HU204" s="30"/>
      <c r="HV204" s="30"/>
      <c r="HW204" s="30"/>
      <c r="HX204" s="30"/>
      <c r="HY204" s="30"/>
      <c r="HZ204" s="30"/>
      <c r="IA204" s="30"/>
      <c r="IB204" s="30"/>
      <c r="IC204" s="30"/>
      <c r="ID204" s="30"/>
      <c r="IE204" s="30"/>
      <c r="IF204" s="30"/>
      <c r="IG204" s="30"/>
      <c r="IH204" s="30"/>
      <c r="II204" s="30"/>
      <c r="IJ204" s="30"/>
      <c r="IK204" s="30"/>
      <c r="IL204" s="30"/>
      <c r="IM204" s="30"/>
      <c r="IN204" s="30"/>
      <c r="IO204" s="30"/>
      <c r="IP204" s="30"/>
      <c r="IQ204" s="30"/>
      <c r="IR204" s="31"/>
      <c r="IS204" s="31"/>
      <c r="IT204" s="31"/>
      <c r="IU204" s="31"/>
      <c r="IV204" s="31"/>
    </row>
    <row r="205" ht="11.25" customHeight="1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 t="s">
        <v>147</v>
      </c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  <c r="BC205" s="29"/>
      <c r="BD205" s="29"/>
      <c r="BE205" s="29"/>
      <c r="BF205" s="29"/>
      <c r="BG205" s="29"/>
      <c r="BH205" s="29"/>
      <c r="BI205" s="29"/>
      <c r="BJ205" s="29"/>
      <c r="BK205" s="29"/>
      <c r="BL205" s="29"/>
      <c r="BM205" s="29"/>
      <c r="BN205" s="29"/>
      <c r="BO205" s="29"/>
      <c r="BP205" s="29"/>
      <c r="BQ205" s="29"/>
      <c r="BR205" s="29"/>
      <c r="BS205" s="29"/>
      <c r="BT205" s="29"/>
      <c r="BU205" s="29"/>
      <c r="BV205" s="29"/>
      <c r="BW205" s="29"/>
      <c r="BX205" s="29"/>
      <c r="BY205" s="29"/>
      <c r="BZ205" s="29"/>
      <c r="CA205" s="29"/>
      <c r="CB205" s="29"/>
      <c r="CC205" s="29"/>
      <c r="CD205" s="29"/>
      <c r="CE205" s="29"/>
      <c r="CF205" s="29"/>
      <c r="CG205" s="29"/>
      <c r="CH205" s="29"/>
      <c r="CI205" s="29"/>
      <c r="CJ205" s="29"/>
      <c r="CK205" s="29"/>
      <c r="CL205" s="29"/>
      <c r="CM205" s="29"/>
      <c r="CN205" s="29"/>
      <c r="CO205" s="29"/>
      <c r="CP205" s="29"/>
      <c r="CQ205" s="29"/>
      <c r="CR205" s="29"/>
      <c r="CS205" s="29"/>
      <c r="CT205" s="29"/>
      <c r="CU205" s="29"/>
      <c r="CV205" s="29"/>
      <c r="CW205" s="29"/>
      <c r="CX205" s="30"/>
      <c r="CY205" s="30"/>
      <c r="CZ205" s="30"/>
      <c r="DA205" s="30"/>
      <c r="DB205" s="30"/>
      <c r="DC205" s="30"/>
      <c r="DD205" s="30"/>
      <c r="DE205" s="30"/>
      <c r="DF205" s="30"/>
      <c r="DG205" s="30"/>
      <c r="DH205" s="30"/>
      <c r="DI205" s="30"/>
      <c r="DJ205" s="30"/>
      <c r="DK205" s="30"/>
      <c r="DL205" s="30"/>
      <c r="DM205" s="30"/>
      <c r="DN205" s="30"/>
      <c r="DO205" s="30"/>
      <c r="DP205" s="30"/>
      <c r="DQ205" s="30"/>
      <c r="DR205" s="30"/>
      <c r="DS205" s="30"/>
      <c r="DT205" s="30"/>
      <c r="DU205" s="30"/>
      <c r="DV205" s="30"/>
      <c r="DW205" s="30"/>
      <c r="DX205" s="30"/>
      <c r="DY205" s="30"/>
      <c r="DZ205" s="30"/>
      <c r="EA205" s="30"/>
      <c r="EB205" s="30"/>
      <c r="EC205" s="30"/>
      <c r="ED205" s="30"/>
      <c r="EE205" s="30"/>
      <c r="EF205" s="30"/>
      <c r="EG205" s="30"/>
      <c r="EH205" s="30"/>
      <c r="EI205" s="30"/>
      <c r="EJ205" s="30"/>
      <c r="EK205" s="30"/>
      <c r="EL205" s="30"/>
      <c r="EM205" s="30"/>
      <c r="EN205" s="30"/>
      <c r="EO205" s="30"/>
      <c r="EP205" s="30"/>
      <c r="EQ205" s="30"/>
      <c r="ER205" s="30"/>
      <c r="ES205" s="30"/>
      <c r="ET205" s="30"/>
      <c r="EU205" s="30"/>
      <c r="EV205" s="30"/>
      <c r="EW205" s="30"/>
      <c r="EX205" s="30"/>
      <c r="EY205" s="30"/>
      <c r="EZ205" s="30"/>
      <c r="FA205" s="30"/>
      <c r="FB205" s="30"/>
      <c r="FC205" s="30"/>
      <c r="FD205" s="30"/>
      <c r="FE205" s="30"/>
      <c r="FF205" s="30"/>
      <c r="FG205" s="30"/>
      <c r="FH205" s="30"/>
      <c r="FI205" s="30"/>
      <c r="FJ205" s="30"/>
      <c r="FK205" s="30"/>
      <c r="FL205" s="30"/>
      <c r="FM205" s="30"/>
      <c r="FN205" s="30"/>
      <c r="FO205" s="30"/>
      <c r="FP205" s="30"/>
      <c r="FQ205" s="30"/>
      <c r="FR205" s="30"/>
      <c r="FS205" s="30"/>
      <c r="FT205" s="30"/>
      <c r="FU205" s="30"/>
      <c r="FV205" s="30"/>
      <c r="FW205" s="30"/>
      <c r="FX205" s="30"/>
      <c r="FY205" s="30"/>
      <c r="FZ205" s="30"/>
      <c r="GA205" s="30"/>
      <c r="GB205" s="30"/>
      <c r="GC205" s="30"/>
      <c r="GD205" s="30"/>
      <c r="GE205" s="30"/>
      <c r="GF205" s="30"/>
      <c r="GG205" s="30"/>
      <c r="GH205" s="30"/>
      <c r="GI205" s="30"/>
      <c r="GJ205" s="30"/>
      <c r="GK205" s="30"/>
      <c r="GL205" s="30"/>
      <c r="GM205" s="30"/>
      <c r="GN205" s="30"/>
      <c r="GO205" s="30"/>
      <c r="GP205" s="30"/>
      <c r="GQ205" s="30"/>
      <c r="GR205" s="30"/>
      <c r="GS205" s="30"/>
      <c r="GT205" s="30"/>
      <c r="GU205" s="30"/>
      <c r="GV205" s="30"/>
      <c r="GW205" s="30"/>
      <c r="GX205" s="30"/>
      <c r="GY205" s="30"/>
      <c r="GZ205" s="30"/>
      <c r="HA205" s="30"/>
      <c r="HB205" s="30"/>
      <c r="HC205" s="30"/>
      <c r="HD205" s="30"/>
      <c r="HE205" s="30"/>
      <c r="HF205" s="30"/>
      <c r="HG205" s="30"/>
      <c r="HH205" s="30"/>
      <c r="HI205" s="30"/>
      <c r="HJ205" s="30"/>
      <c r="HK205" s="30"/>
      <c r="HL205" s="30"/>
      <c r="HM205" s="30"/>
      <c r="HN205" s="30"/>
      <c r="HO205" s="30"/>
      <c r="HP205" s="30"/>
      <c r="HQ205" s="30"/>
      <c r="HR205" s="30"/>
      <c r="HS205" s="30"/>
      <c r="HT205" s="30"/>
      <c r="HU205" s="30"/>
      <c r="HV205" s="30"/>
      <c r="HW205" s="30"/>
      <c r="HX205" s="30"/>
      <c r="HY205" s="30"/>
      <c r="HZ205" s="30"/>
      <c r="IA205" s="30"/>
      <c r="IB205" s="30"/>
      <c r="IC205" s="30"/>
      <c r="ID205" s="30"/>
      <c r="IE205" s="30"/>
      <c r="IF205" s="30"/>
      <c r="IG205" s="30"/>
      <c r="IH205" s="30"/>
      <c r="II205" s="30"/>
      <c r="IJ205" s="30"/>
      <c r="IK205" s="30"/>
      <c r="IL205" s="30"/>
      <c r="IM205" s="30"/>
      <c r="IN205" s="30"/>
      <c r="IO205" s="30"/>
      <c r="IP205" s="30"/>
      <c r="IQ205" s="30"/>
      <c r="IR205" s="34"/>
      <c r="IS205" s="34"/>
      <c r="IT205" s="34"/>
      <c r="IU205" s="34"/>
      <c r="IV205" s="34"/>
    </row>
    <row r="206" ht="11.25" customHeight="1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5"/>
      <c r="CU206" s="35"/>
      <c r="CV206" s="35"/>
      <c r="CW206" s="35"/>
      <c r="CX206" s="31"/>
      <c r="CY206" s="31"/>
      <c r="CZ206" s="31"/>
      <c r="DA206" s="31"/>
      <c r="DB206" s="31"/>
      <c r="DC206" s="31"/>
      <c r="DD206" s="31"/>
      <c r="DE206" s="31"/>
      <c r="DF206" s="31"/>
      <c r="DG206" s="31"/>
      <c r="DH206" s="31"/>
      <c r="DI206" s="31"/>
      <c r="DJ206" s="31"/>
      <c r="DK206" s="31"/>
      <c r="DL206" s="31"/>
      <c r="DM206" s="31"/>
      <c r="DN206" s="31"/>
      <c r="DO206" s="31"/>
      <c r="DP206" s="31"/>
      <c r="DQ206" s="31"/>
      <c r="DR206" s="31"/>
      <c r="DS206" s="31"/>
      <c r="DT206" s="31"/>
      <c r="DU206" s="31"/>
      <c r="DV206" s="31"/>
      <c r="DW206" s="31"/>
      <c r="DX206" s="31"/>
      <c r="DY206" s="31"/>
      <c r="DZ206" s="31"/>
      <c r="EA206" s="31"/>
      <c r="EB206" s="31"/>
      <c r="EC206" s="31"/>
      <c r="ED206" s="31"/>
      <c r="EE206" s="31"/>
      <c r="EF206" s="31"/>
      <c r="EG206" s="31"/>
      <c r="EH206" s="31"/>
      <c r="EI206" s="31"/>
      <c r="EJ206" s="31"/>
      <c r="EK206" s="31"/>
      <c r="EL206" s="31"/>
      <c r="EM206" s="31"/>
      <c r="EN206" s="31"/>
      <c r="EO206" s="31"/>
      <c r="EP206" s="31"/>
      <c r="EQ206" s="31"/>
      <c r="ER206" s="31"/>
      <c r="ES206" s="31"/>
      <c r="ET206" s="31"/>
      <c r="EU206" s="31"/>
      <c r="EV206" s="31"/>
      <c r="EW206" s="31"/>
      <c r="EX206" s="31"/>
      <c r="EY206" s="31"/>
      <c r="EZ206" s="31"/>
      <c r="FA206" s="31"/>
      <c r="FB206" s="31"/>
      <c r="FC206" s="31"/>
      <c r="FD206" s="31"/>
      <c r="FE206" s="31"/>
      <c r="FF206" s="31"/>
      <c r="FG206" s="31"/>
      <c r="FH206" s="31"/>
      <c r="FI206" s="31"/>
      <c r="FJ206" s="31"/>
      <c r="FK206" s="31"/>
      <c r="FL206" s="31"/>
      <c r="FM206" s="31"/>
      <c r="FN206" s="31"/>
      <c r="FO206" s="31"/>
      <c r="FP206" s="31"/>
      <c r="FQ206" s="31"/>
      <c r="FR206" s="31"/>
      <c r="FS206" s="31"/>
      <c r="FT206" s="31"/>
      <c r="FU206" s="31"/>
      <c r="FV206" s="31"/>
      <c r="FW206" s="31"/>
      <c r="FX206" s="31"/>
      <c r="FY206" s="31"/>
      <c r="FZ206" s="31"/>
      <c r="GA206" s="31"/>
      <c r="GB206" s="31"/>
      <c r="GC206" s="31"/>
      <c r="GD206" s="31"/>
      <c r="GE206" s="31"/>
      <c r="GF206" s="31"/>
      <c r="GG206" s="31"/>
      <c r="GH206" s="31"/>
      <c r="GI206" s="31"/>
      <c r="GJ206" s="31"/>
      <c r="GK206" s="31"/>
      <c r="GL206" s="31"/>
      <c r="GM206" s="31"/>
      <c r="GN206" s="31"/>
      <c r="GO206" s="31"/>
      <c r="GP206" s="31"/>
      <c r="GQ206" s="31"/>
      <c r="GR206" s="31"/>
      <c r="GS206" s="31"/>
      <c r="GT206" s="31"/>
      <c r="GU206" s="31"/>
      <c r="GV206" s="31"/>
      <c r="GW206" s="31"/>
      <c r="GX206" s="31"/>
      <c r="GY206" s="31"/>
      <c r="GZ206" s="31"/>
      <c r="HA206" s="31"/>
      <c r="HB206" s="31"/>
      <c r="HC206" s="31"/>
      <c r="HD206" s="31"/>
      <c r="HE206" s="31"/>
      <c r="HF206" s="31"/>
      <c r="HG206" s="31"/>
      <c r="HH206" s="31"/>
      <c r="HI206" s="31"/>
      <c r="HJ206" s="31"/>
      <c r="HK206" s="31"/>
      <c r="HL206" s="31"/>
      <c r="HM206" s="31"/>
      <c r="HN206" s="31"/>
      <c r="HO206" s="31"/>
      <c r="HP206" s="31"/>
      <c r="HQ206" s="31"/>
      <c r="HR206" s="31"/>
      <c r="HS206" s="31"/>
      <c r="HT206" s="31"/>
      <c r="HU206" s="31"/>
      <c r="HV206" s="31"/>
      <c r="HW206" s="31"/>
      <c r="HX206" s="31"/>
      <c r="HY206" s="31"/>
      <c r="HZ206" s="31"/>
      <c r="IA206" s="31"/>
      <c r="IB206" s="31"/>
      <c r="IC206" s="31"/>
      <c r="ID206" s="31"/>
      <c r="IE206" s="31"/>
      <c r="IF206" s="31"/>
      <c r="IG206" s="31"/>
      <c r="IH206" s="31"/>
      <c r="II206" s="31"/>
      <c r="IJ206" s="31"/>
      <c r="IK206" s="31"/>
      <c r="IL206" s="31"/>
      <c r="IM206" s="31"/>
      <c r="IN206" s="31"/>
      <c r="IO206" s="31"/>
      <c r="IP206" s="31"/>
      <c r="IQ206" s="31"/>
      <c r="IR206" s="34"/>
      <c r="IS206" s="34"/>
      <c r="IT206" s="34"/>
      <c r="IU206" s="34"/>
      <c r="IV206" s="34"/>
    </row>
    <row r="207" ht="11.25" customHeight="1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  <c r="CU207" s="35"/>
      <c r="CV207" s="35"/>
      <c r="CW207" s="35"/>
      <c r="CX207" s="31"/>
      <c r="CY207" s="31"/>
      <c r="CZ207" s="31"/>
      <c r="DA207" s="31"/>
      <c r="DB207" s="31"/>
      <c r="DC207" s="31"/>
      <c r="DD207" s="31"/>
      <c r="DE207" s="31"/>
      <c r="DF207" s="31"/>
      <c r="DG207" s="31"/>
      <c r="DH207" s="31"/>
      <c r="DI207" s="31"/>
      <c r="DJ207" s="31"/>
      <c r="DK207" s="31"/>
      <c r="DL207" s="31"/>
      <c r="DM207" s="31"/>
      <c r="DN207" s="31"/>
      <c r="DO207" s="31"/>
      <c r="DP207" s="31"/>
      <c r="DQ207" s="31"/>
      <c r="DR207" s="31"/>
      <c r="DS207" s="31"/>
      <c r="DT207" s="31"/>
      <c r="DU207" s="31"/>
      <c r="DV207" s="31"/>
      <c r="DW207" s="31"/>
      <c r="DX207" s="31"/>
      <c r="DY207" s="31"/>
      <c r="DZ207" s="31"/>
      <c r="EA207" s="31"/>
      <c r="EB207" s="31"/>
      <c r="EC207" s="31"/>
      <c r="ED207" s="31"/>
      <c r="EE207" s="31"/>
      <c r="EF207" s="31"/>
      <c r="EG207" s="31"/>
      <c r="EH207" s="31"/>
      <c r="EI207" s="31"/>
      <c r="EJ207" s="31"/>
      <c r="EK207" s="31"/>
      <c r="EL207" s="31"/>
      <c r="EM207" s="31"/>
      <c r="EN207" s="31"/>
      <c r="EO207" s="31"/>
      <c r="EP207" s="31"/>
      <c r="EQ207" s="31"/>
      <c r="ER207" s="31"/>
      <c r="ES207" s="31"/>
      <c r="ET207" s="31"/>
      <c r="EU207" s="31"/>
      <c r="EV207" s="31"/>
      <c r="EW207" s="31"/>
      <c r="EX207" s="31"/>
      <c r="EY207" s="31"/>
      <c r="EZ207" s="31"/>
      <c r="FA207" s="31"/>
      <c r="FB207" s="31"/>
      <c r="FC207" s="31"/>
      <c r="FD207" s="31"/>
      <c r="FE207" s="31"/>
      <c r="FF207" s="31"/>
      <c r="FG207" s="31"/>
      <c r="FH207" s="31"/>
      <c r="FI207" s="31"/>
      <c r="FJ207" s="31"/>
      <c r="FK207" s="31"/>
      <c r="FL207" s="31"/>
      <c r="FM207" s="31"/>
      <c r="FN207" s="31"/>
      <c r="FO207" s="31"/>
      <c r="FP207" s="31"/>
      <c r="FQ207" s="31"/>
      <c r="FR207" s="31"/>
      <c r="FS207" s="31"/>
      <c r="FT207" s="31"/>
      <c r="FU207" s="31"/>
      <c r="FV207" s="31"/>
      <c r="FW207" s="31"/>
      <c r="FX207" s="31"/>
      <c r="FY207" s="31"/>
      <c r="FZ207" s="31"/>
      <c r="GA207" s="31"/>
      <c r="GB207" s="31"/>
      <c r="GC207" s="31"/>
      <c r="GD207" s="31"/>
      <c r="GE207" s="31"/>
      <c r="GF207" s="31"/>
      <c r="GG207" s="31"/>
      <c r="GH207" s="31"/>
      <c r="GI207" s="31"/>
      <c r="GJ207" s="31"/>
      <c r="GK207" s="31"/>
      <c r="GL207" s="31"/>
      <c r="GM207" s="31"/>
      <c r="GN207" s="31"/>
      <c r="GO207" s="31"/>
      <c r="GP207" s="31"/>
      <c r="GQ207" s="31"/>
      <c r="GR207" s="31"/>
      <c r="GS207" s="31"/>
      <c r="GT207" s="31"/>
      <c r="GU207" s="31"/>
      <c r="GV207" s="31"/>
      <c r="GW207" s="31"/>
      <c r="GX207" s="31"/>
      <c r="GY207" s="31"/>
      <c r="GZ207" s="31"/>
      <c r="HA207" s="31"/>
      <c r="HB207" s="31"/>
      <c r="HC207" s="31"/>
      <c r="HD207" s="31"/>
      <c r="HE207" s="31"/>
      <c r="HF207" s="31"/>
      <c r="HG207" s="31"/>
      <c r="HH207" s="31"/>
      <c r="HI207" s="31"/>
      <c r="HJ207" s="31"/>
      <c r="HK207" s="31"/>
      <c r="HL207" s="31"/>
      <c r="HM207" s="31"/>
      <c r="HN207" s="31"/>
      <c r="HO207" s="31"/>
      <c r="HP207" s="31"/>
      <c r="HQ207" s="31"/>
      <c r="HR207" s="31"/>
      <c r="HS207" s="31"/>
      <c r="HT207" s="31"/>
      <c r="HU207" s="31"/>
      <c r="HV207" s="31"/>
      <c r="HW207" s="31"/>
      <c r="HX207" s="31"/>
      <c r="HY207" s="31"/>
      <c r="HZ207" s="31"/>
      <c r="IA207" s="31"/>
      <c r="IB207" s="31"/>
      <c r="IC207" s="31"/>
      <c r="ID207" s="31"/>
      <c r="IE207" s="31"/>
      <c r="IF207" s="31"/>
      <c r="IG207" s="31"/>
      <c r="IH207" s="31"/>
      <c r="II207" s="31"/>
      <c r="IJ207" s="31"/>
      <c r="IK207" s="31"/>
      <c r="IL207" s="31"/>
      <c r="IM207" s="31"/>
      <c r="IN207" s="31"/>
      <c r="IO207" s="31"/>
      <c r="IP207" s="31"/>
      <c r="IQ207" s="31"/>
      <c r="IR207" s="34"/>
      <c r="IS207" s="34"/>
      <c r="IT207" s="34"/>
      <c r="IU207" s="34"/>
      <c r="IV207" s="34"/>
    </row>
    <row r="208" ht="11.25" customHeight="1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/>
      <c r="CS208" s="35"/>
      <c r="CT208" s="35"/>
      <c r="CU208" s="35"/>
      <c r="CV208" s="35"/>
      <c r="CW208" s="35"/>
      <c r="CX208" s="31"/>
      <c r="CY208" s="31"/>
      <c r="CZ208" s="31"/>
      <c r="DA208" s="31"/>
      <c r="DB208" s="31"/>
      <c r="DC208" s="31"/>
      <c r="DD208" s="31"/>
      <c r="DE208" s="31"/>
      <c r="DF208" s="31"/>
      <c r="DG208" s="31"/>
      <c r="DH208" s="31"/>
      <c r="DI208" s="31"/>
      <c r="DJ208" s="31"/>
      <c r="DK208" s="31"/>
      <c r="DL208" s="31"/>
      <c r="DM208" s="31"/>
      <c r="DN208" s="31"/>
      <c r="DO208" s="31"/>
      <c r="DP208" s="31"/>
      <c r="DQ208" s="31"/>
      <c r="DR208" s="31"/>
      <c r="DS208" s="31"/>
      <c r="DT208" s="31"/>
      <c r="DU208" s="31"/>
      <c r="DV208" s="31"/>
      <c r="DW208" s="31"/>
      <c r="DX208" s="31"/>
      <c r="DY208" s="31"/>
      <c r="DZ208" s="31"/>
      <c r="EA208" s="31"/>
      <c r="EB208" s="31"/>
      <c r="EC208" s="31"/>
      <c r="ED208" s="31"/>
      <c r="EE208" s="31"/>
      <c r="EF208" s="31"/>
      <c r="EG208" s="31"/>
      <c r="EH208" s="31"/>
      <c r="EI208" s="31"/>
      <c r="EJ208" s="31"/>
      <c r="EK208" s="31"/>
      <c r="EL208" s="31"/>
      <c r="EM208" s="31"/>
      <c r="EN208" s="31"/>
      <c r="EO208" s="31"/>
      <c r="EP208" s="31"/>
      <c r="EQ208" s="31"/>
      <c r="ER208" s="31"/>
      <c r="ES208" s="31"/>
      <c r="ET208" s="31"/>
      <c r="EU208" s="31"/>
      <c r="EV208" s="31"/>
      <c r="EW208" s="31"/>
      <c r="EX208" s="31"/>
      <c r="EY208" s="31"/>
      <c r="EZ208" s="31"/>
      <c r="FA208" s="31"/>
      <c r="FB208" s="31"/>
      <c r="FC208" s="31"/>
      <c r="FD208" s="31"/>
      <c r="FE208" s="31"/>
      <c r="FF208" s="31"/>
      <c r="FG208" s="31"/>
      <c r="FH208" s="31"/>
      <c r="FI208" s="31"/>
      <c r="FJ208" s="31"/>
      <c r="FK208" s="31"/>
      <c r="FL208" s="31"/>
      <c r="FM208" s="31"/>
      <c r="FN208" s="31"/>
      <c r="FO208" s="31"/>
      <c r="FP208" s="31"/>
      <c r="FQ208" s="31"/>
      <c r="FR208" s="31"/>
      <c r="FS208" s="31"/>
      <c r="FT208" s="31"/>
      <c r="FU208" s="31"/>
      <c r="FV208" s="31"/>
      <c r="FW208" s="31"/>
      <c r="FX208" s="31"/>
      <c r="FY208" s="31"/>
      <c r="FZ208" s="31"/>
      <c r="GA208" s="31"/>
      <c r="GB208" s="31"/>
      <c r="GC208" s="31"/>
      <c r="GD208" s="31"/>
      <c r="GE208" s="31"/>
      <c r="GF208" s="31"/>
      <c r="GG208" s="31"/>
      <c r="GH208" s="31"/>
      <c r="GI208" s="31"/>
      <c r="GJ208" s="31"/>
      <c r="GK208" s="31"/>
      <c r="GL208" s="31"/>
      <c r="GM208" s="31"/>
      <c r="GN208" s="31"/>
      <c r="GO208" s="31"/>
      <c r="GP208" s="31"/>
      <c r="GQ208" s="31"/>
      <c r="GR208" s="31"/>
      <c r="GS208" s="31"/>
      <c r="GT208" s="31"/>
      <c r="GU208" s="31"/>
      <c r="GV208" s="31"/>
      <c r="GW208" s="31"/>
      <c r="GX208" s="31"/>
      <c r="GY208" s="31"/>
      <c r="GZ208" s="31"/>
      <c r="HA208" s="31"/>
      <c r="HB208" s="31"/>
      <c r="HC208" s="31"/>
      <c r="HD208" s="31"/>
      <c r="HE208" s="31"/>
      <c r="HF208" s="31"/>
      <c r="HG208" s="31"/>
      <c r="HH208" s="31"/>
      <c r="HI208" s="31"/>
      <c r="HJ208" s="31"/>
      <c r="HK208" s="31"/>
      <c r="HL208" s="31"/>
      <c r="HM208" s="31"/>
      <c r="HN208" s="31"/>
      <c r="HO208" s="31"/>
      <c r="HP208" s="31"/>
      <c r="HQ208" s="31"/>
      <c r="HR208" s="31"/>
      <c r="HS208" s="31"/>
      <c r="HT208" s="31"/>
      <c r="HU208" s="31"/>
      <c r="HV208" s="31"/>
      <c r="HW208" s="31"/>
      <c r="HX208" s="31"/>
      <c r="HY208" s="31"/>
      <c r="HZ208" s="31"/>
      <c r="IA208" s="31"/>
      <c r="IB208" s="31"/>
      <c r="IC208" s="31"/>
      <c r="ID208" s="31"/>
      <c r="IE208" s="31"/>
      <c r="IF208" s="31"/>
      <c r="IG208" s="31"/>
      <c r="IH208" s="31"/>
      <c r="II208" s="31"/>
      <c r="IJ208" s="31"/>
      <c r="IK208" s="31"/>
      <c r="IL208" s="31"/>
      <c r="IM208" s="31"/>
      <c r="IN208" s="31"/>
      <c r="IO208" s="31"/>
      <c r="IP208" s="31"/>
      <c r="IQ208" s="31"/>
      <c r="IR208" s="34"/>
      <c r="IS208" s="34"/>
      <c r="IT208" s="34"/>
      <c r="IU208" s="34"/>
      <c r="IV208" s="34"/>
    </row>
    <row r="209" ht="11.25" customHeight="1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1"/>
      <c r="CY209" s="31"/>
      <c r="CZ209" s="31"/>
      <c r="DA209" s="31"/>
      <c r="DB209" s="31"/>
      <c r="DC209" s="31"/>
      <c r="DD209" s="31"/>
      <c r="DE209" s="31"/>
      <c r="DF209" s="31"/>
      <c r="DG209" s="31"/>
      <c r="DH209" s="31"/>
      <c r="DI209" s="31"/>
      <c r="DJ209" s="31"/>
      <c r="DK209" s="31"/>
      <c r="DL209" s="31"/>
      <c r="DM209" s="31"/>
      <c r="DN209" s="31"/>
      <c r="DO209" s="31"/>
      <c r="DP209" s="31"/>
      <c r="DQ209" s="31"/>
      <c r="DR209" s="31"/>
      <c r="DS209" s="31"/>
      <c r="DT209" s="31"/>
      <c r="DU209" s="31"/>
      <c r="DV209" s="31"/>
      <c r="DW209" s="31"/>
      <c r="DX209" s="31"/>
      <c r="DY209" s="31"/>
      <c r="DZ209" s="31"/>
      <c r="EA209" s="31"/>
      <c r="EB209" s="31"/>
      <c r="EC209" s="31"/>
      <c r="ED209" s="31"/>
      <c r="EE209" s="31"/>
      <c r="EF209" s="31"/>
      <c r="EG209" s="31"/>
      <c r="EH209" s="31"/>
      <c r="EI209" s="31"/>
      <c r="EJ209" s="31"/>
      <c r="EK209" s="31"/>
      <c r="EL209" s="31"/>
      <c r="EM209" s="31"/>
      <c r="EN209" s="31"/>
      <c r="EO209" s="31"/>
      <c r="EP209" s="31"/>
      <c r="EQ209" s="31"/>
      <c r="ER209" s="31"/>
      <c r="ES209" s="31"/>
      <c r="ET209" s="31"/>
      <c r="EU209" s="31"/>
      <c r="EV209" s="31"/>
      <c r="EW209" s="31"/>
      <c r="EX209" s="31"/>
      <c r="EY209" s="31"/>
      <c r="EZ209" s="31"/>
      <c r="FA209" s="31"/>
      <c r="FB209" s="31"/>
      <c r="FC209" s="31"/>
      <c r="FD209" s="31"/>
      <c r="FE209" s="31"/>
      <c r="FF209" s="31"/>
      <c r="FG209" s="31"/>
      <c r="FH209" s="31"/>
      <c r="FI209" s="31"/>
      <c r="FJ209" s="31"/>
      <c r="FK209" s="31"/>
      <c r="FL209" s="31"/>
      <c r="FM209" s="31"/>
      <c r="FN209" s="31"/>
      <c r="FO209" s="31"/>
      <c r="FP209" s="31"/>
      <c r="FQ209" s="31"/>
      <c r="FR209" s="31"/>
      <c r="FS209" s="31"/>
      <c r="FT209" s="31"/>
      <c r="FU209" s="31"/>
      <c r="FV209" s="31"/>
      <c r="FW209" s="31"/>
      <c r="FX209" s="31"/>
      <c r="FY209" s="31"/>
      <c r="FZ209" s="31"/>
      <c r="GA209" s="31"/>
      <c r="GB209" s="31"/>
      <c r="GC209" s="31"/>
      <c r="GD209" s="31"/>
      <c r="GE209" s="31"/>
      <c r="GF209" s="31"/>
      <c r="GG209" s="31"/>
      <c r="GH209" s="31"/>
      <c r="GI209" s="31"/>
      <c r="GJ209" s="31"/>
      <c r="GK209" s="31"/>
      <c r="GL209" s="31"/>
      <c r="GM209" s="31"/>
      <c r="GN209" s="31"/>
      <c r="GO209" s="31"/>
      <c r="GP209" s="31"/>
      <c r="GQ209" s="31"/>
      <c r="GR209" s="31"/>
      <c r="GS209" s="31"/>
      <c r="GT209" s="31"/>
      <c r="GU209" s="31"/>
      <c r="GV209" s="31"/>
      <c r="GW209" s="31"/>
      <c r="GX209" s="31"/>
      <c r="GY209" s="31"/>
      <c r="GZ209" s="31"/>
      <c r="HA209" s="31"/>
      <c r="HB209" s="31"/>
      <c r="HC209" s="31"/>
      <c r="HD209" s="31"/>
      <c r="HE209" s="31"/>
      <c r="HF209" s="31"/>
      <c r="HG209" s="31"/>
      <c r="HH209" s="31"/>
      <c r="HI209" s="31"/>
      <c r="HJ209" s="31"/>
      <c r="HK209" s="31"/>
      <c r="HL209" s="31"/>
      <c r="HM209" s="31"/>
      <c r="HN209" s="31"/>
      <c r="HO209" s="31"/>
      <c r="HP209" s="31"/>
      <c r="HQ209" s="31"/>
      <c r="HR209" s="31"/>
      <c r="HS209" s="31"/>
      <c r="HT209" s="31"/>
      <c r="HU209" s="31"/>
      <c r="HV209" s="31"/>
      <c r="HW209" s="31"/>
      <c r="HX209" s="31"/>
      <c r="HY209" s="31"/>
      <c r="HZ209" s="31"/>
      <c r="IA209" s="31"/>
      <c r="IB209" s="31"/>
      <c r="IC209" s="31"/>
      <c r="ID209" s="31"/>
      <c r="IE209" s="31"/>
      <c r="IF209" s="31"/>
      <c r="IG209" s="31"/>
      <c r="IH209" s="31"/>
      <c r="II209" s="31"/>
      <c r="IJ209" s="31"/>
      <c r="IK209" s="31"/>
      <c r="IL209" s="31"/>
      <c r="IM209" s="31"/>
      <c r="IN209" s="31"/>
      <c r="IO209" s="31"/>
      <c r="IP209" s="31"/>
      <c r="IQ209" s="31"/>
      <c r="IR209" s="34"/>
      <c r="IS209" s="34"/>
      <c r="IT209" s="34"/>
      <c r="IU209" s="34"/>
      <c r="IV209" s="34"/>
    </row>
    <row r="210" ht="11.25" customHeight="1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1"/>
      <c r="CY210" s="31"/>
      <c r="CZ210" s="31"/>
      <c r="DA210" s="31"/>
      <c r="DB210" s="31"/>
      <c r="DC210" s="31"/>
      <c r="DD210" s="31"/>
      <c r="DE210" s="31"/>
      <c r="DF210" s="31"/>
      <c r="DG210" s="31"/>
      <c r="DH210" s="31"/>
      <c r="DI210" s="31"/>
      <c r="DJ210" s="31"/>
      <c r="DK210" s="31"/>
      <c r="DL210" s="31"/>
      <c r="DM210" s="31"/>
      <c r="DN210" s="31"/>
      <c r="DO210" s="31"/>
      <c r="DP210" s="31"/>
      <c r="DQ210" s="31"/>
      <c r="DR210" s="31"/>
      <c r="DS210" s="31"/>
      <c r="DT210" s="31"/>
      <c r="DU210" s="31"/>
      <c r="DV210" s="31"/>
      <c r="DW210" s="31"/>
      <c r="DX210" s="31"/>
      <c r="DY210" s="31"/>
      <c r="DZ210" s="31"/>
      <c r="EA210" s="31"/>
      <c r="EB210" s="31"/>
      <c r="EC210" s="31"/>
      <c r="ED210" s="31"/>
      <c r="EE210" s="31"/>
      <c r="EF210" s="31"/>
      <c r="EG210" s="31"/>
      <c r="EH210" s="31"/>
      <c r="EI210" s="31"/>
      <c r="EJ210" s="31"/>
      <c r="EK210" s="31"/>
      <c r="EL210" s="31"/>
      <c r="EM210" s="31"/>
      <c r="EN210" s="31"/>
      <c r="EO210" s="31"/>
      <c r="EP210" s="31"/>
      <c r="EQ210" s="31"/>
      <c r="ER210" s="31"/>
      <c r="ES210" s="31"/>
      <c r="ET210" s="31"/>
      <c r="EU210" s="31"/>
      <c r="EV210" s="31"/>
      <c r="EW210" s="31"/>
      <c r="EX210" s="31"/>
      <c r="EY210" s="31"/>
      <c r="EZ210" s="31"/>
      <c r="FA210" s="31"/>
      <c r="FB210" s="31"/>
      <c r="FC210" s="31"/>
      <c r="FD210" s="31"/>
      <c r="FE210" s="31"/>
      <c r="FF210" s="31"/>
      <c r="FG210" s="31"/>
      <c r="FH210" s="31"/>
      <c r="FI210" s="31"/>
      <c r="FJ210" s="31"/>
      <c r="FK210" s="31"/>
      <c r="FL210" s="31"/>
      <c r="FM210" s="31"/>
      <c r="FN210" s="31"/>
      <c r="FO210" s="31"/>
      <c r="FP210" s="31"/>
      <c r="FQ210" s="31"/>
      <c r="FR210" s="31"/>
      <c r="FS210" s="31"/>
      <c r="FT210" s="31"/>
      <c r="FU210" s="31"/>
      <c r="FV210" s="31"/>
      <c r="FW210" s="31"/>
      <c r="FX210" s="31"/>
      <c r="FY210" s="31"/>
      <c r="FZ210" s="31"/>
      <c r="GA210" s="31"/>
      <c r="GB210" s="31"/>
      <c r="GC210" s="31"/>
      <c r="GD210" s="31"/>
      <c r="GE210" s="31"/>
      <c r="GF210" s="31"/>
      <c r="GG210" s="31"/>
      <c r="GH210" s="31"/>
      <c r="GI210" s="31"/>
      <c r="GJ210" s="31"/>
      <c r="GK210" s="31"/>
      <c r="GL210" s="31"/>
      <c r="GM210" s="31"/>
      <c r="GN210" s="31"/>
      <c r="GO210" s="31"/>
      <c r="GP210" s="31"/>
      <c r="GQ210" s="31"/>
      <c r="GR210" s="31"/>
      <c r="GS210" s="31"/>
      <c r="GT210" s="31"/>
      <c r="GU210" s="31"/>
      <c r="GV210" s="31"/>
      <c r="GW210" s="31"/>
      <c r="GX210" s="31"/>
      <c r="GY210" s="31"/>
      <c r="GZ210" s="31"/>
      <c r="HA210" s="31"/>
      <c r="HB210" s="31"/>
      <c r="HC210" s="31"/>
      <c r="HD210" s="31"/>
      <c r="HE210" s="31"/>
      <c r="HF210" s="31"/>
      <c r="HG210" s="31"/>
      <c r="HH210" s="31"/>
      <c r="HI210" s="31"/>
      <c r="HJ210" s="31"/>
      <c r="HK210" s="31"/>
      <c r="HL210" s="31"/>
      <c r="HM210" s="31"/>
      <c r="HN210" s="31"/>
      <c r="HO210" s="31"/>
      <c r="HP210" s="31"/>
      <c r="HQ210" s="31"/>
      <c r="HR210" s="31"/>
      <c r="HS210" s="31"/>
      <c r="HT210" s="31"/>
      <c r="HU210" s="31"/>
      <c r="HV210" s="31"/>
      <c r="HW210" s="31"/>
      <c r="HX210" s="31"/>
      <c r="HY210" s="31"/>
      <c r="HZ210" s="31"/>
      <c r="IA210" s="31"/>
      <c r="IB210" s="31"/>
      <c r="IC210" s="31"/>
      <c r="ID210" s="31"/>
      <c r="IE210" s="31"/>
      <c r="IF210" s="31"/>
      <c r="IG210" s="31"/>
      <c r="IH210" s="31"/>
      <c r="II210" s="31"/>
      <c r="IJ210" s="31"/>
      <c r="IK210" s="31"/>
      <c r="IL210" s="31"/>
      <c r="IM210" s="31"/>
      <c r="IN210" s="31"/>
      <c r="IO210" s="31"/>
      <c r="IP210" s="31"/>
      <c r="IQ210" s="31"/>
      <c r="IR210" s="34"/>
      <c r="IS210" s="34"/>
      <c r="IT210" s="34"/>
      <c r="IU210" s="34"/>
      <c r="IV210" s="34"/>
    </row>
    <row r="211" ht="11.25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  <c r="BV211" s="28"/>
      <c r="BW211" s="28"/>
      <c r="BX211" s="28"/>
      <c r="BY211" s="28"/>
      <c r="BZ211" s="28"/>
      <c r="CA211" s="28"/>
      <c r="CB211" s="28"/>
      <c r="CC211" s="28"/>
      <c r="CD211" s="28"/>
      <c r="CE211" s="28"/>
      <c r="CF211" s="28"/>
      <c r="CG211" s="28"/>
      <c r="CH211" s="28"/>
      <c r="CI211" s="28"/>
      <c r="CJ211" s="28"/>
      <c r="CK211" s="28"/>
      <c r="CL211" s="28"/>
      <c r="CM211" s="28"/>
      <c r="CN211" s="28"/>
      <c r="CO211" s="28"/>
      <c r="CP211" s="28"/>
      <c r="CQ211" s="28"/>
      <c r="CR211" s="28"/>
      <c r="CS211" s="28"/>
      <c r="CT211" s="28"/>
      <c r="CU211" s="28"/>
      <c r="CV211" s="28"/>
      <c r="CW211" s="28"/>
      <c r="CX211" s="28"/>
      <c r="CY211" s="28"/>
      <c r="CZ211" s="28"/>
      <c r="DA211" s="28"/>
      <c r="DB211" s="28"/>
      <c r="DC211" s="28"/>
      <c r="DD211" s="28"/>
      <c r="DE211" s="28"/>
      <c r="DF211" s="28"/>
      <c r="DG211" s="28"/>
      <c r="DH211" s="28"/>
      <c r="DI211" s="28"/>
      <c r="DJ211" s="28"/>
      <c r="DK211" s="28"/>
      <c r="DL211" s="28"/>
      <c r="DM211" s="28"/>
      <c r="DN211" s="28"/>
      <c r="DO211" s="28"/>
      <c r="DP211" s="28"/>
      <c r="DQ211" s="28"/>
      <c r="DR211" s="28"/>
      <c r="DS211" s="28"/>
      <c r="DT211" s="28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  <c r="EQ211" s="28"/>
      <c r="ER211" s="28"/>
      <c r="ES211" s="28"/>
      <c r="ET211" s="28"/>
      <c r="EU211" s="28"/>
      <c r="EV211" s="28"/>
      <c r="EW211" s="28"/>
      <c r="EX211" s="28"/>
      <c r="EY211" s="28"/>
      <c r="EZ211" s="28"/>
      <c r="FA211" s="28"/>
      <c r="FB211" s="28"/>
      <c r="FC211" s="28"/>
      <c r="FD211" s="28"/>
      <c r="FE211" s="28"/>
      <c r="FF211" s="28"/>
      <c r="FG211" s="28"/>
      <c r="FH211" s="28"/>
      <c r="FI211" s="28"/>
      <c r="FJ211" s="28"/>
      <c r="FK211" s="28"/>
      <c r="FL211" s="28"/>
      <c r="FM211" s="28"/>
      <c r="FN211" s="28"/>
      <c r="FO211" s="28"/>
      <c r="FP211" s="28"/>
      <c r="FQ211" s="28"/>
      <c r="FR211" s="28"/>
      <c r="FS211" s="28"/>
      <c r="FT211" s="28"/>
      <c r="FU211" s="28"/>
      <c r="FV211" s="28"/>
      <c r="FW211" s="28"/>
      <c r="FX211" s="28"/>
      <c r="FY211" s="28"/>
      <c r="FZ211" s="28"/>
      <c r="GA211" s="28"/>
      <c r="GB211" s="28"/>
      <c r="GC211" s="28"/>
      <c r="GD211" s="28"/>
      <c r="GE211" s="28"/>
      <c r="GF211" s="28"/>
      <c r="GG211" s="28"/>
      <c r="GH211" s="28"/>
      <c r="GI211" s="28"/>
      <c r="GJ211" s="28"/>
      <c r="GK211" s="28"/>
      <c r="GL211" s="28"/>
      <c r="GM211" s="28"/>
      <c r="GN211" s="28"/>
      <c r="GO211" s="28"/>
      <c r="GP211" s="28"/>
      <c r="GQ211" s="28"/>
      <c r="GR211" s="28"/>
      <c r="GS211" s="28"/>
      <c r="GT211" s="28"/>
      <c r="GU211" s="28"/>
      <c r="GV211" s="28"/>
      <c r="GW211" s="28"/>
      <c r="GX211" s="28"/>
      <c r="GY211" s="28"/>
      <c r="GZ211" s="28"/>
      <c r="HA211" s="28"/>
      <c r="HB211" s="28"/>
      <c r="HC211" s="28"/>
      <c r="HD211" s="28"/>
      <c r="HE211" s="28"/>
      <c r="HF211" s="28"/>
      <c r="HG211" s="28"/>
      <c r="HH211" s="28"/>
      <c r="HI211" s="28"/>
      <c r="HJ211" s="28"/>
      <c r="HK211" s="28"/>
      <c r="HL211" s="28"/>
      <c r="HM211" s="28"/>
      <c r="HN211" s="28"/>
      <c r="HO211" s="28"/>
      <c r="HP211" s="28"/>
      <c r="HQ211" s="28"/>
      <c r="HR211" s="28"/>
      <c r="HS211" s="28"/>
      <c r="HT211" s="28"/>
      <c r="HU211" s="28"/>
      <c r="HV211" s="28"/>
      <c r="HW211" s="28"/>
      <c r="HX211" s="28"/>
      <c r="HY211" s="28"/>
      <c r="HZ211" s="28"/>
      <c r="IA211" s="28"/>
      <c r="IB211" s="28"/>
      <c r="IC211" s="28"/>
      <c r="ID211" s="28"/>
      <c r="IE211" s="28"/>
      <c r="IF211" s="28"/>
      <c r="IG211" s="28"/>
      <c r="IH211" s="28"/>
      <c r="II211" s="28"/>
      <c r="IJ211" s="28"/>
      <c r="IK211" s="28"/>
      <c r="IL211" s="28"/>
      <c r="IM211" s="28"/>
      <c r="IN211" s="28"/>
      <c r="IO211" s="28"/>
      <c r="IP211" s="28"/>
      <c r="IQ211" s="28"/>
      <c r="IR211" s="26"/>
      <c r="IS211" s="26"/>
      <c r="IT211" s="26"/>
      <c r="IU211" s="26"/>
      <c r="IV211" s="26"/>
    </row>
    <row r="212" ht="11.25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  <c r="BV212" s="28"/>
      <c r="BW212" s="28"/>
      <c r="BX212" s="28"/>
      <c r="BY212" s="28"/>
      <c r="BZ212" s="28"/>
      <c r="CA212" s="28"/>
      <c r="CB212" s="28"/>
      <c r="CC212" s="28"/>
      <c r="CD212" s="28"/>
      <c r="CE212" s="28"/>
      <c r="CF212" s="28"/>
      <c r="CG212" s="28"/>
      <c r="CH212" s="28"/>
      <c r="CI212" s="28"/>
      <c r="CJ212" s="28"/>
      <c r="CK212" s="28"/>
      <c r="CL212" s="28"/>
      <c r="CM212" s="28"/>
      <c r="CN212" s="28"/>
      <c r="CO212" s="28"/>
      <c r="CP212" s="28"/>
      <c r="CQ212" s="28"/>
      <c r="CR212" s="28"/>
      <c r="CS212" s="28"/>
      <c r="CT212" s="28"/>
      <c r="CU212" s="28"/>
      <c r="CV212" s="28"/>
      <c r="CW212" s="28"/>
      <c r="CX212" s="28"/>
      <c r="CY212" s="28"/>
      <c r="CZ212" s="28"/>
      <c r="DA212" s="28"/>
      <c r="DB212" s="28"/>
      <c r="DC212" s="28"/>
      <c r="DD212" s="28"/>
      <c r="DE212" s="28"/>
      <c r="DF212" s="28"/>
      <c r="DG212" s="28"/>
      <c r="DH212" s="28"/>
      <c r="DI212" s="28"/>
      <c r="DJ212" s="28"/>
      <c r="DK212" s="28"/>
      <c r="DL212" s="28"/>
      <c r="DM212" s="28"/>
      <c r="DN212" s="28"/>
      <c r="DO212" s="28"/>
      <c r="DP212" s="28"/>
      <c r="DQ212" s="28"/>
      <c r="DR212" s="28"/>
      <c r="DS212" s="28"/>
      <c r="DT212" s="28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  <c r="EQ212" s="28"/>
      <c r="ER212" s="28"/>
      <c r="ES212" s="28"/>
      <c r="ET212" s="28"/>
      <c r="EU212" s="28"/>
      <c r="EV212" s="28"/>
      <c r="EW212" s="28"/>
      <c r="EX212" s="28"/>
      <c r="EY212" s="28"/>
      <c r="EZ212" s="28"/>
      <c r="FA212" s="28"/>
      <c r="FB212" s="28"/>
      <c r="FC212" s="28"/>
      <c r="FD212" s="28"/>
      <c r="FE212" s="28"/>
      <c r="FF212" s="28"/>
      <c r="FG212" s="28"/>
      <c r="FH212" s="28"/>
      <c r="FI212" s="28"/>
      <c r="FJ212" s="28"/>
      <c r="FK212" s="28"/>
      <c r="FL212" s="28"/>
      <c r="FM212" s="28"/>
      <c r="FN212" s="28"/>
      <c r="FO212" s="28"/>
      <c r="FP212" s="28"/>
      <c r="FQ212" s="28"/>
      <c r="FR212" s="28"/>
      <c r="FS212" s="28"/>
      <c r="FT212" s="28"/>
      <c r="FU212" s="28"/>
      <c r="FV212" s="28"/>
      <c r="FW212" s="28"/>
      <c r="FX212" s="28"/>
      <c r="FY212" s="28"/>
      <c r="FZ212" s="28"/>
      <c r="GA212" s="28"/>
      <c r="GB212" s="28"/>
      <c r="GC212" s="28"/>
      <c r="GD212" s="28"/>
      <c r="GE212" s="28"/>
      <c r="GF212" s="28"/>
      <c r="GG212" s="28"/>
      <c r="GH212" s="28"/>
      <c r="GI212" s="28"/>
      <c r="GJ212" s="28"/>
      <c r="GK212" s="28"/>
      <c r="GL212" s="28"/>
      <c r="GM212" s="28"/>
      <c r="GN212" s="28"/>
      <c r="GO212" s="28"/>
      <c r="GP212" s="28"/>
      <c r="GQ212" s="28"/>
      <c r="GR212" s="28"/>
      <c r="GS212" s="28"/>
      <c r="GT212" s="28"/>
      <c r="GU212" s="28"/>
      <c r="GV212" s="28"/>
      <c r="GW212" s="28"/>
      <c r="GX212" s="28"/>
      <c r="GY212" s="28"/>
      <c r="GZ212" s="28"/>
      <c r="HA212" s="28"/>
      <c r="HB212" s="28"/>
      <c r="HC212" s="28"/>
      <c r="HD212" s="28"/>
      <c r="HE212" s="28"/>
      <c r="HF212" s="28"/>
      <c r="HG212" s="28"/>
      <c r="HH212" s="28"/>
      <c r="HI212" s="28"/>
      <c r="HJ212" s="28"/>
      <c r="HK212" s="28"/>
      <c r="HL212" s="28"/>
      <c r="HM212" s="28"/>
      <c r="HN212" s="28"/>
      <c r="HO212" s="28"/>
      <c r="HP212" s="28"/>
      <c r="HQ212" s="28"/>
      <c r="HR212" s="28"/>
      <c r="HS212" s="28"/>
      <c r="HT212" s="28"/>
      <c r="HU212" s="28"/>
      <c r="HV212" s="28"/>
      <c r="HW212" s="28"/>
      <c r="HX212" s="28"/>
      <c r="HY212" s="28"/>
      <c r="HZ212" s="28"/>
      <c r="IA212" s="28"/>
      <c r="IB212" s="28"/>
      <c r="IC212" s="28"/>
      <c r="ID212" s="28"/>
      <c r="IE212" s="28"/>
      <c r="IF212" s="28"/>
      <c r="IG212" s="28"/>
      <c r="IH212" s="28"/>
      <c r="II212" s="28"/>
      <c r="IJ212" s="28"/>
      <c r="IK212" s="28"/>
      <c r="IL212" s="28"/>
      <c r="IM212" s="28"/>
      <c r="IN212" s="28"/>
      <c r="IO212" s="28"/>
      <c r="IP212" s="28"/>
      <c r="IQ212" s="28"/>
      <c r="IR212" s="26"/>
      <c r="IS212" s="26"/>
      <c r="IT212" s="26"/>
      <c r="IU212" s="26"/>
      <c r="IV212" s="26"/>
    </row>
    <row r="213" ht="11.25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  <c r="BV213" s="28"/>
      <c r="BW213" s="28"/>
      <c r="BX213" s="28"/>
      <c r="BY213" s="28"/>
      <c r="BZ213" s="28"/>
      <c r="CA213" s="28"/>
      <c r="CB213" s="28"/>
      <c r="CC213" s="28"/>
      <c r="CD213" s="28"/>
      <c r="CE213" s="28"/>
      <c r="CF213" s="28"/>
      <c r="CG213" s="28"/>
      <c r="CH213" s="28"/>
      <c r="CI213" s="28"/>
      <c r="CJ213" s="28"/>
      <c r="CK213" s="28"/>
      <c r="CL213" s="28"/>
      <c r="CM213" s="28"/>
      <c r="CN213" s="28"/>
      <c r="CO213" s="28"/>
      <c r="CP213" s="28"/>
      <c r="CQ213" s="28"/>
      <c r="CR213" s="28"/>
      <c r="CS213" s="28"/>
      <c r="CT213" s="28"/>
      <c r="CU213" s="28"/>
      <c r="CV213" s="28"/>
      <c r="CW213" s="28"/>
      <c r="CX213" s="28"/>
      <c r="CY213" s="28"/>
      <c r="CZ213" s="28"/>
      <c r="DA213" s="28"/>
      <c r="DB213" s="28"/>
      <c r="DC213" s="28"/>
      <c r="DD213" s="28"/>
      <c r="DE213" s="28"/>
      <c r="DF213" s="28"/>
      <c r="DG213" s="28"/>
      <c r="DH213" s="28"/>
      <c r="DI213" s="28"/>
      <c r="DJ213" s="28"/>
      <c r="DK213" s="28"/>
      <c r="DL213" s="28"/>
      <c r="DM213" s="28"/>
      <c r="DN213" s="28"/>
      <c r="DO213" s="28"/>
      <c r="DP213" s="28"/>
      <c r="DQ213" s="28"/>
      <c r="DR213" s="28"/>
      <c r="DS213" s="28"/>
      <c r="DT213" s="28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  <c r="EQ213" s="28"/>
      <c r="ER213" s="28"/>
      <c r="ES213" s="28"/>
      <c r="ET213" s="28"/>
      <c r="EU213" s="28"/>
      <c r="EV213" s="28"/>
      <c r="EW213" s="28"/>
      <c r="EX213" s="28"/>
      <c r="EY213" s="28"/>
      <c r="EZ213" s="28"/>
      <c r="FA213" s="28"/>
      <c r="FB213" s="28"/>
      <c r="FC213" s="28"/>
      <c r="FD213" s="28"/>
      <c r="FE213" s="28"/>
      <c r="FF213" s="28"/>
      <c r="FG213" s="28"/>
      <c r="FH213" s="28"/>
      <c r="FI213" s="28"/>
      <c r="FJ213" s="28"/>
      <c r="FK213" s="28"/>
      <c r="FL213" s="28"/>
      <c r="FM213" s="28"/>
      <c r="FN213" s="28"/>
      <c r="FO213" s="28"/>
      <c r="FP213" s="28"/>
      <c r="FQ213" s="28"/>
      <c r="FR213" s="28"/>
      <c r="FS213" s="28"/>
      <c r="FT213" s="28"/>
      <c r="FU213" s="28"/>
      <c r="FV213" s="28"/>
      <c r="FW213" s="28"/>
      <c r="FX213" s="28"/>
      <c r="FY213" s="28"/>
      <c r="FZ213" s="28"/>
      <c r="GA213" s="28"/>
      <c r="GB213" s="28"/>
      <c r="GC213" s="28"/>
      <c r="GD213" s="28"/>
      <c r="GE213" s="28"/>
      <c r="GF213" s="28"/>
      <c r="GG213" s="28"/>
      <c r="GH213" s="28"/>
      <c r="GI213" s="28"/>
      <c r="GJ213" s="28"/>
      <c r="GK213" s="28"/>
      <c r="GL213" s="28"/>
      <c r="GM213" s="28"/>
      <c r="GN213" s="28"/>
      <c r="GO213" s="28"/>
      <c r="GP213" s="28"/>
      <c r="GQ213" s="28"/>
      <c r="GR213" s="28"/>
      <c r="GS213" s="28"/>
      <c r="GT213" s="28"/>
      <c r="GU213" s="28"/>
      <c r="GV213" s="28"/>
      <c r="GW213" s="28"/>
      <c r="GX213" s="28"/>
      <c r="GY213" s="28"/>
      <c r="GZ213" s="28"/>
      <c r="HA213" s="28"/>
      <c r="HB213" s="28"/>
      <c r="HC213" s="28"/>
      <c r="HD213" s="28"/>
      <c r="HE213" s="28"/>
      <c r="HF213" s="28"/>
      <c r="HG213" s="28"/>
      <c r="HH213" s="28"/>
      <c r="HI213" s="28"/>
      <c r="HJ213" s="28"/>
      <c r="HK213" s="28"/>
      <c r="HL213" s="28"/>
      <c r="HM213" s="28"/>
      <c r="HN213" s="28"/>
      <c r="HO213" s="28"/>
      <c r="HP213" s="28"/>
      <c r="HQ213" s="28"/>
      <c r="HR213" s="28"/>
      <c r="HS213" s="28"/>
      <c r="HT213" s="28"/>
      <c r="HU213" s="28"/>
      <c r="HV213" s="28"/>
      <c r="HW213" s="28"/>
      <c r="HX213" s="28"/>
      <c r="HY213" s="28"/>
      <c r="HZ213" s="28"/>
      <c r="IA213" s="28"/>
      <c r="IB213" s="28"/>
      <c r="IC213" s="28"/>
      <c r="ID213" s="28"/>
      <c r="IE213" s="28"/>
      <c r="IF213" s="28"/>
      <c r="IG213" s="28"/>
      <c r="IH213" s="28"/>
      <c r="II213" s="28"/>
      <c r="IJ213" s="28"/>
      <c r="IK213" s="28"/>
      <c r="IL213" s="28"/>
      <c r="IM213" s="28"/>
      <c r="IN213" s="28"/>
      <c r="IO213" s="28"/>
      <c r="IP213" s="28"/>
      <c r="IQ213" s="28"/>
      <c r="IR213" s="26"/>
      <c r="IS213" s="26"/>
      <c r="IT213" s="26"/>
      <c r="IU213" s="26"/>
      <c r="IV213" s="26"/>
    </row>
    <row r="214" ht="11.25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  <c r="BV214" s="28"/>
      <c r="BW214" s="28"/>
      <c r="BX214" s="28"/>
      <c r="BY214" s="28"/>
      <c r="BZ214" s="28"/>
      <c r="CA214" s="28"/>
      <c r="CB214" s="28"/>
      <c r="CC214" s="28"/>
      <c r="CD214" s="28"/>
      <c r="CE214" s="28"/>
      <c r="CF214" s="28"/>
      <c r="CG214" s="28"/>
      <c r="CH214" s="28"/>
      <c r="CI214" s="28"/>
      <c r="CJ214" s="28"/>
      <c r="CK214" s="28"/>
      <c r="CL214" s="28"/>
      <c r="CM214" s="28"/>
      <c r="CN214" s="28"/>
      <c r="CO214" s="28"/>
      <c r="CP214" s="28"/>
      <c r="CQ214" s="28"/>
      <c r="CR214" s="28"/>
      <c r="CS214" s="28"/>
      <c r="CT214" s="28"/>
      <c r="CU214" s="28"/>
      <c r="CV214" s="28"/>
      <c r="CW214" s="28"/>
      <c r="CX214" s="28"/>
      <c r="CY214" s="28"/>
      <c r="CZ214" s="28"/>
      <c r="DA214" s="28"/>
      <c r="DB214" s="28"/>
      <c r="DC214" s="28"/>
      <c r="DD214" s="28"/>
      <c r="DE214" s="28"/>
      <c r="DF214" s="28"/>
      <c r="DG214" s="28"/>
      <c r="DH214" s="28"/>
      <c r="DI214" s="28"/>
      <c r="DJ214" s="28"/>
      <c r="DK214" s="28"/>
      <c r="DL214" s="28"/>
      <c r="DM214" s="28"/>
      <c r="DN214" s="28"/>
      <c r="DO214" s="28"/>
      <c r="DP214" s="28"/>
      <c r="DQ214" s="28"/>
      <c r="DR214" s="28"/>
      <c r="DS214" s="28"/>
      <c r="DT214" s="28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  <c r="EQ214" s="28"/>
      <c r="ER214" s="28"/>
      <c r="ES214" s="28"/>
      <c r="ET214" s="28"/>
      <c r="EU214" s="28"/>
      <c r="EV214" s="28"/>
      <c r="EW214" s="28"/>
      <c r="EX214" s="28"/>
      <c r="EY214" s="28"/>
      <c r="EZ214" s="28"/>
      <c r="FA214" s="28"/>
      <c r="FB214" s="28"/>
      <c r="FC214" s="28"/>
      <c r="FD214" s="28"/>
      <c r="FE214" s="28"/>
      <c r="FF214" s="28"/>
      <c r="FG214" s="28"/>
      <c r="FH214" s="28"/>
      <c r="FI214" s="28"/>
      <c r="FJ214" s="28"/>
      <c r="FK214" s="28"/>
      <c r="FL214" s="28"/>
      <c r="FM214" s="28"/>
      <c r="FN214" s="28"/>
      <c r="FO214" s="28"/>
      <c r="FP214" s="28"/>
      <c r="FQ214" s="28"/>
      <c r="FR214" s="28"/>
      <c r="FS214" s="28"/>
      <c r="FT214" s="28"/>
      <c r="FU214" s="28"/>
      <c r="FV214" s="28"/>
      <c r="FW214" s="28"/>
      <c r="FX214" s="28"/>
      <c r="FY214" s="28"/>
      <c r="FZ214" s="28"/>
      <c r="GA214" s="28"/>
      <c r="GB214" s="28"/>
      <c r="GC214" s="28"/>
      <c r="GD214" s="28"/>
      <c r="GE214" s="28"/>
      <c r="GF214" s="28"/>
      <c r="GG214" s="28"/>
      <c r="GH214" s="28"/>
      <c r="GI214" s="28"/>
      <c r="GJ214" s="28"/>
      <c r="GK214" s="28"/>
      <c r="GL214" s="28"/>
      <c r="GM214" s="28"/>
      <c r="GN214" s="28"/>
      <c r="GO214" s="28"/>
      <c r="GP214" s="28"/>
      <c r="GQ214" s="28"/>
      <c r="GR214" s="28"/>
      <c r="GS214" s="28"/>
      <c r="GT214" s="28"/>
      <c r="GU214" s="28"/>
      <c r="GV214" s="28"/>
      <c r="GW214" s="28"/>
      <c r="GX214" s="28"/>
      <c r="GY214" s="28"/>
      <c r="GZ214" s="28"/>
      <c r="HA214" s="28"/>
      <c r="HB214" s="28"/>
      <c r="HC214" s="28"/>
      <c r="HD214" s="28"/>
      <c r="HE214" s="28"/>
      <c r="HF214" s="28"/>
      <c r="HG214" s="28"/>
      <c r="HH214" s="28"/>
      <c r="HI214" s="28"/>
      <c r="HJ214" s="28"/>
      <c r="HK214" s="28"/>
      <c r="HL214" s="28"/>
      <c r="HM214" s="28"/>
      <c r="HN214" s="28"/>
      <c r="HO214" s="28"/>
      <c r="HP214" s="28"/>
      <c r="HQ214" s="28"/>
      <c r="HR214" s="28"/>
      <c r="HS214" s="28"/>
      <c r="HT214" s="28"/>
      <c r="HU214" s="28"/>
      <c r="HV214" s="28"/>
      <c r="HW214" s="28"/>
      <c r="HX214" s="28"/>
      <c r="HY214" s="28"/>
      <c r="HZ214" s="28"/>
      <c r="IA214" s="28"/>
      <c r="IB214" s="28"/>
      <c r="IC214" s="28"/>
      <c r="ID214" s="28"/>
      <c r="IE214" s="28"/>
      <c r="IF214" s="28"/>
      <c r="IG214" s="28"/>
      <c r="IH214" s="28"/>
      <c r="II214" s="28"/>
      <c r="IJ214" s="28"/>
      <c r="IK214" s="28"/>
      <c r="IL214" s="28"/>
      <c r="IM214" s="28"/>
      <c r="IN214" s="28"/>
      <c r="IO214" s="28"/>
      <c r="IP214" s="28"/>
      <c r="IQ214" s="28"/>
      <c r="IR214" s="26"/>
      <c r="IS214" s="26"/>
      <c r="IT214" s="26"/>
      <c r="IU214" s="26"/>
      <c r="IV214" s="26"/>
    </row>
    <row r="215" ht="11.25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  <c r="BV215" s="28"/>
      <c r="BW215" s="28"/>
      <c r="BX215" s="28"/>
      <c r="BY215" s="28"/>
      <c r="BZ215" s="28"/>
      <c r="CA215" s="28"/>
      <c r="CB215" s="28"/>
      <c r="CC215" s="28"/>
      <c r="CD215" s="28"/>
      <c r="CE215" s="28"/>
      <c r="CF215" s="28"/>
      <c r="CG215" s="28"/>
      <c r="CH215" s="28"/>
      <c r="CI215" s="28"/>
      <c r="CJ215" s="28"/>
      <c r="CK215" s="28"/>
      <c r="CL215" s="28"/>
      <c r="CM215" s="28"/>
      <c r="CN215" s="28"/>
      <c r="CO215" s="28"/>
      <c r="CP215" s="28"/>
      <c r="CQ215" s="28"/>
      <c r="CR215" s="28"/>
      <c r="CS215" s="28"/>
      <c r="CT215" s="28"/>
      <c r="CU215" s="28"/>
      <c r="CV215" s="28"/>
      <c r="CW215" s="28"/>
      <c r="CX215" s="28"/>
      <c r="CY215" s="28"/>
      <c r="CZ215" s="28"/>
      <c r="DA215" s="28"/>
      <c r="DB215" s="28"/>
      <c r="DC215" s="28"/>
      <c r="DD215" s="28"/>
      <c r="DE215" s="28"/>
      <c r="DF215" s="28"/>
      <c r="DG215" s="28"/>
      <c r="DH215" s="28"/>
      <c r="DI215" s="28"/>
      <c r="DJ215" s="28"/>
      <c r="DK215" s="28"/>
      <c r="DL215" s="28"/>
      <c r="DM215" s="28"/>
      <c r="DN215" s="28"/>
      <c r="DO215" s="28"/>
      <c r="DP215" s="28"/>
      <c r="DQ215" s="28"/>
      <c r="DR215" s="28"/>
      <c r="DS215" s="28"/>
      <c r="DT215" s="28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  <c r="EQ215" s="28"/>
      <c r="ER215" s="28"/>
      <c r="ES215" s="28"/>
      <c r="ET215" s="28"/>
      <c r="EU215" s="28"/>
      <c r="EV215" s="28"/>
      <c r="EW215" s="28"/>
      <c r="EX215" s="28"/>
      <c r="EY215" s="28"/>
      <c r="EZ215" s="28"/>
      <c r="FA215" s="28"/>
      <c r="FB215" s="28"/>
      <c r="FC215" s="28"/>
      <c r="FD215" s="28"/>
      <c r="FE215" s="28"/>
      <c r="FF215" s="28"/>
      <c r="FG215" s="28"/>
      <c r="FH215" s="28"/>
      <c r="FI215" s="28"/>
      <c r="FJ215" s="28"/>
      <c r="FK215" s="28"/>
      <c r="FL215" s="28"/>
      <c r="FM215" s="28"/>
      <c r="FN215" s="28"/>
      <c r="FO215" s="28"/>
      <c r="FP215" s="28"/>
      <c r="FQ215" s="28"/>
      <c r="FR215" s="28"/>
      <c r="FS215" s="28"/>
      <c r="FT215" s="28"/>
      <c r="FU215" s="28"/>
      <c r="FV215" s="28"/>
      <c r="FW215" s="28"/>
      <c r="FX215" s="28"/>
      <c r="FY215" s="28"/>
      <c r="FZ215" s="28"/>
      <c r="GA215" s="28"/>
      <c r="GB215" s="28"/>
      <c r="GC215" s="28"/>
      <c r="GD215" s="28"/>
      <c r="GE215" s="28"/>
      <c r="GF215" s="28"/>
      <c r="GG215" s="28"/>
      <c r="GH215" s="28"/>
      <c r="GI215" s="28"/>
      <c r="GJ215" s="28"/>
      <c r="GK215" s="28"/>
      <c r="GL215" s="28"/>
      <c r="GM215" s="28"/>
      <c r="GN215" s="28"/>
      <c r="GO215" s="28"/>
      <c r="GP215" s="28"/>
      <c r="GQ215" s="28"/>
      <c r="GR215" s="28"/>
      <c r="GS215" s="28"/>
      <c r="GT215" s="28"/>
      <c r="GU215" s="28"/>
      <c r="GV215" s="28"/>
      <c r="GW215" s="28"/>
      <c r="GX215" s="28"/>
      <c r="GY215" s="28"/>
      <c r="GZ215" s="28"/>
      <c r="HA215" s="28"/>
      <c r="HB215" s="28"/>
      <c r="HC215" s="28"/>
      <c r="HD215" s="28"/>
      <c r="HE215" s="28"/>
      <c r="HF215" s="28"/>
      <c r="HG215" s="28"/>
      <c r="HH215" s="28"/>
      <c r="HI215" s="28"/>
      <c r="HJ215" s="28"/>
      <c r="HK215" s="28"/>
      <c r="HL215" s="28"/>
      <c r="HM215" s="28"/>
      <c r="HN215" s="28"/>
      <c r="HO215" s="28"/>
      <c r="HP215" s="28"/>
      <c r="HQ215" s="28"/>
      <c r="HR215" s="28"/>
      <c r="HS215" s="28"/>
      <c r="HT215" s="28"/>
      <c r="HU215" s="28"/>
      <c r="HV215" s="28"/>
      <c r="HW215" s="28"/>
      <c r="HX215" s="28"/>
      <c r="HY215" s="28"/>
      <c r="HZ215" s="28"/>
      <c r="IA215" s="28"/>
      <c r="IB215" s="28"/>
      <c r="IC215" s="28"/>
      <c r="ID215" s="28"/>
      <c r="IE215" s="28"/>
      <c r="IF215" s="28"/>
      <c r="IG215" s="28"/>
      <c r="IH215" s="28"/>
      <c r="II215" s="28"/>
      <c r="IJ215" s="28"/>
      <c r="IK215" s="28"/>
      <c r="IL215" s="28"/>
      <c r="IM215" s="28"/>
      <c r="IN215" s="28"/>
      <c r="IO215" s="28"/>
      <c r="IP215" s="28"/>
      <c r="IQ215" s="28"/>
      <c r="IR215" s="26"/>
      <c r="IS215" s="26"/>
      <c r="IT215" s="26"/>
      <c r="IU215" s="26"/>
      <c r="IV215" s="26"/>
    </row>
    <row r="216" ht="11.25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  <c r="BV216" s="28"/>
      <c r="BW216" s="28"/>
      <c r="BX216" s="28"/>
      <c r="BY216" s="28"/>
      <c r="BZ216" s="28"/>
      <c r="CA216" s="28"/>
      <c r="CB216" s="28"/>
      <c r="CC216" s="28"/>
      <c r="CD216" s="28"/>
      <c r="CE216" s="28"/>
      <c r="CF216" s="28"/>
      <c r="CG216" s="28"/>
      <c r="CH216" s="28"/>
      <c r="CI216" s="28"/>
      <c r="CJ216" s="28"/>
      <c r="CK216" s="28"/>
      <c r="CL216" s="28"/>
      <c r="CM216" s="28"/>
      <c r="CN216" s="28"/>
      <c r="CO216" s="28"/>
      <c r="CP216" s="28"/>
      <c r="CQ216" s="28"/>
      <c r="CR216" s="28"/>
      <c r="CS216" s="28"/>
      <c r="CT216" s="28"/>
      <c r="CU216" s="28"/>
      <c r="CV216" s="28"/>
      <c r="CW216" s="28"/>
      <c r="CX216" s="28"/>
      <c r="CY216" s="28"/>
      <c r="CZ216" s="28"/>
      <c r="DA216" s="28"/>
      <c r="DB216" s="28"/>
      <c r="DC216" s="28"/>
      <c r="DD216" s="28"/>
      <c r="DE216" s="28"/>
      <c r="DF216" s="28"/>
      <c r="DG216" s="28"/>
      <c r="DH216" s="28"/>
      <c r="DI216" s="28"/>
      <c r="DJ216" s="28"/>
      <c r="DK216" s="28"/>
      <c r="DL216" s="28"/>
      <c r="DM216" s="28"/>
      <c r="DN216" s="28"/>
      <c r="DO216" s="28"/>
      <c r="DP216" s="28"/>
      <c r="DQ216" s="28"/>
      <c r="DR216" s="28"/>
      <c r="DS216" s="28"/>
      <c r="DT216" s="28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  <c r="EQ216" s="28"/>
      <c r="ER216" s="28"/>
      <c r="ES216" s="28"/>
      <c r="ET216" s="28"/>
      <c r="EU216" s="28"/>
      <c r="EV216" s="28"/>
      <c r="EW216" s="28"/>
      <c r="EX216" s="28"/>
      <c r="EY216" s="28"/>
      <c r="EZ216" s="28"/>
      <c r="FA216" s="28"/>
      <c r="FB216" s="28"/>
      <c r="FC216" s="28"/>
      <c r="FD216" s="28"/>
      <c r="FE216" s="28"/>
      <c r="FF216" s="28"/>
      <c r="FG216" s="28"/>
      <c r="FH216" s="28"/>
      <c r="FI216" s="28"/>
      <c r="FJ216" s="28"/>
      <c r="FK216" s="28"/>
      <c r="FL216" s="28"/>
      <c r="FM216" s="28"/>
      <c r="FN216" s="28"/>
      <c r="FO216" s="28"/>
      <c r="FP216" s="28"/>
      <c r="FQ216" s="28"/>
      <c r="FR216" s="28"/>
      <c r="FS216" s="28"/>
      <c r="FT216" s="28"/>
      <c r="FU216" s="28"/>
      <c r="FV216" s="28"/>
      <c r="FW216" s="28"/>
      <c r="FX216" s="28"/>
      <c r="FY216" s="28"/>
      <c r="FZ216" s="28"/>
      <c r="GA216" s="28"/>
      <c r="GB216" s="28"/>
      <c r="GC216" s="28"/>
      <c r="GD216" s="28"/>
      <c r="GE216" s="28"/>
      <c r="GF216" s="28"/>
      <c r="GG216" s="28"/>
      <c r="GH216" s="28"/>
      <c r="GI216" s="28"/>
      <c r="GJ216" s="28"/>
      <c r="GK216" s="28"/>
      <c r="GL216" s="28"/>
      <c r="GM216" s="28"/>
      <c r="GN216" s="28"/>
      <c r="GO216" s="28"/>
      <c r="GP216" s="28"/>
      <c r="GQ216" s="28"/>
      <c r="GR216" s="28"/>
      <c r="GS216" s="28"/>
      <c r="GT216" s="28"/>
      <c r="GU216" s="28"/>
      <c r="GV216" s="28"/>
      <c r="GW216" s="28"/>
      <c r="GX216" s="28"/>
      <c r="GY216" s="28"/>
      <c r="GZ216" s="28"/>
      <c r="HA216" s="28"/>
      <c r="HB216" s="28"/>
      <c r="HC216" s="28"/>
      <c r="HD216" s="28"/>
      <c r="HE216" s="28"/>
      <c r="HF216" s="28"/>
      <c r="HG216" s="28"/>
      <c r="HH216" s="28"/>
      <c r="HI216" s="28"/>
      <c r="HJ216" s="28"/>
      <c r="HK216" s="28"/>
      <c r="HL216" s="28"/>
      <c r="HM216" s="28"/>
      <c r="HN216" s="28"/>
      <c r="HO216" s="28"/>
      <c r="HP216" s="28"/>
      <c r="HQ216" s="28"/>
      <c r="HR216" s="28"/>
      <c r="HS216" s="28"/>
      <c r="HT216" s="28"/>
      <c r="HU216" s="28"/>
      <c r="HV216" s="28"/>
      <c r="HW216" s="28"/>
      <c r="HX216" s="28"/>
      <c r="HY216" s="28"/>
      <c r="HZ216" s="28"/>
      <c r="IA216" s="28"/>
      <c r="IB216" s="28"/>
      <c r="IC216" s="28"/>
      <c r="ID216" s="28"/>
      <c r="IE216" s="28"/>
      <c r="IF216" s="28"/>
      <c r="IG216" s="28"/>
      <c r="IH216" s="28"/>
      <c r="II216" s="28"/>
      <c r="IJ216" s="28"/>
      <c r="IK216" s="28"/>
      <c r="IL216" s="28"/>
      <c r="IM216" s="28"/>
      <c r="IN216" s="28"/>
      <c r="IO216" s="28"/>
      <c r="IP216" s="28"/>
      <c r="IQ216" s="28"/>
      <c r="IR216" s="26"/>
      <c r="IS216" s="26"/>
      <c r="IT216" s="26"/>
      <c r="IU216" s="26"/>
      <c r="IV216" s="26"/>
    </row>
    <row r="217" ht="11.25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  <c r="BV217" s="28"/>
      <c r="BW217" s="28"/>
      <c r="BX217" s="28"/>
      <c r="BY217" s="28"/>
      <c r="BZ217" s="28"/>
      <c r="CA217" s="28"/>
      <c r="CB217" s="28"/>
      <c r="CC217" s="28"/>
      <c r="CD217" s="28"/>
      <c r="CE217" s="28"/>
      <c r="CF217" s="28"/>
      <c r="CG217" s="28"/>
      <c r="CH217" s="28"/>
      <c r="CI217" s="28"/>
      <c r="CJ217" s="28"/>
      <c r="CK217" s="28"/>
      <c r="CL217" s="28"/>
      <c r="CM217" s="28"/>
      <c r="CN217" s="28"/>
      <c r="CO217" s="28"/>
      <c r="CP217" s="28"/>
      <c r="CQ217" s="28"/>
      <c r="CR217" s="28"/>
      <c r="CS217" s="28"/>
      <c r="CT217" s="28"/>
      <c r="CU217" s="28"/>
      <c r="CV217" s="28"/>
      <c r="CW217" s="28"/>
      <c r="CX217" s="28"/>
      <c r="CY217" s="28"/>
      <c r="CZ217" s="28"/>
      <c r="DA217" s="28"/>
      <c r="DB217" s="28"/>
      <c r="DC217" s="28"/>
      <c r="DD217" s="28"/>
      <c r="DE217" s="28"/>
      <c r="DF217" s="28"/>
      <c r="DG217" s="28"/>
      <c r="DH217" s="28"/>
      <c r="DI217" s="28"/>
      <c r="DJ217" s="28"/>
      <c r="DK217" s="28"/>
      <c r="DL217" s="28"/>
      <c r="DM217" s="28"/>
      <c r="DN217" s="28"/>
      <c r="DO217" s="28"/>
      <c r="DP217" s="28"/>
      <c r="DQ217" s="28"/>
      <c r="DR217" s="28"/>
      <c r="DS217" s="28"/>
      <c r="DT217" s="28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  <c r="EQ217" s="28"/>
      <c r="ER217" s="28"/>
      <c r="ES217" s="28"/>
      <c r="ET217" s="28"/>
      <c r="EU217" s="28"/>
      <c r="EV217" s="28"/>
      <c r="EW217" s="28"/>
      <c r="EX217" s="28"/>
      <c r="EY217" s="28"/>
      <c r="EZ217" s="28"/>
      <c r="FA217" s="28"/>
      <c r="FB217" s="28"/>
      <c r="FC217" s="28"/>
      <c r="FD217" s="28"/>
      <c r="FE217" s="28"/>
      <c r="FF217" s="28"/>
      <c r="FG217" s="28"/>
      <c r="FH217" s="28"/>
      <c r="FI217" s="28"/>
      <c r="FJ217" s="28"/>
      <c r="FK217" s="28"/>
      <c r="FL217" s="28"/>
      <c r="FM217" s="28"/>
      <c r="FN217" s="28"/>
      <c r="FO217" s="28"/>
      <c r="FP217" s="28"/>
      <c r="FQ217" s="28"/>
      <c r="FR217" s="28"/>
      <c r="FS217" s="28"/>
      <c r="FT217" s="28"/>
      <c r="FU217" s="28"/>
      <c r="FV217" s="28"/>
      <c r="FW217" s="28"/>
      <c r="FX217" s="28"/>
      <c r="FY217" s="28"/>
      <c r="FZ217" s="28"/>
      <c r="GA217" s="28"/>
      <c r="GB217" s="28"/>
      <c r="GC217" s="28"/>
      <c r="GD217" s="28"/>
      <c r="GE217" s="28"/>
      <c r="GF217" s="28"/>
      <c r="GG217" s="28"/>
      <c r="GH217" s="28"/>
      <c r="GI217" s="28"/>
      <c r="GJ217" s="28"/>
      <c r="GK217" s="28"/>
      <c r="GL217" s="28"/>
      <c r="GM217" s="28"/>
      <c r="GN217" s="28"/>
      <c r="GO217" s="28"/>
      <c r="GP217" s="28"/>
      <c r="GQ217" s="28"/>
      <c r="GR217" s="28"/>
      <c r="GS217" s="28"/>
      <c r="GT217" s="28"/>
      <c r="GU217" s="28"/>
      <c r="GV217" s="28"/>
      <c r="GW217" s="28"/>
      <c r="GX217" s="28"/>
      <c r="GY217" s="28"/>
      <c r="GZ217" s="28"/>
      <c r="HA217" s="28"/>
      <c r="HB217" s="28"/>
      <c r="HC217" s="28"/>
      <c r="HD217" s="28"/>
      <c r="HE217" s="28"/>
      <c r="HF217" s="28"/>
      <c r="HG217" s="28"/>
      <c r="HH217" s="28"/>
      <c r="HI217" s="28"/>
      <c r="HJ217" s="28"/>
      <c r="HK217" s="28"/>
      <c r="HL217" s="28"/>
      <c r="HM217" s="28"/>
      <c r="HN217" s="28"/>
      <c r="HO217" s="28"/>
      <c r="HP217" s="28"/>
      <c r="HQ217" s="28"/>
      <c r="HR217" s="28"/>
      <c r="HS217" s="28"/>
      <c r="HT217" s="28"/>
      <c r="HU217" s="28"/>
      <c r="HV217" s="28"/>
      <c r="HW217" s="28"/>
      <c r="HX217" s="28"/>
      <c r="HY217" s="28"/>
      <c r="HZ217" s="28"/>
      <c r="IA217" s="28"/>
      <c r="IB217" s="28"/>
      <c r="IC217" s="28"/>
      <c r="ID217" s="28"/>
      <c r="IE217" s="28"/>
      <c r="IF217" s="28"/>
      <c r="IG217" s="28"/>
      <c r="IH217" s="28"/>
      <c r="II217" s="28"/>
      <c r="IJ217" s="28"/>
      <c r="IK217" s="28"/>
      <c r="IL217" s="28"/>
      <c r="IM217" s="28"/>
      <c r="IN217" s="28"/>
      <c r="IO217" s="28"/>
      <c r="IP217" s="28"/>
      <c r="IQ217" s="28"/>
      <c r="IR217" s="26"/>
      <c r="IS217" s="26"/>
      <c r="IT217" s="26"/>
      <c r="IU217" s="26"/>
      <c r="IV217" s="26"/>
    </row>
    <row r="218" ht="11.25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  <c r="BV218" s="28"/>
      <c r="BW218" s="28"/>
      <c r="BX218" s="28"/>
      <c r="BY218" s="28"/>
      <c r="BZ218" s="28"/>
      <c r="CA218" s="28"/>
      <c r="CB218" s="28"/>
      <c r="CC218" s="28"/>
      <c r="CD218" s="28"/>
      <c r="CE218" s="28"/>
      <c r="CF218" s="28"/>
      <c r="CG218" s="28"/>
      <c r="CH218" s="28"/>
      <c r="CI218" s="28"/>
      <c r="CJ218" s="28"/>
      <c r="CK218" s="28"/>
      <c r="CL218" s="28"/>
      <c r="CM218" s="28"/>
      <c r="CN218" s="28"/>
      <c r="CO218" s="28"/>
      <c r="CP218" s="28"/>
      <c r="CQ218" s="28"/>
      <c r="CR218" s="28"/>
      <c r="CS218" s="28"/>
      <c r="CT218" s="28"/>
      <c r="CU218" s="28"/>
      <c r="CV218" s="28"/>
      <c r="CW218" s="28"/>
      <c r="CX218" s="28"/>
      <c r="CY218" s="28"/>
      <c r="CZ218" s="28"/>
      <c r="DA218" s="28"/>
      <c r="DB218" s="28"/>
      <c r="DC218" s="28"/>
      <c r="DD218" s="28"/>
      <c r="DE218" s="28"/>
      <c r="DF218" s="28"/>
      <c r="DG218" s="28"/>
      <c r="DH218" s="28"/>
      <c r="DI218" s="28"/>
      <c r="DJ218" s="28"/>
      <c r="DK218" s="28"/>
      <c r="DL218" s="28"/>
      <c r="DM218" s="28"/>
      <c r="DN218" s="28"/>
      <c r="DO218" s="28"/>
      <c r="DP218" s="28"/>
      <c r="DQ218" s="28"/>
      <c r="DR218" s="28"/>
      <c r="DS218" s="28"/>
      <c r="DT218" s="28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  <c r="EQ218" s="28"/>
      <c r="ER218" s="28"/>
      <c r="ES218" s="28"/>
      <c r="ET218" s="28"/>
      <c r="EU218" s="28"/>
      <c r="EV218" s="28"/>
      <c r="EW218" s="28"/>
      <c r="EX218" s="28"/>
      <c r="EY218" s="28"/>
      <c r="EZ218" s="28"/>
      <c r="FA218" s="28"/>
      <c r="FB218" s="28"/>
      <c r="FC218" s="28"/>
      <c r="FD218" s="28"/>
      <c r="FE218" s="28"/>
      <c r="FF218" s="28"/>
      <c r="FG218" s="28"/>
      <c r="FH218" s="28"/>
      <c r="FI218" s="28"/>
      <c r="FJ218" s="28"/>
      <c r="FK218" s="28"/>
      <c r="FL218" s="28"/>
      <c r="FM218" s="28"/>
      <c r="FN218" s="28"/>
      <c r="FO218" s="28"/>
      <c r="FP218" s="28"/>
      <c r="FQ218" s="28"/>
      <c r="FR218" s="28"/>
      <c r="FS218" s="28"/>
      <c r="FT218" s="28"/>
      <c r="FU218" s="28"/>
      <c r="FV218" s="28"/>
      <c r="FW218" s="28"/>
      <c r="FX218" s="28"/>
      <c r="FY218" s="28"/>
      <c r="FZ218" s="28"/>
      <c r="GA218" s="28"/>
      <c r="GB218" s="28"/>
      <c r="GC218" s="28"/>
      <c r="GD218" s="28"/>
      <c r="GE218" s="28"/>
      <c r="GF218" s="28"/>
      <c r="GG218" s="28"/>
      <c r="GH218" s="28"/>
      <c r="GI218" s="28"/>
      <c r="GJ218" s="28"/>
      <c r="GK218" s="28"/>
      <c r="GL218" s="28"/>
      <c r="GM218" s="28"/>
      <c r="GN218" s="28"/>
      <c r="GO218" s="28"/>
      <c r="GP218" s="28"/>
      <c r="GQ218" s="28"/>
      <c r="GR218" s="28"/>
      <c r="GS218" s="28"/>
      <c r="GT218" s="28"/>
      <c r="GU218" s="28"/>
      <c r="GV218" s="28"/>
      <c r="GW218" s="28"/>
      <c r="GX218" s="28"/>
      <c r="GY218" s="28"/>
      <c r="GZ218" s="28"/>
      <c r="HA218" s="28"/>
      <c r="HB218" s="28"/>
      <c r="HC218" s="28"/>
      <c r="HD218" s="28"/>
      <c r="HE218" s="28"/>
      <c r="HF218" s="28"/>
      <c r="HG218" s="28"/>
      <c r="HH218" s="28"/>
      <c r="HI218" s="28"/>
      <c r="HJ218" s="28"/>
      <c r="HK218" s="28"/>
      <c r="HL218" s="28"/>
      <c r="HM218" s="28"/>
      <c r="HN218" s="28"/>
      <c r="HO218" s="28"/>
      <c r="HP218" s="28"/>
      <c r="HQ218" s="28"/>
      <c r="HR218" s="28"/>
      <c r="HS218" s="28"/>
      <c r="HT218" s="28"/>
      <c r="HU218" s="28"/>
      <c r="HV218" s="28"/>
      <c r="HW218" s="28"/>
      <c r="HX218" s="28"/>
      <c r="HY218" s="28"/>
      <c r="HZ218" s="28"/>
      <c r="IA218" s="28"/>
      <c r="IB218" s="28"/>
      <c r="IC218" s="28"/>
      <c r="ID218" s="28"/>
      <c r="IE218" s="28"/>
      <c r="IF218" s="28"/>
      <c r="IG218" s="28"/>
      <c r="IH218" s="28"/>
      <c r="II218" s="28"/>
      <c r="IJ218" s="28"/>
      <c r="IK218" s="28"/>
      <c r="IL218" s="28"/>
      <c r="IM218" s="28"/>
      <c r="IN218" s="28"/>
      <c r="IO218" s="28"/>
      <c r="IP218" s="28"/>
      <c r="IQ218" s="28"/>
      <c r="IR218" s="26"/>
      <c r="IS218" s="26"/>
      <c r="IT218" s="26"/>
      <c r="IU218" s="26"/>
      <c r="IV218" s="26"/>
    </row>
    <row r="219" ht="11.25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  <c r="BV219" s="28"/>
      <c r="BW219" s="28"/>
      <c r="BX219" s="28"/>
      <c r="BY219" s="28"/>
      <c r="BZ219" s="28"/>
      <c r="CA219" s="28"/>
      <c r="CB219" s="28"/>
      <c r="CC219" s="28"/>
      <c r="CD219" s="28"/>
      <c r="CE219" s="28"/>
      <c r="CF219" s="28"/>
      <c r="CG219" s="28"/>
      <c r="CH219" s="28"/>
      <c r="CI219" s="28"/>
      <c r="CJ219" s="28"/>
      <c r="CK219" s="28"/>
      <c r="CL219" s="28"/>
      <c r="CM219" s="28"/>
      <c r="CN219" s="28"/>
      <c r="CO219" s="28"/>
      <c r="CP219" s="28"/>
      <c r="CQ219" s="28"/>
      <c r="CR219" s="28"/>
      <c r="CS219" s="28"/>
      <c r="CT219" s="28"/>
      <c r="CU219" s="28"/>
      <c r="CV219" s="28"/>
      <c r="CW219" s="28"/>
      <c r="CX219" s="28"/>
      <c r="CY219" s="28"/>
      <c r="CZ219" s="28"/>
      <c r="DA219" s="28"/>
      <c r="DB219" s="28"/>
      <c r="DC219" s="28"/>
      <c r="DD219" s="28"/>
      <c r="DE219" s="28"/>
      <c r="DF219" s="28"/>
      <c r="DG219" s="28"/>
      <c r="DH219" s="28"/>
      <c r="DI219" s="28"/>
      <c r="DJ219" s="28"/>
      <c r="DK219" s="28"/>
      <c r="DL219" s="28"/>
      <c r="DM219" s="28"/>
      <c r="DN219" s="28"/>
      <c r="DO219" s="28"/>
      <c r="DP219" s="28"/>
      <c r="DQ219" s="28"/>
      <c r="DR219" s="28"/>
      <c r="DS219" s="28"/>
      <c r="DT219" s="28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  <c r="EQ219" s="28"/>
      <c r="ER219" s="28"/>
      <c r="ES219" s="28"/>
      <c r="ET219" s="28"/>
      <c r="EU219" s="28"/>
      <c r="EV219" s="28"/>
      <c r="EW219" s="28"/>
      <c r="EX219" s="28"/>
      <c r="EY219" s="28"/>
      <c r="EZ219" s="28"/>
      <c r="FA219" s="28"/>
      <c r="FB219" s="28"/>
      <c r="FC219" s="28"/>
      <c r="FD219" s="28"/>
      <c r="FE219" s="28"/>
      <c r="FF219" s="28"/>
      <c r="FG219" s="28"/>
      <c r="FH219" s="28"/>
      <c r="FI219" s="28"/>
      <c r="FJ219" s="28"/>
      <c r="FK219" s="28"/>
      <c r="FL219" s="28"/>
      <c r="FM219" s="28"/>
      <c r="FN219" s="28"/>
      <c r="FO219" s="28"/>
      <c r="FP219" s="28"/>
      <c r="FQ219" s="28"/>
      <c r="FR219" s="28"/>
      <c r="FS219" s="28"/>
      <c r="FT219" s="28"/>
      <c r="FU219" s="28"/>
      <c r="FV219" s="28"/>
      <c r="FW219" s="28"/>
      <c r="FX219" s="28"/>
      <c r="FY219" s="28"/>
      <c r="FZ219" s="28"/>
      <c r="GA219" s="28"/>
      <c r="GB219" s="28"/>
      <c r="GC219" s="28"/>
      <c r="GD219" s="28"/>
      <c r="GE219" s="28"/>
      <c r="GF219" s="28"/>
      <c r="GG219" s="28"/>
      <c r="GH219" s="28"/>
      <c r="GI219" s="28"/>
      <c r="GJ219" s="28"/>
      <c r="GK219" s="28"/>
      <c r="GL219" s="28"/>
      <c r="GM219" s="28"/>
      <c r="GN219" s="28"/>
      <c r="GO219" s="28"/>
      <c r="GP219" s="28"/>
      <c r="GQ219" s="28"/>
      <c r="GR219" s="28"/>
      <c r="GS219" s="28"/>
      <c r="GT219" s="28"/>
      <c r="GU219" s="28"/>
      <c r="GV219" s="28"/>
      <c r="GW219" s="28"/>
      <c r="GX219" s="28"/>
      <c r="GY219" s="28"/>
      <c r="GZ219" s="28"/>
      <c r="HA219" s="28"/>
      <c r="HB219" s="28"/>
      <c r="HC219" s="28"/>
      <c r="HD219" s="28"/>
      <c r="HE219" s="28"/>
      <c r="HF219" s="28"/>
      <c r="HG219" s="28"/>
      <c r="HH219" s="28"/>
      <c r="HI219" s="28"/>
      <c r="HJ219" s="28"/>
      <c r="HK219" s="28"/>
      <c r="HL219" s="28"/>
      <c r="HM219" s="28"/>
      <c r="HN219" s="28"/>
      <c r="HO219" s="28"/>
      <c r="HP219" s="28"/>
      <c r="HQ219" s="28"/>
      <c r="HR219" s="28"/>
      <c r="HS219" s="28"/>
      <c r="HT219" s="28"/>
      <c r="HU219" s="28"/>
      <c r="HV219" s="28"/>
      <c r="HW219" s="28"/>
      <c r="HX219" s="28"/>
      <c r="HY219" s="28"/>
      <c r="HZ219" s="28"/>
      <c r="IA219" s="28"/>
      <c r="IB219" s="28"/>
      <c r="IC219" s="28"/>
      <c r="ID219" s="28"/>
      <c r="IE219" s="28"/>
      <c r="IF219" s="28"/>
      <c r="IG219" s="28"/>
      <c r="IH219" s="28"/>
      <c r="II219" s="28"/>
      <c r="IJ219" s="28"/>
      <c r="IK219" s="28"/>
      <c r="IL219" s="28"/>
      <c r="IM219" s="28"/>
      <c r="IN219" s="28"/>
      <c r="IO219" s="28"/>
      <c r="IP219" s="28"/>
      <c r="IQ219" s="28"/>
      <c r="IR219" s="26"/>
      <c r="IS219" s="26"/>
      <c r="IT219" s="26"/>
      <c r="IU219" s="26"/>
      <c r="IV219" s="26"/>
    </row>
    <row r="220" ht="11.25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  <c r="BV220" s="28"/>
      <c r="BW220" s="28"/>
      <c r="BX220" s="28"/>
      <c r="BY220" s="28"/>
      <c r="BZ220" s="28"/>
      <c r="CA220" s="28"/>
      <c r="CB220" s="28"/>
      <c r="CC220" s="28"/>
      <c r="CD220" s="28"/>
      <c r="CE220" s="28"/>
      <c r="CF220" s="28"/>
      <c r="CG220" s="28"/>
      <c r="CH220" s="28"/>
      <c r="CI220" s="28"/>
      <c r="CJ220" s="28"/>
      <c r="CK220" s="28"/>
      <c r="CL220" s="28"/>
      <c r="CM220" s="28"/>
      <c r="CN220" s="28"/>
      <c r="CO220" s="28"/>
      <c r="CP220" s="28"/>
      <c r="CQ220" s="28"/>
      <c r="CR220" s="28"/>
      <c r="CS220" s="28"/>
      <c r="CT220" s="28"/>
      <c r="CU220" s="28"/>
      <c r="CV220" s="28"/>
      <c r="CW220" s="28"/>
      <c r="CX220" s="28"/>
      <c r="CY220" s="28"/>
      <c r="CZ220" s="28"/>
      <c r="DA220" s="28"/>
      <c r="DB220" s="28"/>
      <c r="DC220" s="28"/>
      <c r="DD220" s="28"/>
      <c r="DE220" s="28"/>
      <c r="DF220" s="28"/>
      <c r="DG220" s="28"/>
      <c r="DH220" s="28"/>
      <c r="DI220" s="28"/>
      <c r="DJ220" s="28"/>
      <c r="DK220" s="28"/>
      <c r="DL220" s="28"/>
      <c r="DM220" s="28"/>
      <c r="DN220" s="28"/>
      <c r="DO220" s="28"/>
      <c r="DP220" s="28"/>
      <c r="DQ220" s="28"/>
      <c r="DR220" s="28"/>
      <c r="DS220" s="28"/>
      <c r="DT220" s="28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  <c r="EQ220" s="28"/>
      <c r="ER220" s="28"/>
      <c r="ES220" s="28"/>
      <c r="ET220" s="28"/>
      <c r="EU220" s="28"/>
      <c r="EV220" s="28"/>
      <c r="EW220" s="28"/>
      <c r="EX220" s="28"/>
      <c r="EY220" s="28"/>
      <c r="EZ220" s="28"/>
      <c r="FA220" s="28"/>
      <c r="FB220" s="28"/>
      <c r="FC220" s="28"/>
      <c r="FD220" s="28"/>
      <c r="FE220" s="28"/>
      <c r="FF220" s="28"/>
      <c r="FG220" s="28"/>
      <c r="FH220" s="28"/>
      <c r="FI220" s="28"/>
      <c r="FJ220" s="28"/>
      <c r="FK220" s="28"/>
      <c r="FL220" s="28"/>
      <c r="FM220" s="28"/>
      <c r="FN220" s="28"/>
      <c r="FO220" s="28"/>
      <c r="FP220" s="28"/>
      <c r="FQ220" s="28"/>
      <c r="FR220" s="28"/>
      <c r="FS220" s="28"/>
      <c r="FT220" s="28"/>
      <c r="FU220" s="28"/>
      <c r="FV220" s="28"/>
      <c r="FW220" s="28"/>
      <c r="FX220" s="28"/>
      <c r="FY220" s="28"/>
      <c r="FZ220" s="28"/>
      <c r="GA220" s="28"/>
      <c r="GB220" s="28"/>
      <c r="GC220" s="28"/>
      <c r="GD220" s="28"/>
      <c r="GE220" s="28"/>
      <c r="GF220" s="28"/>
      <c r="GG220" s="28"/>
      <c r="GH220" s="28"/>
      <c r="GI220" s="28"/>
      <c r="GJ220" s="28"/>
      <c r="GK220" s="28"/>
      <c r="GL220" s="28"/>
      <c r="GM220" s="28"/>
      <c r="GN220" s="28"/>
      <c r="GO220" s="28"/>
      <c r="GP220" s="28"/>
      <c r="GQ220" s="28"/>
      <c r="GR220" s="28"/>
      <c r="GS220" s="28"/>
      <c r="GT220" s="28"/>
      <c r="GU220" s="28"/>
      <c r="GV220" s="28"/>
      <c r="GW220" s="28"/>
      <c r="GX220" s="28"/>
      <c r="GY220" s="28"/>
      <c r="GZ220" s="28"/>
      <c r="HA220" s="28"/>
      <c r="HB220" s="28"/>
      <c r="HC220" s="28"/>
      <c r="HD220" s="28"/>
      <c r="HE220" s="28"/>
      <c r="HF220" s="28"/>
      <c r="HG220" s="28"/>
      <c r="HH220" s="28"/>
      <c r="HI220" s="28"/>
      <c r="HJ220" s="28"/>
      <c r="HK220" s="28"/>
      <c r="HL220" s="28"/>
      <c r="HM220" s="28"/>
      <c r="HN220" s="28"/>
      <c r="HO220" s="28"/>
      <c r="HP220" s="28"/>
      <c r="HQ220" s="28"/>
      <c r="HR220" s="28"/>
      <c r="HS220" s="28"/>
      <c r="HT220" s="28"/>
      <c r="HU220" s="28"/>
      <c r="HV220" s="28"/>
      <c r="HW220" s="28"/>
      <c r="HX220" s="28"/>
      <c r="HY220" s="28"/>
      <c r="HZ220" s="28"/>
      <c r="IA220" s="28"/>
      <c r="IB220" s="28"/>
      <c r="IC220" s="28"/>
      <c r="ID220" s="28"/>
      <c r="IE220" s="28"/>
      <c r="IF220" s="28"/>
      <c r="IG220" s="28"/>
      <c r="IH220" s="28"/>
      <c r="II220" s="28"/>
      <c r="IJ220" s="28"/>
      <c r="IK220" s="28"/>
      <c r="IL220" s="28"/>
      <c r="IM220" s="28"/>
      <c r="IN220" s="28"/>
      <c r="IO220" s="28"/>
      <c r="IP220" s="28"/>
      <c r="IQ220" s="28"/>
      <c r="IR220" s="26"/>
      <c r="IS220" s="26"/>
      <c r="IT220" s="26"/>
      <c r="IU220" s="26"/>
      <c r="IV220" s="26"/>
    </row>
    <row r="221" ht="11.25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  <c r="BV221" s="28"/>
      <c r="BW221" s="28"/>
      <c r="BX221" s="28"/>
      <c r="BY221" s="28"/>
      <c r="BZ221" s="28"/>
      <c r="CA221" s="28"/>
      <c r="CB221" s="28"/>
      <c r="CC221" s="28"/>
      <c r="CD221" s="28"/>
      <c r="CE221" s="28"/>
      <c r="CF221" s="28"/>
      <c r="CG221" s="28"/>
      <c r="CH221" s="28"/>
      <c r="CI221" s="28"/>
      <c r="CJ221" s="28"/>
      <c r="CK221" s="28"/>
      <c r="CL221" s="28"/>
      <c r="CM221" s="28"/>
      <c r="CN221" s="28"/>
      <c r="CO221" s="28"/>
      <c r="CP221" s="28"/>
      <c r="CQ221" s="28"/>
      <c r="CR221" s="28"/>
      <c r="CS221" s="28"/>
      <c r="CT221" s="28"/>
      <c r="CU221" s="28"/>
      <c r="CV221" s="28"/>
      <c r="CW221" s="28"/>
      <c r="CX221" s="28"/>
      <c r="CY221" s="28"/>
      <c r="CZ221" s="28"/>
      <c r="DA221" s="28"/>
      <c r="DB221" s="28"/>
      <c r="DC221" s="28"/>
      <c r="DD221" s="28"/>
      <c r="DE221" s="28"/>
      <c r="DF221" s="28"/>
      <c r="DG221" s="28"/>
      <c r="DH221" s="28"/>
      <c r="DI221" s="28"/>
      <c r="DJ221" s="28"/>
      <c r="DK221" s="28"/>
      <c r="DL221" s="28"/>
      <c r="DM221" s="28"/>
      <c r="DN221" s="28"/>
      <c r="DO221" s="28"/>
      <c r="DP221" s="28"/>
      <c r="DQ221" s="28"/>
      <c r="DR221" s="28"/>
      <c r="DS221" s="28"/>
      <c r="DT221" s="28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  <c r="EQ221" s="28"/>
      <c r="ER221" s="28"/>
      <c r="ES221" s="28"/>
      <c r="ET221" s="28"/>
      <c r="EU221" s="28"/>
      <c r="EV221" s="28"/>
      <c r="EW221" s="28"/>
      <c r="EX221" s="28"/>
      <c r="EY221" s="28"/>
      <c r="EZ221" s="28"/>
      <c r="FA221" s="28"/>
      <c r="FB221" s="28"/>
      <c r="FC221" s="28"/>
      <c r="FD221" s="28"/>
      <c r="FE221" s="28"/>
      <c r="FF221" s="28"/>
      <c r="FG221" s="28"/>
      <c r="FH221" s="28"/>
      <c r="FI221" s="28"/>
      <c r="FJ221" s="28"/>
      <c r="FK221" s="28"/>
      <c r="FL221" s="28"/>
      <c r="FM221" s="28"/>
      <c r="FN221" s="28"/>
      <c r="FO221" s="28"/>
      <c r="FP221" s="28"/>
      <c r="FQ221" s="28"/>
      <c r="FR221" s="28"/>
      <c r="FS221" s="28"/>
      <c r="FT221" s="28"/>
      <c r="FU221" s="28"/>
      <c r="FV221" s="28"/>
      <c r="FW221" s="28"/>
      <c r="FX221" s="28"/>
      <c r="FY221" s="28"/>
      <c r="FZ221" s="28"/>
      <c r="GA221" s="28"/>
      <c r="GB221" s="28"/>
      <c r="GC221" s="28"/>
      <c r="GD221" s="28"/>
      <c r="GE221" s="28"/>
      <c r="GF221" s="28"/>
      <c r="GG221" s="28"/>
      <c r="GH221" s="28"/>
      <c r="GI221" s="28"/>
      <c r="GJ221" s="28"/>
      <c r="GK221" s="28"/>
      <c r="GL221" s="28"/>
      <c r="GM221" s="28"/>
      <c r="GN221" s="28"/>
      <c r="GO221" s="28"/>
      <c r="GP221" s="28"/>
      <c r="GQ221" s="28"/>
      <c r="GR221" s="28"/>
      <c r="GS221" s="28"/>
      <c r="GT221" s="28"/>
      <c r="GU221" s="28"/>
      <c r="GV221" s="28"/>
      <c r="GW221" s="28"/>
      <c r="GX221" s="28"/>
      <c r="GY221" s="28"/>
      <c r="GZ221" s="28"/>
      <c r="HA221" s="28"/>
      <c r="HB221" s="28"/>
      <c r="HC221" s="28"/>
      <c r="HD221" s="28"/>
      <c r="HE221" s="28"/>
      <c r="HF221" s="28"/>
      <c r="HG221" s="28"/>
      <c r="HH221" s="28"/>
      <c r="HI221" s="28"/>
      <c r="HJ221" s="28"/>
      <c r="HK221" s="28"/>
      <c r="HL221" s="28"/>
      <c r="HM221" s="28"/>
      <c r="HN221" s="28"/>
      <c r="HO221" s="28"/>
      <c r="HP221" s="28"/>
      <c r="HQ221" s="28"/>
      <c r="HR221" s="28"/>
      <c r="HS221" s="28"/>
      <c r="HT221" s="28"/>
      <c r="HU221" s="28"/>
      <c r="HV221" s="28"/>
      <c r="HW221" s="28"/>
      <c r="HX221" s="28"/>
      <c r="HY221" s="28"/>
      <c r="HZ221" s="28"/>
      <c r="IA221" s="28"/>
      <c r="IB221" s="28"/>
      <c r="IC221" s="28"/>
      <c r="ID221" s="28"/>
      <c r="IE221" s="28"/>
      <c r="IF221" s="28"/>
      <c r="IG221" s="28"/>
      <c r="IH221" s="28"/>
      <c r="II221" s="28"/>
      <c r="IJ221" s="28"/>
      <c r="IK221" s="28"/>
      <c r="IL221" s="28"/>
      <c r="IM221" s="28"/>
      <c r="IN221" s="28"/>
      <c r="IO221" s="28"/>
      <c r="IP221" s="28"/>
      <c r="IQ221" s="28"/>
      <c r="IR221" s="26"/>
      <c r="IS221" s="26"/>
      <c r="IT221" s="26"/>
      <c r="IU221" s="26"/>
      <c r="IV221" s="26"/>
    </row>
    <row r="222" ht="11.25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  <c r="BV222" s="28"/>
      <c r="BW222" s="28"/>
      <c r="BX222" s="28"/>
      <c r="BY222" s="28"/>
      <c r="BZ222" s="28"/>
      <c r="CA222" s="28"/>
      <c r="CB222" s="28"/>
      <c r="CC222" s="28"/>
      <c r="CD222" s="28"/>
      <c r="CE222" s="28"/>
      <c r="CF222" s="28"/>
      <c r="CG222" s="28"/>
      <c r="CH222" s="28"/>
      <c r="CI222" s="28"/>
      <c r="CJ222" s="28"/>
      <c r="CK222" s="28"/>
      <c r="CL222" s="28"/>
      <c r="CM222" s="28"/>
      <c r="CN222" s="28"/>
      <c r="CO222" s="28"/>
      <c r="CP222" s="28"/>
      <c r="CQ222" s="28"/>
      <c r="CR222" s="28"/>
      <c r="CS222" s="28"/>
      <c r="CT222" s="28"/>
      <c r="CU222" s="28"/>
      <c r="CV222" s="28"/>
      <c r="CW222" s="28"/>
      <c r="CX222" s="28"/>
      <c r="CY222" s="28"/>
      <c r="CZ222" s="28"/>
      <c r="DA222" s="28"/>
      <c r="DB222" s="28"/>
      <c r="DC222" s="28"/>
      <c r="DD222" s="28"/>
      <c r="DE222" s="28"/>
      <c r="DF222" s="28"/>
      <c r="DG222" s="28"/>
      <c r="DH222" s="28"/>
      <c r="DI222" s="28"/>
      <c r="DJ222" s="28"/>
      <c r="DK222" s="28"/>
      <c r="DL222" s="28"/>
      <c r="DM222" s="28"/>
      <c r="DN222" s="28"/>
      <c r="DO222" s="28"/>
      <c r="DP222" s="28"/>
      <c r="DQ222" s="28"/>
      <c r="DR222" s="28"/>
      <c r="DS222" s="28"/>
      <c r="DT222" s="28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  <c r="EQ222" s="28"/>
      <c r="ER222" s="28"/>
      <c r="ES222" s="28"/>
      <c r="ET222" s="28"/>
      <c r="EU222" s="28"/>
      <c r="EV222" s="28"/>
      <c r="EW222" s="28"/>
      <c r="EX222" s="28"/>
      <c r="EY222" s="28"/>
      <c r="EZ222" s="28"/>
      <c r="FA222" s="28"/>
      <c r="FB222" s="28"/>
      <c r="FC222" s="28"/>
      <c r="FD222" s="28"/>
      <c r="FE222" s="28"/>
      <c r="FF222" s="28"/>
      <c r="FG222" s="28"/>
      <c r="FH222" s="28"/>
      <c r="FI222" s="28"/>
      <c r="FJ222" s="28"/>
      <c r="FK222" s="28"/>
      <c r="FL222" s="28"/>
      <c r="FM222" s="28"/>
      <c r="FN222" s="28"/>
      <c r="FO222" s="28"/>
      <c r="FP222" s="28"/>
      <c r="FQ222" s="28"/>
      <c r="FR222" s="28"/>
      <c r="FS222" s="28"/>
      <c r="FT222" s="28"/>
      <c r="FU222" s="28"/>
      <c r="FV222" s="28"/>
      <c r="FW222" s="28"/>
      <c r="FX222" s="28"/>
      <c r="FY222" s="28"/>
      <c r="FZ222" s="28"/>
      <c r="GA222" s="28"/>
      <c r="GB222" s="28"/>
      <c r="GC222" s="28"/>
      <c r="GD222" s="28"/>
      <c r="GE222" s="28"/>
      <c r="GF222" s="28"/>
      <c r="GG222" s="28"/>
      <c r="GH222" s="28"/>
      <c r="GI222" s="28"/>
      <c r="GJ222" s="28"/>
      <c r="GK222" s="28"/>
      <c r="GL222" s="28"/>
      <c r="GM222" s="28"/>
      <c r="GN222" s="28"/>
      <c r="GO222" s="28"/>
      <c r="GP222" s="28"/>
      <c r="GQ222" s="28"/>
      <c r="GR222" s="28"/>
      <c r="GS222" s="28"/>
      <c r="GT222" s="28"/>
      <c r="GU222" s="28"/>
      <c r="GV222" s="28"/>
      <c r="GW222" s="28"/>
      <c r="GX222" s="28"/>
      <c r="GY222" s="28"/>
      <c r="GZ222" s="28"/>
      <c r="HA222" s="28"/>
      <c r="HB222" s="28"/>
      <c r="HC222" s="28"/>
      <c r="HD222" s="28"/>
      <c r="HE222" s="28"/>
      <c r="HF222" s="28"/>
      <c r="HG222" s="28"/>
      <c r="HH222" s="28"/>
      <c r="HI222" s="28"/>
      <c r="HJ222" s="28"/>
      <c r="HK222" s="28"/>
      <c r="HL222" s="28"/>
      <c r="HM222" s="28"/>
      <c r="HN222" s="28"/>
      <c r="HO222" s="28"/>
      <c r="HP222" s="28"/>
      <c r="HQ222" s="28"/>
      <c r="HR222" s="28"/>
      <c r="HS222" s="28"/>
      <c r="HT222" s="28"/>
      <c r="HU222" s="28"/>
      <c r="HV222" s="28"/>
      <c r="HW222" s="28"/>
      <c r="HX222" s="28"/>
      <c r="HY222" s="28"/>
      <c r="HZ222" s="28"/>
      <c r="IA222" s="28"/>
      <c r="IB222" s="28"/>
      <c r="IC222" s="28"/>
      <c r="ID222" s="28"/>
      <c r="IE222" s="28"/>
      <c r="IF222" s="28"/>
      <c r="IG222" s="28"/>
      <c r="IH222" s="28"/>
      <c r="II222" s="28"/>
      <c r="IJ222" s="28"/>
      <c r="IK222" s="28"/>
      <c r="IL222" s="28"/>
      <c r="IM222" s="28"/>
      <c r="IN222" s="28"/>
      <c r="IO222" s="28"/>
      <c r="IP222" s="28"/>
      <c r="IQ222" s="28"/>
      <c r="IR222" s="26"/>
      <c r="IS222" s="26"/>
      <c r="IT222" s="26"/>
      <c r="IU222" s="26"/>
      <c r="IV222" s="26"/>
    </row>
    <row r="223" ht="11.25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  <c r="BV223" s="28"/>
      <c r="BW223" s="28"/>
      <c r="BX223" s="28"/>
      <c r="BY223" s="28"/>
      <c r="BZ223" s="28"/>
      <c r="CA223" s="28"/>
      <c r="CB223" s="28"/>
      <c r="CC223" s="28"/>
      <c r="CD223" s="28"/>
      <c r="CE223" s="28"/>
      <c r="CF223" s="28"/>
      <c r="CG223" s="28"/>
      <c r="CH223" s="28"/>
      <c r="CI223" s="28"/>
      <c r="CJ223" s="28"/>
      <c r="CK223" s="28"/>
      <c r="CL223" s="28"/>
      <c r="CM223" s="28"/>
      <c r="CN223" s="28"/>
      <c r="CO223" s="28"/>
      <c r="CP223" s="28"/>
      <c r="CQ223" s="28"/>
      <c r="CR223" s="28"/>
      <c r="CS223" s="28"/>
      <c r="CT223" s="28"/>
      <c r="CU223" s="28"/>
      <c r="CV223" s="28"/>
      <c r="CW223" s="28"/>
      <c r="CX223" s="28"/>
      <c r="CY223" s="28"/>
      <c r="CZ223" s="28"/>
      <c r="DA223" s="28"/>
      <c r="DB223" s="28"/>
      <c r="DC223" s="28"/>
      <c r="DD223" s="28"/>
      <c r="DE223" s="28"/>
      <c r="DF223" s="28"/>
      <c r="DG223" s="28"/>
      <c r="DH223" s="28"/>
      <c r="DI223" s="28"/>
      <c r="DJ223" s="28"/>
      <c r="DK223" s="28"/>
      <c r="DL223" s="28"/>
      <c r="DM223" s="28"/>
      <c r="DN223" s="28"/>
      <c r="DO223" s="28"/>
      <c r="DP223" s="28"/>
      <c r="DQ223" s="28"/>
      <c r="DR223" s="28"/>
      <c r="DS223" s="28"/>
      <c r="DT223" s="28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  <c r="EQ223" s="28"/>
      <c r="ER223" s="28"/>
      <c r="ES223" s="28"/>
      <c r="ET223" s="28"/>
      <c r="EU223" s="28"/>
      <c r="EV223" s="28"/>
      <c r="EW223" s="28"/>
      <c r="EX223" s="28"/>
      <c r="EY223" s="28"/>
      <c r="EZ223" s="28"/>
      <c r="FA223" s="28"/>
      <c r="FB223" s="28"/>
      <c r="FC223" s="28"/>
      <c r="FD223" s="28"/>
      <c r="FE223" s="28"/>
      <c r="FF223" s="28"/>
      <c r="FG223" s="28"/>
      <c r="FH223" s="28"/>
      <c r="FI223" s="28"/>
      <c r="FJ223" s="28"/>
      <c r="FK223" s="28"/>
      <c r="FL223" s="28"/>
      <c r="FM223" s="28"/>
      <c r="FN223" s="28"/>
      <c r="FO223" s="28"/>
      <c r="FP223" s="28"/>
      <c r="FQ223" s="28"/>
      <c r="FR223" s="28"/>
      <c r="FS223" s="28"/>
      <c r="FT223" s="28"/>
      <c r="FU223" s="28"/>
      <c r="FV223" s="28"/>
      <c r="FW223" s="28"/>
      <c r="FX223" s="28"/>
      <c r="FY223" s="28"/>
      <c r="FZ223" s="28"/>
      <c r="GA223" s="28"/>
      <c r="GB223" s="28"/>
      <c r="GC223" s="28"/>
      <c r="GD223" s="28"/>
      <c r="GE223" s="28"/>
      <c r="GF223" s="28"/>
      <c r="GG223" s="28"/>
      <c r="GH223" s="28"/>
      <c r="GI223" s="28"/>
      <c r="GJ223" s="28"/>
      <c r="GK223" s="28"/>
      <c r="GL223" s="28"/>
      <c r="GM223" s="28"/>
      <c r="GN223" s="28"/>
      <c r="GO223" s="28"/>
      <c r="GP223" s="28"/>
      <c r="GQ223" s="28"/>
      <c r="GR223" s="28"/>
      <c r="GS223" s="28"/>
      <c r="GT223" s="28"/>
      <c r="GU223" s="28"/>
      <c r="GV223" s="28"/>
      <c r="GW223" s="28"/>
      <c r="GX223" s="28"/>
      <c r="GY223" s="28"/>
      <c r="GZ223" s="28"/>
      <c r="HA223" s="28"/>
      <c r="HB223" s="28"/>
      <c r="HC223" s="28"/>
      <c r="HD223" s="28"/>
      <c r="HE223" s="28"/>
      <c r="HF223" s="28"/>
      <c r="HG223" s="28"/>
      <c r="HH223" s="28"/>
      <c r="HI223" s="28"/>
      <c r="HJ223" s="28"/>
      <c r="HK223" s="28"/>
      <c r="HL223" s="28"/>
      <c r="HM223" s="28"/>
      <c r="HN223" s="28"/>
      <c r="HO223" s="28"/>
      <c r="HP223" s="28"/>
      <c r="HQ223" s="28"/>
      <c r="HR223" s="28"/>
      <c r="HS223" s="28"/>
      <c r="HT223" s="28"/>
      <c r="HU223" s="28"/>
      <c r="HV223" s="28"/>
      <c r="HW223" s="28"/>
      <c r="HX223" s="28"/>
      <c r="HY223" s="28"/>
      <c r="HZ223" s="28"/>
      <c r="IA223" s="28"/>
      <c r="IB223" s="28"/>
      <c r="IC223" s="28"/>
      <c r="ID223" s="28"/>
      <c r="IE223" s="28"/>
      <c r="IF223" s="28"/>
      <c r="IG223" s="28"/>
      <c r="IH223" s="28"/>
      <c r="II223" s="28"/>
      <c r="IJ223" s="28"/>
      <c r="IK223" s="28"/>
      <c r="IL223" s="28"/>
      <c r="IM223" s="28"/>
      <c r="IN223" s="28"/>
      <c r="IO223" s="28"/>
      <c r="IP223" s="28"/>
      <c r="IQ223" s="28"/>
      <c r="IR223" s="26"/>
      <c r="IS223" s="26"/>
      <c r="IT223" s="26"/>
      <c r="IU223" s="26"/>
      <c r="IV223" s="26"/>
    </row>
    <row r="224" ht="11.25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  <c r="BV224" s="28"/>
      <c r="BW224" s="28"/>
      <c r="BX224" s="28"/>
      <c r="BY224" s="28"/>
      <c r="BZ224" s="28"/>
      <c r="CA224" s="28"/>
      <c r="CB224" s="28"/>
      <c r="CC224" s="28"/>
      <c r="CD224" s="28"/>
      <c r="CE224" s="28"/>
      <c r="CF224" s="28"/>
      <c r="CG224" s="28"/>
      <c r="CH224" s="28"/>
      <c r="CI224" s="28"/>
      <c r="CJ224" s="28"/>
      <c r="CK224" s="28"/>
      <c r="CL224" s="28"/>
      <c r="CM224" s="28"/>
      <c r="CN224" s="28"/>
      <c r="CO224" s="28"/>
      <c r="CP224" s="28"/>
      <c r="CQ224" s="28"/>
      <c r="CR224" s="28"/>
      <c r="CS224" s="28"/>
      <c r="CT224" s="28"/>
      <c r="CU224" s="28"/>
      <c r="CV224" s="28"/>
      <c r="CW224" s="28"/>
      <c r="CX224" s="28"/>
      <c r="CY224" s="28"/>
      <c r="CZ224" s="28"/>
      <c r="DA224" s="28"/>
      <c r="DB224" s="28"/>
      <c r="DC224" s="28"/>
      <c r="DD224" s="28"/>
      <c r="DE224" s="28"/>
      <c r="DF224" s="28"/>
      <c r="DG224" s="28"/>
      <c r="DH224" s="28"/>
      <c r="DI224" s="28"/>
      <c r="DJ224" s="28"/>
      <c r="DK224" s="28"/>
      <c r="DL224" s="28"/>
      <c r="DM224" s="28"/>
      <c r="DN224" s="28"/>
      <c r="DO224" s="28"/>
      <c r="DP224" s="28"/>
      <c r="DQ224" s="28"/>
      <c r="DR224" s="28"/>
      <c r="DS224" s="28"/>
      <c r="DT224" s="28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  <c r="EQ224" s="28"/>
      <c r="ER224" s="28"/>
      <c r="ES224" s="28"/>
      <c r="ET224" s="28"/>
      <c r="EU224" s="28"/>
      <c r="EV224" s="28"/>
      <c r="EW224" s="28"/>
      <c r="EX224" s="28"/>
      <c r="EY224" s="28"/>
      <c r="EZ224" s="28"/>
      <c r="FA224" s="28"/>
      <c r="FB224" s="28"/>
      <c r="FC224" s="28"/>
      <c r="FD224" s="28"/>
      <c r="FE224" s="28"/>
      <c r="FF224" s="28"/>
      <c r="FG224" s="28"/>
      <c r="FH224" s="28"/>
      <c r="FI224" s="28"/>
      <c r="FJ224" s="28"/>
      <c r="FK224" s="28"/>
      <c r="FL224" s="28"/>
      <c r="FM224" s="28"/>
      <c r="FN224" s="28"/>
      <c r="FO224" s="28"/>
      <c r="FP224" s="28"/>
      <c r="FQ224" s="28"/>
      <c r="FR224" s="28"/>
      <c r="FS224" s="28"/>
      <c r="FT224" s="28"/>
      <c r="FU224" s="28"/>
      <c r="FV224" s="28"/>
      <c r="FW224" s="28"/>
      <c r="FX224" s="28"/>
      <c r="FY224" s="28"/>
      <c r="FZ224" s="28"/>
      <c r="GA224" s="28"/>
      <c r="GB224" s="28"/>
      <c r="GC224" s="28"/>
      <c r="GD224" s="28"/>
      <c r="GE224" s="28"/>
      <c r="GF224" s="28"/>
      <c r="GG224" s="28"/>
      <c r="GH224" s="28"/>
      <c r="GI224" s="28"/>
      <c r="GJ224" s="28"/>
      <c r="GK224" s="28"/>
      <c r="GL224" s="28"/>
      <c r="GM224" s="28"/>
      <c r="GN224" s="28"/>
      <c r="GO224" s="28"/>
      <c r="GP224" s="28"/>
      <c r="GQ224" s="28"/>
      <c r="GR224" s="28"/>
      <c r="GS224" s="28"/>
      <c r="GT224" s="28"/>
      <c r="GU224" s="28"/>
      <c r="GV224" s="28"/>
      <c r="GW224" s="28"/>
      <c r="GX224" s="28"/>
      <c r="GY224" s="28"/>
      <c r="GZ224" s="28"/>
      <c r="HA224" s="28"/>
      <c r="HB224" s="28"/>
      <c r="HC224" s="28"/>
      <c r="HD224" s="28"/>
      <c r="HE224" s="28"/>
      <c r="HF224" s="28"/>
      <c r="HG224" s="28"/>
      <c r="HH224" s="28"/>
      <c r="HI224" s="28"/>
      <c r="HJ224" s="28"/>
      <c r="HK224" s="28"/>
      <c r="HL224" s="28"/>
      <c r="HM224" s="28"/>
      <c r="HN224" s="28"/>
      <c r="HO224" s="28"/>
      <c r="HP224" s="28"/>
      <c r="HQ224" s="28"/>
      <c r="HR224" s="28"/>
      <c r="HS224" s="28"/>
      <c r="HT224" s="28"/>
      <c r="HU224" s="28"/>
      <c r="HV224" s="28"/>
      <c r="HW224" s="28"/>
      <c r="HX224" s="28"/>
      <c r="HY224" s="28"/>
      <c r="HZ224" s="28"/>
      <c r="IA224" s="28"/>
      <c r="IB224" s="28"/>
      <c r="IC224" s="28"/>
      <c r="ID224" s="28"/>
      <c r="IE224" s="28"/>
      <c r="IF224" s="28"/>
      <c r="IG224" s="28"/>
      <c r="IH224" s="28"/>
      <c r="II224" s="28"/>
      <c r="IJ224" s="28"/>
      <c r="IK224" s="28"/>
      <c r="IL224" s="28"/>
      <c r="IM224" s="28"/>
      <c r="IN224" s="28"/>
      <c r="IO224" s="28"/>
      <c r="IP224" s="28"/>
      <c r="IQ224" s="28"/>
      <c r="IR224" s="26"/>
      <c r="IS224" s="26"/>
      <c r="IT224" s="26"/>
      <c r="IU224" s="26"/>
      <c r="IV224" s="26"/>
    </row>
    <row r="225" ht="11.25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  <c r="BV225" s="28"/>
      <c r="BW225" s="28"/>
      <c r="BX225" s="28"/>
      <c r="BY225" s="28"/>
      <c r="BZ225" s="28"/>
      <c r="CA225" s="28"/>
      <c r="CB225" s="28"/>
      <c r="CC225" s="28"/>
      <c r="CD225" s="28"/>
      <c r="CE225" s="28"/>
      <c r="CF225" s="28"/>
      <c r="CG225" s="28"/>
      <c r="CH225" s="28"/>
      <c r="CI225" s="28"/>
      <c r="CJ225" s="28"/>
      <c r="CK225" s="28"/>
      <c r="CL225" s="28"/>
      <c r="CM225" s="28"/>
      <c r="CN225" s="28"/>
      <c r="CO225" s="28"/>
      <c r="CP225" s="28"/>
      <c r="CQ225" s="28"/>
      <c r="CR225" s="28"/>
      <c r="CS225" s="28"/>
      <c r="CT225" s="28"/>
      <c r="CU225" s="28"/>
      <c r="CV225" s="28"/>
      <c r="CW225" s="28"/>
      <c r="CX225" s="28"/>
      <c r="CY225" s="28"/>
      <c r="CZ225" s="28"/>
      <c r="DA225" s="28"/>
      <c r="DB225" s="28"/>
      <c r="DC225" s="28"/>
      <c r="DD225" s="28"/>
      <c r="DE225" s="28"/>
      <c r="DF225" s="28"/>
      <c r="DG225" s="28"/>
      <c r="DH225" s="28"/>
      <c r="DI225" s="28"/>
      <c r="DJ225" s="28"/>
      <c r="DK225" s="28"/>
      <c r="DL225" s="28"/>
      <c r="DM225" s="28"/>
      <c r="DN225" s="28"/>
      <c r="DO225" s="28"/>
      <c r="DP225" s="28"/>
      <c r="DQ225" s="28"/>
      <c r="DR225" s="28"/>
      <c r="DS225" s="28"/>
      <c r="DT225" s="28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  <c r="EQ225" s="28"/>
      <c r="ER225" s="28"/>
      <c r="ES225" s="28"/>
      <c r="ET225" s="28"/>
      <c r="EU225" s="28"/>
      <c r="EV225" s="28"/>
      <c r="EW225" s="28"/>
      <c r="EX225" s="28"/>
      <c r="EY225" s="28"/>
      <c r="EZ225" s="28"/>
      <c r="FA225" s="28"/>
      <c r="FB225" s="28"/>
      <c r="FC225" s="28"/>
      <c r="FD225" s="28"/>
      <c r="FE225" s="28"/>
      <c r="FF225" s="28"/>
      <c r="FG225" s="28"/>
      <c r="FH225" s="28"/>
      <c r="FI225" s="28"/>
      <c r="FJ225" s="28"/>
      <c r="FK225" s="28"/>
      <c r="FL225" s="28"/>
      <c r="FM225" s="28"/>
      <c r="FN225" s="28"/>
      <c r="FO225" s="28"/>
      <c r="FP225" s="28"/>
      <c r="FQ225" s="28"/>
      <c r="FR225" s="28"/>
      <c r="FS225" s="28"/>
      <c r="FT225" s="28"/>
      <c r="FU225" s="28"/>
      <c r="FV225" s="28"/>
      <c r="FW225" s="28"/>
      <c r="FX225" s="28"/>
      <c r="FY225" s="28"/>
      <c r="FZ225" s="28"/>
      <c r="GA225" s="28"/>
      <c r="GB225" s="28"/>
      <c r="GC225" s="28"/>
      <c r="GD225" s="28"/>
      <c r="GE225" s="28"/>
      <c r="GF225" s="28"/>
      <c r="GG225" s="28"/>
      <c r="GH225" s="28"/>
      <c r="GI225" s="28"/>
      <c r="GJ225" s="28"/>
      <c r="GK225" s="28"/>
      <c r="GL225" s="28"/>
      <c r="GM225" s="28"/>
      <c r="GN225" s="28"/>
      <c r="GO225" s="28"/>
      <c r="GP225" s="28"/>
      <c r="GQ225" s="28"/>
      <c r="GR225" s="28"/>
      <c r="GS225" s="28"/>
      <c r="GT225" s="28"/>
      <c r="GU225" s="28"/>
      <c r="GV225" s="28"/>
      <c r="GW225" s="28"/>
      <c r="GX225" s="28"/>
      <c r="GY225" s="28"/>
      <c r="GZ225" s="28"/>
      <c r="HA225" s="28"/>
      <c r="HB225" s="28"/>
      <c r="HC225" s="28"/>
      <c r="HD225" s="28"/>
      <c r="HE225" s="28"/>
      <c r="HF225" s="28"/>
      <c r="HG225" s="28"/>
      <c r="HH225" s="28"/>
      <c r="HI225" s="28"/>
      <c r="HJ225" s="28"/>
      <c r="HK225" s="28"/>
      <c r="HL225" s="28"/>
      <c r="HM225" s="28"/>
      <c r="HN225" s="28"/>
      <c r="HO225" s="28"/>
      <c r="HP225" s="28"/>
      <c r="HQ225" s="28"/>
      <c r="HR225" s="28"/>
      <c r="HS225" s="28"/>
      <c r="HT225" s="28"/>
      <c r="HU225" s="28"/>
      <c r="HV225" s="28"/>
      <c r="HW225" s="28"/>
      <c r="HX225" s="28"/>
      <c r="HY225" s="28"/>
      <c r="HZ225" s="28"/>
      <c r="IA225" s="28"/>
      <c r="IB225" s="28"/>
      <c r="IC225" s="28"/>
      <c r="ID225" s="28"/>
      <c r="IE225" s="28"/>
      <c r="IF225" s="28"/>
      <c r="IG225" s="28"/>
      <c r="IH225" s="28"/>
      <c r="II225" s="28"/>
      <c r="IJ225" s="28"/>
      <c r="IK225" s="28"/>
      <c r="IL225" s="28"/>
      <c r="IM225" s="28"/>
      <c r="IN225" s="28"/>
      <c r="IO225" s="28"/>
      <c r="IP225" s="28"/>
      <c r="IQ225" s="28"/>
      <c r="IR225" s="26"/>
      <c r="IS225" s="26"/>
      <c r="IT225" s="26"/>
      <c r="IU225" s="26"/>
      <c r="IV225" s="26"/>
    </row>
    <row r="226" ht="11.25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8"/>
      <c r="DK226" s="28"/>
      <c r="DL226" s="28"/>
      <c r="DM226" s="28"/>
      <c r="DN226" s="28"/>
      <c r="DO226" s="28"/>
      <c r="DP226" s="28"/>
      <c r="DQ226" s="28"/>
      <c r="DR226" s="28"/>
      <c r="DS226" s="28"/>
      <c r="DT226" s="28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  <c r="EQ226" s="28"/>
      <c r="ER226" s="28"/>
      <c r="ES226" s="28"/>
      <c r="ET226" s="28"/>
      <c r="EU226" s="28"/>
      <c r="EV226" s="28"/>
      <c r="EW226" s="28"/>
      <c r="EX226" s="28"/>
      <c r="EY226" s="28"/>
      <c r="EZ226" s="28"/>
      <c r="FA226" s="28"/>
      <c r="FB226" s="28"/>
      <c r="FC226" s="28"/>
      <c r="FD226" s="28"/>
      <c r="FE226" s="28"/>
      <c r="FF226" s="28"/>
      <c r="FG226" s="28"/>
      <c r="FH226" s="28"/>
      <c r="FI226" s="28"/>
      <c r="FJ226" s="28"/>
      <c r="FK226" s="28"/>
      <c r="FL226" s="28"/>
      <c r="FM226" s="28"/>
      <c r="FN226" s="28"/>
      <c r="FO226" s="28"/>
      <c r="FP226" s="28"/>
      <c r="FQ226" s="28"/>
      <c r="FR226" s="28"/>
      <c r="FS226" s="28"/>
      <c r="FT226" s="28"/>
      <c r="FU226" s="28"/>
      <c r="FV226" s="28"/>
      <c r="FW226" s="28"/>
      <c r="FX226" s="28"/>
      <c r="FY226" s="28"/>
      <c r="FZ226" s="28"/>
      <c r="GA226" s="28"/>
      <c r="GB226" s="28"/>
      <c r="GC226" s="28"/>
      <c r="GD226" s="28"/>
      <c r="GE226" s="28"/>
      <c r="GF226" s="28"/>
      <c r="GG226" s="28"/>
      <c r="GH226" s="28"/>
      <c r="GI226" s="28"/>
      <c r="GJ226" s="28"/>
      <c r="GK226" s="28"/>
      <c r="GL226" s="28"/>
      <c r="GM226" s="28"/>
      <c r="GN226" s="28"/>
      <c r="GO226" s="28"/>
      <c r="GP226" s="28"/>
      <c r="GQ226" s="28"/>
      <c r="GR226" s="28"/>
      <c r="GS226" s="28"/>
      <c r="GT226" s="28"/>
      <c r="GU226" s="28"/>
      <c r="GV226" s="28"/>
      <c r="GW226" s="28"/>
      <c r="GX226" s="28"/>
      <c r="GY226" s="28"/>
      <c r="GZ226" s="28"/>
      <c r="HA226" s="28"/>
      <c r="HB226" s="28"/>
      <c r="HC226" s="28"/>
      <c r="HD226" s="28"/>
      <c r="HE226" s="28"/>
      <c r="HF226" s="28"/>
      <c r="HG226" s="28"/>
      <c r="HH226" s="28"/>
      <c r="HI226" s="28"/>
      <c r="HJ226" s="28"/>
      <c r="HK226" s="28"/>
      <c r="HL226" s="28"/>
      <c r="HM226" s="28"/>
      <c r="HN226" s="28"/>
      <c r="HO226" s="28"/>
      <c r="HP226" s="28"/>
      <c r="HQ226" s="28"/>
      <c r="HR226" s="28"/>
      <c r="HS226" s="28"/>
      <c r="HT226" s="28"/>
      <c r="HU226" s="28"/>
      <c r="HV226" s="28"/>
      <c r="HW226" s="28"/>
      <c r="HX226" s="28"/>
      <c r="HY226" s="28"/>
      <c r="HZ226" s="28"/>
      <c r="IA226" s="28"/>
      <c r="IB226" s="28"/>
      <c r="IC226" s="28"/>
      <c r="ID226" s="28"/>
      <c r="IE226" s="28"/>
      <c r="IF226" s="28"/>
      <c r="IG226" s="28"/>
      <c r="IH226" s="28"/>
      <c r="II226" s="28"/>
      <c r="IJ226" s="28"/>
      <c r="IK226" s="28"/>
      <c r="IL226" s="28"/>
      <c r="IM226" s="28"/>
      <c r="IN226" s="28"/>
      <c r="IO226" s="28"/>
      <c r="IP226" s="28"/>
      <c r="IQ226" s="28"/>
      <c r="IR226" s="26"/>
      <c r="IS226" s="26"/>
      <c r="IT226" s="26"/>
      <c r="IU226" s="26"/>
      <c r="IV226" s="26"/>
    </row>
    <row r="227" ht="11.25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  <c r="BV227" s="28"/>
      <c r="BW227" s="28"/>
      <c r="BX227" s="28"/>
      <c r="BY227" s="28"/>
      <c r="BZ227" s="28"/>
      <c r="CA227" s="28"/>
      <c r="CB227" s="28"/>
      <c r="CC227" s="28"/>
      <c r="CD227" s="28"/>
      <c r="CE227" s="28"/>
      <c r="CF227" s="28"/>
      <c r="CG227" s="28"/>
      <c r="CH227" s="28"/>
      <c r="CI227" s="28"/>
      <c r="CJ227" s="28"/>
      <c r="CK227" s="28"/>
      <c r="CL227" s="28"/>
      <c r="CM227" s="28"/>
      <c r="CN227" s="28"/>
      <c r="CO227" s="28"/>
      <c r="CP227" s="28"/>
      <c r="CQ227" s="28"/>
      <c r="CR227" s="28"/>
      <c r="CS227" s="28"/>
      <c r="CT227" s="28"/>
      <c r="CU227" s="28"/>
      <c r="CV227" s="28"/>
      <c r="CW227" s="28"/>
      <c r="CX227" s="28"/>
      <c r="CY227" s="28"/>
      <c r="CZ227" s="28"/>
      <c r="DA227" s="28"/>
      <c r="DB227" s="28"/>
      <c r="DC227" s="28"/>
      <c r="DD227" s="28"/>
      <c r="DE227" s="28"/>
      <c r="DF227" s="28"/>
      <c r="DG227" s="28"/>
      <c r="DH227" s="28"/>
      <c r="DI227" s="28"/>
      <c r="DJ227" s="28"/>
      <c r="DK227" s="28"/>
      <c r="DL227" s="28"/>
      <c r="DM227" s="28"/>
      <c r="DN227" s="28"/>
      <c r="DO227" s="28"/>
      <c r="DP227" s="28"/>
      <c r="DQ227" s="28"/>
      <c r="DR227" s="28"/>
      <c r="DS227" s="28"/>
      <c r="DT227" s="28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  <c r="EQ227" s="28"/>
      <c r="ER227" s="28"/>
      <c r="ES227" s="28"/>
      <c r="ET227" s="28"/>
      <c r="EU227" s="28"/>
      <c r="EV227" s="28"/>
      <c r="EW227" s="28"/>
      <c r="EX227" s="28"/>
      <c r="EY227" s="28"/>
      <c r="EZ227" s="28"/>
      <c r="FA227" s="28"/>
      <c r="FB227" s="28"/>
      <c r="FC227" s="28"/>
      <c r="FD227" s="28"/>
      <c r="FE227" s="28"/>
      <c r="FF227" s="28"/>
      <c r="FG227" s="28"/>
      <c r="FH227" s="28"/>
      <c r="FI227" s="28"/>
      <c r="FJ227" s="28"/>
      <c r="FK227" s="28"/>
      <c r="FL227" s="28"/>
      <c r="FM227" s="28"/>
      <c r="FN227" s="28"/>
      <c r="FO227" s="28"/>
      <c r="FP227" s="28"/>
      <c r="FQ227" s="28"/>
      <c r="FR227" s="28"/>
      <c r="FS227" s="28"/>
      <c r="FT227" s="28"/>
      <c r="FU227" s="28"/>
      <c r="FV227" s="28"/>
      <c r="FW227" s="28"/>
      <c r="FX227" s="28"/>
      <c r="FY227" s="28"/>
      <c r="FZ227" s="28"/>
      <c r="GA227" s="28"/>
      <c r="GB227" s="28"/>
      <c r="GC227" s="28"/>
      <c r="GD227" s="28"/>
      <c r="GE227" s="28"/>
      <c r="GF227" s="28"/>
      <c r="GG227" s="28"/>
      <c r="GH227" s="28"/>
      <c r="GI227" s="28"/>
      <c r="GJ227" s="28"/>
      <c r="GK227" s="28"/>
      <c r="GL227" s="28"/>
      <c r="GM227" s="28"/>
      <c r="GN227" s="28"/>
      <c r="GO227" s="28"/>
      <c r="GP227" s="28"/>
      <c r="GQ227" s="28"/>
      <c r="GR227" s="28"/>
      <c r="GS227" s="28"/>
      <c r="GT227" s="28"/>
      <c r="GU227" s="28"/>
      <c r="GV227" s="28"/>
      <c r="GW227" s="28"/>
      <c r="GX227" s="28"/>
      <c r="GY227" s="28"/>
      <c r="GZ227" s="28"/>
      <c r="HA227" s="28"/>
      <c r="HB227" s="28"/>
      <c r="HC227" s="28"/>
      <c r="HD227" s="28"/>
      <c r="HE227" s="28"/>
      <c r="HF227" s="28"/>
      <c r="HG227" s="28"/>
      <c r="HH227" s="28"/>
      <c r="HI227" s="28"/>
      <c r="HJ227" s="28"/>
      <c r="HK227" s="28"/>
      <c r="HL227" s="28"/>
      <c r="HM227" s="28"/>
      <c r="HN227" s="28"/>
      <c r="HO227" s="28"/>
      <c r="HP227" s="28"/>
      <c r="HQ227" s="28"/>
      <c r="HR227" s="28"/>
      <c r="HS227" s="28"/>
      <c r="HT227" s="28"/>
      <c r="HU227" s="28"/>
      <c r="HV227" s="28"/>
      <c r="HW227" s="28"/>
      <c r="HX227" s="28"/>
      <c r="HY227" s="28"/>
      <c r="HZ227" s="28"/>
      <c r="IA227" s="28"/>
      <c r="IB227" s="28"/>
      <c r="IC227" s="28"/>
      <c r="ID227" s="28"/>
      <c r="IE227" s="28"/>
      <c r="IF227" s="28"/>
      <c r="IG227" s="28"/>
      <c r="IH227" s="28"/>
      <c r="II227" s="28"/>
      <c r="IJ227" s="28"/>
      <c r="IK227" s="28"/>
      <c r="IL227" s="28"/>
      <c r="IM227" s="28"/>
      <c r="IN227" s="28"/>
      <c r="IO227" s="28"/>
      <c r="IP227" s="28"/>
      <c r="IQ227" s="28"/>
      <c r="IR227" s="26"/>
      <c r="IS227" s="26"/>
      <c r="IT227" s="26"/>
      <c r="IU227" s="26"/>
      <c r="IV227" s="26"/>
    </row>
    <row r="228" ht="11.25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28"/>
      <c r="CC228" s="28"/>
      <c r="CD228" s="28"/>
      <c r="CE228" s="28"/>
      <c r="CF228" s="28"/>
      <c r="CG228" s="28"/>
      <c r="CH228" s="28"/>
      <c r="CI228" s="28"/>
      <c r="CJ228" s="28"/>
      <c r="CK228" s="28"/>
      <c r="CL228" s="28"/>
      <c r="CM228" s="28"/>
      <c r="CN228" s="28"/>
      <c r="CO228" s="28"/>
      <c r="CP228" s="28"/>
      <c r="CQ228" s="28"/>
      <c r="CR228" s="28"/>
      <c r="CS228" s="28"/>
      <c r="CT228" s="28"/>
      <c r="CU228" s="28"/>
      <c r="CV228" s="28"/>
      <c r="CW228" s="28"/>
      <c r="CX228" s="28"/>
      <c r="CY228" s="28"/>
      <c r="CZ228" s="28"/>
      <c r="DA228" s="28"/>
      <c r="DB228" s="28"/>
      <c r="DC228" s="28"/>
      <c r="DD228" s="28"/>
      <c r="DE228" s="28"/>
      <c r="DF228" s="28"/>
      <c r="DG228" s="28"/>
      <c r="DH228" s="28"/>
      <c r="DI228" s="28"/>
      <c r="DJ228" s="28"/>
      <c r="DK228" s="28"/>
      <c r="DL228" s="28"/>
      <c r="DM228" s="28"/>
      <c r="DN228" s="28"/>
      <c r="DO228" s="28"/>
      <c r="DP228" s="28"/>
      <c r="DQ228" s="28"/>
      <c r="DR228" s="28"/>
      <c r="DS228" s="28"/>
      <c r="DT228" s="28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  <c r="EQ228" s="28"/>
      <c r="ER228" s="28"/>
      <c r="ES228" s="28"/>
      <c r="ET228" s="28"/>
      <c r="EU228" s="28"/>
      <c r="EV228" s="28"/>
      <c r="EW228" s="28"/>
      <c r="EX228" s="28"/>
      <c r="EY228" s="28"/>
      <c r="EZ228" s="28"/>
      <c r="FA228" s="28"/>
      <c r="FB228" s="28"/>
      <c r="FC228" s="28"/>
      <c r="FD228" s="28"/>
      <c r="FE228" s="28"/>
      <c r="FF228" s="28"/>
      <c r="FG228" s="28"/>
      <c r="FH228" s="28"/>
      <c r="FI228" s="28"/>
      <c r="FJ228" s="28"/>
      <c r="FK228" s="28"/>
      <c r="FL228" s="28"/>
      <c r="FM228" s="28"/>
      <c r="FN228" s="28"/>
      <c r="FO228" s="28"/>
      <c r="FP228" s="28"/>
      <c r="FQ228" s="28"/>
      <c r="FR228" s="28"/>
      <c r="FS228" s="28"/>
      <c r="FT228" s="28"/>
      <c r="FU228" s="28"/>
      <c r="FV228" s="28"/>
      <c r="FW228" s="28"/>
      <c r="FX228" s="28"/>
      <c r="FY228" s="28"/>
      <c r="FZ228" s="28"/>
      <c r="GA228" s="28"/>
      <c r="GB228" s="28"/>
      <c r="GC228" s="28"/>
      <c r="GD228" s="28"/>
      <c r="GE228" s="28"/>
      <c r="GF228" s="28"/>
      <c r="GG228" s="28"/>
      <c r="GH228" s="28"/>
      <c r="GI228" s="28"/>
      <c r="GJ228" s="28"/>
      <c r="GK228" s="28"/>
      <c r="GL228" s="28"/>
      <c r="GM228" s="28"/>
      <c r="GN228" s="28"/>
      <c r="GO228" s="28"/>
      <c r="GP228" s="28"/>
      <c r="GQ228" s="28"/>
      <c r="GR228" s="28"/>
      <c r="GS228" s="28"/>
      <c r="GT228" s="28"/>
      <c r="GU228" s="28"/>
      <c r="GV228" s="28"/>
      <c r="GW228" s="28"/>
      <c r="GX228" s="28"/>
      <c r="GY228" s="28"/>
      <c r="GZ228" s="28"/>
      <c r="HA228" s="28"/>
      <c r="HB228" s="28"/>
      <c r="HC228" s="28"/>
      <c r="HD228" s="28"/>
      <c r="HE228" s="28"/>
      <c r="HF228" s="28"/>
      <c r="HG228" s="28"/>
      <c r="HH228" s="28"/>
      <c r="HI228" s="28"/>
      <c r="HJ228" s="28"/>
      <c r="HK228" s="28"/>
      <c r="HL228" s="28"/>
      <c r="HM228" s="28"/>
      <c r="HN228" s="28"/>
      <c r="HO228" s="28"/>
      <c r="HP228" s="28"/>
      <c r="HQ228" s="28"/>
      <c r="HR228" s="28"/>
      <c r="HS228" s="28"/>
      <c r="HT228" s="28"/>
      <c r="HU228" s="28"/>
      <c r="HV228" s="28"/>
      <c r="HW228" s="28"/>
      <c r="HX228" s="28"/>
      <c r="HY228" s="28"/>
      <c r="HZ228" s="28"/>
      <c r="IA228" s="28"/>
      <c r="IB228" s="28"/>
      <c r="IC228" s="28"/>
      <c r="ID228" s="28"/>
      <c r="IE228" s="28"/>
      <c r="IF228" s="28"/>
      <c r="IG228" s="28"/>
      <c r="IH228" s="28"/>
      <c r="II228" s="28"/>
      <c r="IJ228" s="28"/>
      <c r="IK228" s="28"/>
      <c r="IL228" s="28"/>
      <c r="IM228" s="28"/>
      <c r="IN228" s="28"/>
      <c r="IO228" s="28"/>
      <c r="IP228" s="28"/>
      <c r="IQ228" s="28"/>
      <c r="IR228" s="26"/>
      <c r="IS228" s="26"/>
      <c r="IT228" s="26"/>
      <c r="IU228" s="26"/>
      <c r="IV228" s="26"/>
    </row>
    <row r="229" ht="11.25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28"/>
      <c r="CC229" s="28"/>
      <c r="CD229" s="28"/>
      <c r="CE229" s="28"/>
      <c r="CF229" s="28"/>
      <c r="CG229" s="28"/>
      <c r="CH229" s="28"/>
      <c r="CI229" s="28"/>
      <c r="CJ229" s="28"/>
      <c r="CK229" s="28"/>
      <c r="CL229" s="28"/>
      <c r="CM229" s="28"/>
      <c r="CN229" s="28"/>
      <c r="CO229" s="28"/>
      <c r="CP229" s="28"/>
      <c r="CQ229" s="28"/>
      <c r="CR229" s="28"/>
      <c r="CS229" s="28"/>
      <c r="CT229" s="28"/>
      <c r="CU229" s="28"/>
      <c r="CV229" s="28"/>
      <c r="CW229" s="28"/>
      <c r="CX229" s="28"/>
      <c r="CY229" s="28"/>
      <c r="CZ229" s="28"/>
      <c r="DA229" s="28"/>
      <c r="DB229" s="28"/>
      <c r="DC229" s="28"/>
      <c r="DD229" s="28"/>
      <c r="DE229" s="28"/>
      <c r="DF229" s="28"/>
      <c r="DG229" s="28"/>
      <c r="DH229" s="28"/>
      <c r="DI229" s="28"/>
      <c r="DJ229" s="28"/>
      <c r="DK229" s="28"/>
      <c r="DL229" s="28"/>
      <c r="DM229" s="28"/>
      <c r="DN229" s="28"/>
      <c r="DO229" s="28"/>
      <c r="DP229" s="28"/>
      <c r="DQ229" s="28"/>
      <c r="DR229" s="28"/>
      <c r="DS229" s="28"/>
      <c r="DT229" s="28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  <c r="EQ229" s="28"/>
      <c r="ER229" s="28"/>
      <c r="ES229" s="28"/>
      <c r="ET229" s="28"/>
      <c r="EU229" s="28"/>
      <c r="EV229" s="28"/>
      <c r="EW229" s="28"/>
      <c r="EX229" s="28"/>
      <c r="EY229" s="28"/>
      <c r="EZ229" s="28"/>
      <c r="FA229" s="28"/>
      <c r="FB229" s="28"/>
      <c r="FC229" s="28"/>
      <c r="FD229" s="28"/>
      <c r="FE229" s="28"/>
      <c r="FF229" s="28"/>
      <c r="FG229" s="28"/>
      <c r="FH229" s="28"/>
      <c r="FI229" s="28"/>
      <c r="FJ229" s="28"/>
      <c r="FK229" s="28"/>
      <c r="FL229" s="28"/>
      <c r="FM229" s="28"/>
      <c r="FN229" s="28"/>
      <c r="FO229" s="28"/>
      <c r="FP229" s="28"/>
      <c r="FQ229" s="28"/>
      <c r="FR229" s="28"/>
      <c r="FS229" s="28"/>
      <c r="FT229" s="28"/>
      <c r="FU229" s="28"/>
      <c r="FV229" s="28"/>
      <c r="FW229" s="28"/>
      <c r="FX229" s="28"/>
      <c r="FY229" s="28"/>
      <c r="FZ229" s="28"/>
      <c r="GA229" s="28"/>
      <c r="GB229" s="28"/>
      <c r="GC229" s="28"/>
      <c r="GD229" s="28"/>
      <c r="GE229" s="28"/>
      <c r="GF229" s="28"/>
      <c r="GG229" s="28"/>
      <c r="GH229" s="28"/>
      <c r="GI229" s="28"/>
      <c r="GJ229" s="28"/>
      <c r="GK229" s="28"/>
      <c r="GL229" s="28"/>
      <c r="GM229" s="28"/>
      <c r="GN229" s="28"/>
      <c r="GO229" s="28"/>
      <c r="GP229" s="28"/>
      <c r="GQ229" s="28"/>
      <c r="GR229" s="28"/>
      <c r="GS229" s="28"/>
      <c r="GT229" s="28"/>
      <c r="GU229" s="28"/>
      <c r="GV229" s="28"/>
      <c r="GW229" s="28"/>
      <c r="GX229" s="28"/>
      <c r="GY229" s="28"/>
      <c r="GZ229" s="28"/>
      <c r="HA229" s="28"/>
      <c r="HB229" s="28"/>
      <c r="HC229" s="28"/>
      <c r="HD229" s="28"/>
      <c r="HE229" s="28"/>
      <c r="HF229" s="28"/>
      <c r="HG229" s="28"/>
      <c r="HH229" s="28"/>
      <c r="HI229" s="28"/>
      <c r="HJ229" s="28"/>
      <c r="HK229" s="28"/>
      <c r="HL229" s="28"/>
      <c r="HM229" s="28"/>
      <c r="HN229" s="28"/>
      <c r="HO229" s="28"/>
      <c r="HP229" s="28"/>
      <c r="HQ229" s="28"/>
      <c r="HR229" s="28"/>
      <c r="HS229" s="28"/>
      <c r="HT229" s="28"/>
      <c r="HU229" s="28"/>
      <c r="HV229" s="28"/>
      <c r="HW229" s="28"/>
      <c r="HX229" s="28"/>
      <c r="HY229" s="28"/>
      <c r="HZ229" s="28"/>
      <c r="IA229" s="28"/>
      <c r="IB229" s="28"/>
      <c r="IC229" s="28"/>
      <c r="ID229" s="28"/>
      <c r="IE229" s="28"/>
      <c r="IF229" s="28"/>
      <c r="IG229" s="28"/>
      <c r="IH229" s="28"/>
      <c r="II229" s="28"/>
      <c r="IJ229" s="28"/>
      <c r="IK229" s="28"/>
      <c r="IL229" s="28"/>
      <c r="IM229" s="28"/>
      <c r="IN229" s="28"/>
      <c r="IO229" s="28"/>
      <c r="IP229" s="28"/>
      <c r="IQ229" s="28"/>
      <c r="IR229" s="26"/>
      <c r="IS229" s="26"/>
      <c r="IT229" s="26"/>
      <c r="IU229" s="26"/>
      <c r="IV229" s="26"/>
    </row>
    <row r="230" ht="11.25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28"/>
      <c r="CC230" s="28"/>
      <c r="CD230" s="28"/>
      <c r="CE230" s="28"/>
      <c r="CF230" s="28"/>
      <c r="CG230" s="28"/>
      <c r="CH230" s="28"/>
      <c r="CI230" s="28"/>
      <c r="CJ230" s="28"/>
      <c r="CK230" s="28"/>
      <c r="CL230" s="28"/>
      <c r="CM230" s="28"/>
      <c r="CN230" s="28"/>
      <c r="CO230" s="28"/>
      <c r="CP230" s="28"/>
      <c r="CQ230" s="28"/>
      <c r="CR230" s="28"/>
      <c r="CS230" s="28"/>
      <c r="CT230" s="28"/>
      <c r="CU230" s="28"/>
      <c r="CV230" s="28"/>
      <c r="CW230" s="28"/>
      <c r="CX230" s="28"/>
      <c r="CY230" s="28"/>
      <c r="CZ230" s="28"/>
      <c r="DA230" s="28"/>
      <c r="DB230" s="28"/>
      <c r="DC230" s="28"/>
      <c r="DD230" s="28"/>
      <c r="DE230" s="28"/>
      <c r="DF230" s="28"/>
      <c r="DG230" s="28"/>
      <c r="DH230" s="28"/>
      <c r="DI230" s="28"/>
      <c r="DJ230" s="28"/>
      <c r="DK230" s="28"/>
      <c r="DL230" s="28"/>
      <c r="DM230" s="28"/>
      <c r="DN230" s="28"/>
      <c r="DO230" s="28"/>
      <c r="DP230" s="28"/>
      <c r="DQ230" s="28"/>
      <c r="DR230" s="28"/>
      <c r="DS230" s="28"/>
      <c r="DT230" s="28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  <c r="EQ230" s="28"/>
      <c r="ER230" s="28"/>
      <c r="ES230" s="28"/>
      <c r="ET230" s="28"/>
      <c r="EU230" s="28"/>
      <c r="EV230" s="28"/>
      <c r="EW230" s="28"/>
      <c r="EX230" s="28"/>
      <c r="EY230" s="28"/>
      <c r="EZ230" s="28"/>
      <c r="FA230" s="28"/>
      <c r="FB230" s="28"/>
      <c r="FC230" s="28"/>
      <c r="FD230" s="28"/>
      <c r="FE230" s="28"/>
      <c r="FF230" s="28"/>
      <c r="FG230" s="28"/>
      <c r="FH230" s="28"/>
      <c r="FI230" s="28"/>
      <c r="FJ230" s="28"/>
      <c r="FK230" s="28"/>
      <c r="FL230" s="28"/>
      <c r="FM230" s="28"/>
      <c r="FN230" s="28"/>
      <c r="FO230" s="28"/>
      <c r="FP230" s="28"/>
      <c r="FQ230" s="28"/>
      <c r="FR230" s="28"/>
      <c r="FS230" s="28"/>
      <c r="FT230" s="28"/>
      <c r="FU230" s="28"/>
      <c r="FV230" s="28"/>
      <c r="FW230" s="28"/>
      <c r="FX230" s="28"/>
      <c r="FY230" s="28"/>
      <c r="FZ230" s="28"/>
      <c r="GA230" s="28"/>
      <c r="GB230" s="28"/>
      <c r="GC230" s="28"/>
      <c r="GD230" s="28"/>
      <c r="GE230" s="28"/>
      <c r="GF230" s="28"/>
      <c r="GG230" s="28"/>
      <c r="GH230" s="28"/>
      <c r="GI230" s="28"/>
      <c r="GJ230" s="28"/>
      <c r="GK230" s="28"/>
      <c r="GL230" s="28"/>
      <c r="GM230" s="28"/>
      <c r="GN230" s="28"/>
      <c r="GO230" s="28"/>
      <c r="GP230" s="28"/>
      <c r="GQ230" s="28"/>
      <c r="GR230" s="28"/>
      <c r="GS230" s="28"/>
      <c r="GT230" s="28"/>
      <c r="GU230" s="28"/>
      <c r="GV230" s="28"/>
      <c r="GW230" s="28"/>
      <c r="GX230" s="28"/>
      <c r="GY230" s="28"/>
      <c r="GZ230" s="28"/>
      <c r="HA230" s="28"/>
      <c r="HB230" s="28"/>
      <c r="HC230" s="28"/>
      <c r="HD230" s="28"/>
      <c r="HE230" s="28"/>
      <c r="HF230" s="28"/>
      <c r="HG230" s="28"/>
      <c r="HH230" s="28"/>
      <c r="HI230" s="28"/>
      <c r="HJ230" s="28"/>
      <c r="HK230" s="28"/>
      <c r="HL230" s="28"/>
      <c r="HM230" s="28"/>
      <c r="HN230" s="28"/>
      <c r="HO230" s="28"/>
      <c r="HP230" s="28"/>
      <c r="HQ230" s="28"/>
      <c r="HR230" s="28"/>
      <c r="HS230" s="28"/>
      <c r="HT230" s="28"/>
      <c r="HU230" s="28"/>
      <c r="HV230" s="28"/>
      <c r="HW230" s="28"/>
      <c r="HX230" s="28"/>
      <c r="HY230" s="28"/>
      <c r="HZ230" s="28"/>
      <c r="IA230" s="28"/>
      <c r="IB230" s="28"/>
      <c r="IC230" s="28"/>
      <c r="ID230" s="28"/>
      <c r="IE230" s="28"/>
      <c r="IF230" s="28"/>
      <c r="IG230" s="28"/>
      <c r="IH230" s="28"/>
      <c r="II230" s="28"/>
      <c r="IJ230" s="28"/>
      <c r="IK230" s="28"/>
      <c r="IL230" s="28"/>
      <c r="IM230" s="28"/>
      <c r="IN230" s="28"/>
      <c r="IO230" s="28"/>
      <c r="IP230" s="28"/>
      <c r="IQ230" s="28"/>
      <c r="IR230" s="26"/>
      <c r="IS230" s="26"/>
      <c r="IT230" s="26"/>
      <c r="IU230" s="26"/>
      <c r="IV230" s="26"/>
    </row>
    <row r="231" ht="11.25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28"/>
      <c r="CC231" s="28"/>
      <c r="CD231" s="28"/>
      <c r="CE231" s="28"/>
      <c r="CF231" s="28"/>
      <c r="CG231" s="28"/>
      <c r="CH231" s="28"/>
      <c r="CI231" s="28"/>
      <c r="CJ231" s="28"/>
      <c r="CK231" s="28"/>
      <c r="CL231" s="28"/>
      <c r="CM231" s="28"/>
      <c r="CN231" s="28"/>
      <c r="CO231" s="28"/>
      <c r="CP231" s="28"/>
      <c r="CQ231" s="28"/>
      <c r="CR231" s="28"/>
      <c r="CS231" s="28"/>
      <c r="CT231" s="28"/>
      <c r="CU231" s="28"/>
      <c r="CV231" s="28"/>
      <c r="CW231" s="28"/>
      <c r="CX231" s="28"/>
      <c r="CY231" s="28"/>
      <c r="CZ231" s="28"/>
      <c r="DA231" s="28"/>
      <c r="DB231" s="28"/>
      <c r="DC231" s="28"/>
      <c r="DD231" s="28"/>
      <c r="DE231" s="28"/>
      <c r="DF231" s="28"/>
      <c r="DG231" s="28"/>
      <c r="DH231" s="28"/>
      <c r="DI231" s="28"/>
      <c r="DJ231" s="28"/>
      <c r="DK231" s="28"/>
      <c r="DL231" s="28"/>
      <c r="DM231" s="28"/>
      <c r="DN231" s="28"/>
      <c r="DO231" s="28"/>
      <c r="DP231" s="28"/>
      <c r="DQ231" s="28"/>
      <c r="DR231" s="28"/>
      <c r="DS231" s="28"/>
      <c r="DT231" s="28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  <c r="EQ231" s="28"/>
      <c r="ER231" s="28"/>
      <c r="ES231" s="28"/>
      <c r="ET231" s="28"/>
      <c r="EU231" s="28"/>
      <c r="EV231" s="28"/>
      <c r="EW231" s="28"/>
      <c r="EX231" s="28"/>
      <c r="EY231" s="28"/>
      <c r="EZ231" s="28"/>
      <c r="FA231" s="28"/>
      <c r="FB231" s="28"/>
      <c r="FC231" s="28"/>
      <c r="FD231" s="28"/>
      <c r="FE231" s="28"/>
      <c r="FF231" s="28"/>
      <c r="FG231" s="28"/>
      <c r="FH231" s="28"/>
      <c r="FI231" s="28"/>
      <c r="FJ231" s="28"/>
      <c r="FK231" s="28"/>
      <c r="FL231" s="28"/>
      <c r="FM231" s="28"/>
      <c r="FN231" s="28"/>
      <c r="FO231" s="28"/>
      <c r="FP231" s="28"/>
      <c r="FQ231" s="28"/>
      <c r="FR231" s="28"/>
      <c r="FS231" s="28"/>
      <c r="FT231" s="28"/>
      <c r="FU231" s="28"/>
      <c r="FV231" s="28"/>
      <c r="FW231" s="28"/>
      <c r="FX231" s="28"/>
      <c r="FY231" s="28"/>
      <c r="FZ231" s="28"/>
      <c r="GA231" s="28"/>
      <c r="GB231" s="28"/>
      <c r="GC231" s="28"/>
      <c r="GD231" s="28"/>
      <c r="GE231" s="28"/>
      <c r="GF231" s="28"/>
      <c r="GG231" s="28"/>
      <c r="GH231" s="28"/>
      <c r="GI231" s="28"/>
      <c r="GJ231" s="28"/>
      <c r="GK231" s="28"/>
      <c r="GL231" s="28"/>
      <c r="GM231" s="28"/>
      <c r="GN231" s="28"/>
      <c r="GO231" s="28"/>
      <c r="GP231" s="28"/>
      <c r="GQ231" s="28"/>
      <c r="GR231" s="28"/>
      <c r="GS231" s="28"/>
      <c r="GT231" s="28"/>
      <c r="GU231" s="28"/>
      <c r="GV231" s="28"/>
      <c r="GW231" s="28"/>
      <c r="GX231" s="28"/>
      <c r="GY231" s="28"/>
      <c r="GZ231" s="28"/>
      <c r="HA231" s="28"/>
      <c r="HB231" s="28"/>
      <c r="HC231" s="28"/>
      <c r="HD231" s="28"/>
      <c r="HE231" s="28"/>
      <c r="HF231" s="28"/>
      <c r="HG231" s="28"/>
      <c r="HH231" s="28"/>
      <c r="HI231" s="28"/>
      <c r="HJ231" s="28"/>
      <c r="HK231" s="28"/>
      <c r="HL231" s="28"/>
      <c r="HM231" s="28"/>
      <c r="HN231" s="28"/>
      <c r="HO231" s="28"/>
      <c r="HP231" s="28"/>
      <c r="HQ231" s="28"/>
      <c r="HR231" s="28"/>
      <c r="HS231" s="28"/>
      <c r="HT231" s="28"/>
      <c r="HU231" s="28"/>
      <c r="HV231" s="28"/>
      <c r="HW231" s="28"/>
      <c r="HX231" s="28"/>
      <c r="HY231" s="28"/>
      <c r="HZ231" s="28"/>
      <c r="IA231" s="28"/>
      <c r="IB231" s="28"/>
      <c r="IC231" s="28"/>
      <c r="ID231" s="28"/>
      <c r="IE231" s="28"/>
      <c r="IF231" s="28"/>
      <c r="IG231" s="28"/>
      <c r="IH231" s="28"/>
      <c r="II231" s="28"/>
      <c r="IJ231" s="28"/>
      <c r="IK231" s="28"/>
      <c r="IL231" s="28"/>
      <c r="IM231" s="28"/>
      <c r="IN231" s="28"/>
      <c r="IO231" s="28"/>
      <c r="IP231" s="28"/>
      <c r="IQ231" s="28"/>
      <c r="IR231" s="26"/>
      <c r="IS231" s="26"/>
      <c r="IT231" s="26"/>
      <c r="IU231" s="26"/>
      <c r="IV231" s="26"/>
    </row>
    <row r="232" ht="11.25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28"/>
      <c r="CC232" s="28"/>
      <c r="CD232" s="28"/>
      <c r="CE232" s="28"/>
      <c r="CF232" s="28"/>
      <c r="CG232" s="28"/>
      <c r="CH232" s="28"/>
      <c r="CI232" s="28"/>
      <c r="CJ232" s="28"/>
      <c r="CK232" s="28"/>
      <c r="CL232" s="28"/>
      <c r="CM232" s="28"/>
      <c r="CN232" s="28"/>
      <c r="CO232" s="28"/>
      <c r="CP232" s="28"/>
      <c r="CQ232" s="28"/>
      <c r="CR232" s="28"/>
      <c r="CS232" s="28"/>
      <c r="CT232" s="28"/>
      <c r="CU232" s="28"/>
      <c r="CV232" s="28"/>
      <c r="CW232" s="28"/>
      <c r="CX232" s="28"/>
      <c r="CY232" s="28"/>
      <c r="CZ232" s="28"/>
      <c r="DA232" s="28"/>
      <c r="DB232" s="28"/>
      <c r="DC232" s="28"/>
      <c r="DD232" s="28"/>
      <c r="DE232" s="28"/>
      <c r="DF232" s="28"/>
      <c r="DG232" s="28"/>
      <c r="DH232" s="28"/>
      <c r="DI232" s="28"/>
      <c r="DJ232" s="28"/>
      <c r="DK232" s="28"/>
      <c r="DL232" s="28"/>
      <c r="DM232" s="28"/>
      <c r="DN232" s="28"/>
      <c r="DO232" s="28"/>
      <c r="DP232" s="28"/>
      <c r="DQ232" s="28"/>
      <c r="DR232" s="28"/>
      <c r="DS232" s="28"/>
      <c r="DT232" s="28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  <c r="EQ232" s="28"/>
      <c r="ER232" s="28"/>
      <c r="ES232" s="28"/>
      <c r="ET232" s="28"/>
      <c r="EU232" s="28"/>
      <c r="EV232" s="28"/>
      <c r="EW232" s="28"/>
      <c r="EX232" s="28"/>
      <c r="EY232" s="28"/>
      <c r="EZ232" s="28"/>
      <c r="FA232" s="28"/>
      <c r="FB232" s="28"/>
      <c r="FC232" s="28"/>
      <c r="FD232" s="28"/>
      <c r="FE232" s="28"/>
      <c r="FF232" s="28"/>
      <c r="FG232" s="28"/>
      <c r="FH232" s="28"/>
      <c r="FI232" s="28"/>
      <c r="FJ232" s="28"/>
      <c r="FK232" s="28"/>
      <c r="FL232" s="28"/>
      <c r="FM232" s="28"/>
      <c r="FN232" s="28"/>
      <c r="FO232" s="28"/>
      <c r="FP232" s="28"/>
      <c r="FQ232" s="28"/>
      <c r="FR232" s="28"/>
      <c r="FS232" s="28"/>
      <c r="FT232" s="28"/>
      <c r="FU232" s="28"/>
      <c r="FV232" s="28"/>
      <c r="FW232" s="28"/>
      <c r="FX232" s="28"/>
      <c r="FY232" s="28"/>
      <c r="FZ232" s="28"/>
      <c r="GA232" s="28"/>
      <c r="GB232" s="28"/>
      <c r="GC232" s="28"/>
      <c r="GD232" s="28"/>
      <c r="GE232" s="28"/>
      <c r="GF232" s="28"/>
      <c r="GG232" s="28"/>
      <c r="GH232" s="28"/>
      <c r="GI232" s="28"/>
      <c r="GJ232" s="28"/>
      <c r="GK232" s="28"/>
      <c r="GL232" s="28"/>
      <c r="GM232" s="28"/>
      <c r="GN232" s="28"/>
      <c r="GO232" s="28"/>
      <c r="GP232" s="28"/>
      <c r="GQ232" s="28"/>
      <c r="GR232" s="28"/>
      <c r="GS232" s="28"/>
      <c r="GT232" s="28"/>
      <c r="GU232" s="28"/>
      <c r="GV232" s="28"/>
      <c r="GW232" s="28"/>
      <c r="GX232" s="28"/>
      <c r="GY232" s="28"/>
      <c r="GZ232" s="28"/>
      <c r="HA232" s="28"/>
      <c r="HB232" s="28"/>
      <c r="HC232" s="28"/>
      <c r="HD232" s="28"/>
      <c r="HE232" s="28"/>
      <c r="HF232" s="28"/>
      <c r="HG232" s="28"/>
      <c r="HH232" s="28"/>
      <c r="HI232" s="28"/>
      <c r="HJ232" s="28"/>
      <c r="HK232" s="28"/>
      <c r="HL232" s="28"/>
      <c r="HM232" s="28"/>
      <c r="HN232" s="28"/>
      <c r="HO232" s="28"/>
      <c r="HP232" s="28"/>
      <c r="HQ232" s="28"/>
      <c r="HR232" s="28"/>
      <c r="HS232" s="28"/>
      <c r="HT232" s="28"/>
      <c r="HU232" s="28"/>
      <c r="HV232" s="28"/>
      <c r="HW232" s="28"/>
      <c r="HX232" s="28"/>
      <c r="HY232" s="28"/>
      <c r="HZ232" s="28"/>
      <c r="IA232" s="28"/>
      <c r="IB232" s="28"/>
      <c r="IC232" s="28"/>
      <c r="ID232" s="28"/>
      <c r="IE232" s="28"/>
      <c r="IF232" s="28"/>
      <c r="IG232" s="28"/>
      <c r="IH232" s="28"/>
      <c r="II232" s="28"/>
      <c r="IJ232" s="28"/>
      <c r="IK232" s="28"/>
      <c r="IL232" s="28"/>
      <c r="IM232" s="28"/>
      <c r="IN232" s="28"/>
      <c r="IO232" s="28"/>
      <c r="IP232" s="28"/>
      <c r="IQ232" s="28"/>
      <c r="IR232" s="26"/>
      <c r="IS232" s="26"/>
      <c r="IT232" s="26"/>
      <c r="IU232" s="26"/>
      <c r="IV232" s="26"/>
    </row>
    <row r="233" ht="11.25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  <c r="BV233" s="28"/>
      <c r="BW233" s="28"/>
      <c r="BX233" s="28"/>
      <c r="BY233" s="28"/>
      <c r="BZ233" s="28"/>
      <c r="CA233" s="28"/>
      <c r="CB233" s="28"/>
      <c r="CC233" s="28"/>
      <c r="CD233" s="28"/>
      <c r="CE233" s="28"/>
      <c r="CF233" s="28"/>
      <c r="CG233" s="28"/>
      <c r="CH233" s="28"/>
      <c r="CI233" s="28"/>
      <c r="CJ233" s="28"/>
      <c r="CK233" s="28"/>
      <c r="CL233" s="28"/>
      <c r="CM233" s="28"/>
      <c r="CN233" s="28"/>
      <c r="CO233" s="28"/>
      <c r="CP233" s="28"/>
      <c r="CQ233" s="28"/>
      <c r="CR233" s="28"/>
      <c r="CS233" s="28"/>
      <c r="CT233" s="28"/>
      <c r="CU233" s="28"/>
      <c r="CV233" s="28"/>
      <c r="CW233" s="28"/>
      <c r="CX233" s="28"/>
      <c r="CY233" s="28"/>
      <c r="CZ233" s="28"/>
      <c r="DA233" s="28"/>
      <c r="DB233" s="28"/>
      <c r="DC233" s="28"/>
      <c r="DD233" s="28"/>
      <c r="DE233" s="28"/>
      <c r="DF233" s="28"/>
      <c r="DG233" s="28"/>
      <c r="DH233" s="28"/>
      <c r="DI233" s="28"/>
      <c r="DJ233" s="28"/>
      <c r="DK233" s="28"/>
      <c r="DL233" s="28"/>
      <c r="DM233" s="28"/>
      <c r="DN233" s="28"/>
      <c r="DO233" s="28"/>
      <c r="DP233" s="28"/>
      <c r="DQ233" s="28"/>
      <c r="DR233" s="28"/>
      <c r="DS233" s="28"/>
      <c r="DT233" s="28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  <c r="EQ233" s="28"/>
      <c r="ER233" s="28"/>
      <c r="ES233" s="28"/>
      <c r="ET233" s="28"/>
      <c r="EU233" s="28"/>
      <c r="EV233" s="28"/>
      <c r="EW233" s="28"/>
      <c r="EX233" s="28"/>
      <c r="EY233" s="28"/>
      <c r="EZ233" s="28"/>
      <c r="FA233" s="28"/>
      <c r="FB233" s="28"/>
      <c r="FC233" s="28"/>
      <c r="FD233" s="28"/>
      <c r="FE233" s="28"/>
      <c r="FF233" s="28"/>
      <c r="FG233" s="28"/>
      <c r="FH233" s="28"/>
      <c r="FI233" s="28"/>
      <c r="FJ233" s="28"/>
      <c r="FK233" s="28"/>
      <c r="FL233" s="28"/>
      <c r="FM233" s="28"/>
      <c r="FN233" s="28"/>
      <c r="FO233" s="28"/>
      <c r="FP233" s="28"/>
      <c r="FQ233" s="28"/>
      <c r="FR233" s="28"/>
      <c r="FS233" s="28"/>
      <c r="FT233" s="28"/>
      <c r="FU233" s="28"/>
      <c r="FV233" s="28"/>
      <c r="FW233" s="28"/>
      <c r="FX233" s="28"/>
      <c r="FY233" s="28"/>
      <c r="FZ233" s="28"/>
      <c r="GA233" s="28"/>
      <c r="GB233" s="28"/>
      <c r="GC233" s="28"/>
      <c r="GD233" s="28"/>
      <c r="GE233" s="28"/>
      <c r="GF233" s="28"/>
      <c r="GG233" s="28"/>
      <c r="GH233" s="28"/>
      <c r="GI233" s="28"/>
      <c r="GJ233" s="28"/>
      <c r="GK233" s="28"/>
      <c r="GL233" s="28"/>
      <c r="GM233" s="28"/>
      <c r="GN233" s="28"/>
      <c r="GO233" s="28"/>
      <c r="GP233" s="28"/>
      <c r="GQ233" s="28"/>
      <c r="GR233" s="28"/>
      <c r="GS233" s="28"/>
      <c r="GT233" s="28"/>
      <c r="GU233" s="28"/>
      <c r="GV233" s="28"/>
      <c r="GW233" s="28"/>
      <c r="GX233" s="28"/>
      <c r="GY233" s="28"/>
      <c r="GZ233" s="28"/>
      <c r="HA233" s="28"/>
      <c r="HB233" s="28"/>
      <c r="HC233" s="28"/>
      <c r="HD233" s="28"/>
      <c r="HE233" s="28"/>
      <c r="HF233" s="28"/>
      <c r="HG233" s="28"/>
      <c r="HH233" s="28"/>
      <c r="HI233" s="28"/>
      <c r="HJ233" s="28"/>
      <c r="HK233" s="28"/>
      <c r="HL233" s="28"/>
      <c r="HM233" s="28"/>
      <c r="HN233" s="28"/>
      <c r="HO233" s="28"/>
      <c r="HP233" s="28"/>
      <c r="HQ233" s="28"/>
      <c r="HR233" s="28"/>
      <c r="HS233" s="28"/>
      <c r="HT233" s="28"/>
      <c r="HU233" s="28"/>
      <c r="HV233" s="28"/>
      <c r="HW233" s="28"/>
      <c r="HX233" s="28"/>
      <c r="HY233" s="28"/>
      <c r="HZ233" s="28"/>
      <c r="IA233" s="28"/>
      <c r="IB233" s="28"/>
      <c r="IC233" s="28"/>
      <c r="ID233" s="28"/>
      <c r="IE233" s="28"/>
      <c r="IF233" s="28"/>
      <c r="IG233" s="28"/>
      <c r="IH233" s="28"/>
      <c r="II233" s="28"/>
      <c r="IJ233" s="28"/>
      <c r="IK233" s="28"/>
      <c r="IL233" s="28"/>
      <c r="IM233" s="28"/>
      <c r="IN233" s="28"/>
      <c r="IO233" s="28"/>
      <c r="IP233" s="28"/>
      <c r="IQ233" s="28"/>
      <c r="IR233" s="26"/>
      <c r="IS233" s="26"/>
      <c r="IT233" s="26"/>
      <c r="IU233" s="26"/>
      <c r="IV233" s="26"/>
    </row>
    <row r="234" ht="11.25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28"/>
      <c r="CC234" s="28"/>
      <c r="CD234" s="28"/>
      <c r="CE234" s="28"/>
      <c r="CF234" s="28"/>
      <c r="CG234" s="28"/>
      <c r="CH234" s="28"/>
      <c r="CI234" s="28"/>
      <c r="CJ234" s="28"/>
      <c r="CK234" s="28"/>
      <c r="CL234" s="28"/>
      <c r="CM234" s="28"/>
      <c r="CN234" s="28"/>
      <c r="CO234" s="28"/>
      <c r="CP234" s="28"/>
      <c r="CQ234" s="28"/>
      <c r="CR234" s="28"/>
      <c r="CS234" s="28"/>
      <c r="CT234" s="28"/>
      <c r="CU234" s="28"/>
      <c r="CV234" s="28"/>
      <c r="CW234" s="28"/>
      <c r="CX234" s="28"/>
      <c r="CY234" s="28"/>
      <c r="CZ234" s="28"/>
      <c r="DA234" s="28"/>
      <c r="DB234" s="28"/>
      <c r="DC234" s="28"/>
      <c r="DD234" s="28"/>
      <c r="DE234" s="28"/>
      <c r="DF234" s="28"/>
      <c r="DG234" s="28"/>
      <c r="DH234" s="28"/>
      <c r="DI234" s="28"/>
      <c r="DJ234" s="28"/>
      <c r="DK234" s="28"/>
      <c r="DL234" s="28"/>
      <c r="DM234" s="28"/>
      <c r="DN234" s="28"/>
      <c r="DO234" s="28"/>
      <c r="DP234" s="28"/>
      <c r="DQ234" s="28"/>
      <c r="DR234" s="28"/>
      <c r="DS234" s="28"/>
      <c r="DT234" s="28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  <c r="EQ234" s="28"/>
      <c r="ER234" s="28"/>
      <c r="ES234" s="28"/>
      <c r="ET234" s="28"/>
      <c r="EU234" s="28"/>
      <c r="EV234" s="28"/>
      <c r="EW234" s="28"/>
      <c r="EX234" s="28"/>
      <c r="EY234" s="28"/>
      <c r="EZ234" s="28"/>
      <c r="FA234" s="28"/>
      <c r="FB234" s="28"/>
      <c r="FC234" s="28"/>
      <c r="FD234" s="28"/>
      <c r="FE234" s="28"/>
      <c r="FF234" s="28"/>
      <c r="FG234" s="28"/>
      <c r="FH234" s="28"/>
      <c r="FI234" s="28"/>
      <c r="FJ234" s="28"/>
      <c r="FK234" s="28"/>
      <c r="FL234" s="28"/>
      <c r="FM234" s="28"/>
      <c r="FN234" s="28"/>
      <c r="FO234" s="28"/>
      <c r="FP234" s="28"/>
      <c r="FQ234" s="28"/>
      <c r="FR234" s="28"/>
      <c r="FS234" s="28"/>
      <c r="FT234" s="28"/>
      <c r="FU234" s="28"/>
      <c r="FV234" s="28"/>
      <c r="FW234" s="28"/>
      <c r="FX234" s="28"/>
      <c r="FY234" s="28"/>
      <c r="FZ234" s="28"/>
      <c r="GA234" s="28"/>
      <c r="GB234" s="28"/>
      <c r="GC234" s="28"/>
      <c r="GD234" s="28"/>
      <c r="GE234" s="28"/>
      <c r="GF234" s="28"/>
      <c r="GG234" s="28"/>
      <c r="GH234" s="28"/>
      <c r="GI234" s="28"/>
      <c r="GJ234" s="28"/>
      <c r="GK234" s="28"/>
      <c r="GL234" s="28"/>
      <c r="GM234" s="28"/>
      <c r="GN234" s="28"/>
      <c r="GO234" s="28"/>
      <c r="GP234" s="28"/>
      <c r="GQ234" s="28"/>
      <c r="GR234" s="28"/>
      <c r="GS234" s="28"/>
      <c r="GT234" s="28"/>
      <c r="GU234" s="28"/>
      <c r="GV234" s="28"/>
      <c r="GW234" s="28"/>
      <c r="GX234" s="28"/>
      <c r="GY234" s="28"/>
      <c r="GZ234" s="28"/>
      <c r="HA234" s="28"/>
      <c r="HB234" s="28"/>
      <c r="HC234" s="28"/>
      <c r="HD234" s="28"/>
      <c r="HE234" s="28"/>
      <c r="HF234" s="28"/>
      <c r="HG234" s="28"/>
      <c r="HH234" s="28"/>
      <c r="HI234" s="28"/>
      <c r="HJ234" s="28"/>
      <c r="HK234" s="28"/>
      <c r="HL234" s="28"/>
      <c r="HM234" s="28"/>
      <c r="HN234" s="28"/>
      <c r="HO234" s="28"/>
      <c r="HP234" s="28"/>
      <c r="HQ234" s="28"/>
      <c r="HR234" s="28"/>
      <c r="HS234" s="28"/>
      <c r="HT234" s="28"/>
      <c r="HU234" s="28"/>
      <c r="HV234" s="28"/>
      <c r="HW234" s="28"/>
      <c r="HX234" s="28"/>
      <c r="HY234" s="28"/>
      <c r="HZ234" s="28"/>
      <c r="IA234" s="28"/>
      <c r="IB234" s="28"/>
      <c r="IC234" s="28"/>
      <c r="ID234" s="28"/>
      <c r="IE234" s="28"/>
      <c r="IF234" s="28"/>
      <c r="IG234" s="28"/>
      <c r="IH234" s="28"/>
      <c r="II234" s="28"/>
      <c r="IJ234" s="28"/>
      <c r="IK234" s="28"/>
      <c r="IL234" s="28"/>
      <c r="IM234" s="28"/>
      <c r="IN234" s="28"/>
      <c r="IO234" s="28"/>
      <c r="IP234" s="28"/>
      <c r="IQ234" s="28"/>
      <c r="IR234" s="26"/>
      <c r="IS234" s="26"/>
      <c r="IT234" s="26"/>
      <c r="IU234" s="26"/>
      <c r="IV234" s="26"/>
    </row>
    <row r="235" ht="11.25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  <c r="BV235" s="28"/>
      <c r="BW235" s="28"/>
      <c r="BX235" s="28"/>
      <c r="BY235" s="28"/>
      <c r="BZ235" s="28"/>
      <c r="CA235" s="28"/>
      <c r="CB235" s="28"/>
      <c r="CC235" s="28"/>
      <c r="CD235" s="28"/>
      <c r="CE235" s="28"/>
      <c r="CF235" s="28"/>
      <c r="CG235" s="28"/>
      <c r="CH235" s="28"/>
      <c r="CI235" s="28"/>
      <c r="CJ235" s="28"/>
      <c r="CK235" s="28"/>
      <c r="CL235" s="28"/>
      <c r="CM235" s="28"/>
      <c r="CN235" s="28"/>
      <c r="CO235" s="28"/>
      <c r="CP235" s="28"/>
      <c r="CQ235" s="28"/>
      <c r="CR235" s="28"/>
      <c r="CS235" s="28"/>
      <c r="CT235" s="28"/>
      <c r="CU235" s="28"/>
      <c r="CV235" s="28"/>
      <c r="CW235" s="28"/>
      <c r="CX235" s="28"/>
      <c r="CY235" s="28"/>
      <c r="CZ235" s="28"/>
      <c r="DA235" s="28"/>
      <c r="DB235" s="28"/>
      <c r="DC235" s="28"/>
      <c r="DD235" s="28"/>
      <c r="DE235" s="28"/>
      <c r="DF235" s="28"/>
      <c r="DG235" s="28"/>
      <c r="DH235" s="28"/>
      <c r="DI235" s="28"/>
      <c r="DJ235" s="28"/>
      <c r="DK235" s="28"/>
      <c r="DL235" s="28"/>
      <c r="DM235" s="28"/>
      <c r="DN235" s="28"/>
      <c r="DO235" s="28"/>
      <c r="DP235" s="28"/>
      <c r="DQ235" s="28"/>
      <c r="DR235" s="28"/>
      <c r="DS235" s="28"/>
      <c r="DT235" s="28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  <c r="EQ235" s="28"/>
      <c r="ER235" s="28"/>
      <c r="ES235" s="28"/>
      <c r="ET235" s="28"/>
      <c r="EU235" s="28"/>
      <c r="EV235" s="28"/>
      <c r="EW235" s="28"/>
      <c r="EX235" s="28"/>
      <c r="EY235" s="28"/>
      <c r="EZ235" s="28"/>
      <c r="FA235" s="28"/>
      <c r="FB235" s="28"/>
      <c r="FC235" s="28"/>
      <c r="FD235" s="28"/>
      <c r="FE235" s="28"/>
      <c r="FF235" s="28"/>
      <c r="FG235" s="28"/>
      <c r="FH235" s="28"/>
      <c r="FI235" s="28"/>
      <c r="FJ235" s="28"/>
      <c r="FK235" s="28"/>
      <c r="FL235" s="28"/>
      <c r="FM235" s="28"/>
      <c r="FN235" s="28"/>
      <c r="FO235" s="28"/>
      <c r="FP235" s="28"/>
      <c r="FQ235" s="28"/>
      <c r="FR235" s="28"/>
      <c r="FS235" s="28"/>
      <c r="FT235" s="28"/>
      <c r="FU235" s="28"/>
      <c r="FV235" s="28"/>
      <c r="FW235" s="28"/>
      <c r="FX235" s="28"/>
      <c r="FY235" s="28"/>
      <c r="FZ235" s="28"/>
      <c r="GA235" s="28"/>
      <c r="GB235" s="28"/>
      <c r="GC235" s="28"/>
      <c r="GD235" s="28"/>
      <c r="GE235" s="28"/>
      <c r="GF235" s="28"/>
      <c r="GG235" s="28"/>
      <c r="GH235" s="28"/>
      <c r="GI235" s="28"/>
      <c r="GJ235" s="28"/>
      <c r="GK235" s="28"/>
      <c r="GL235" s="28"/>
      <c r="GM235" s="28"/>
      <c r="GN235" s="28"/>
      <c r="GO235" s="28"/>
      <c r="GP235" s="28"/>
      <c r="GQ235" s="28"/>
      <c r="GR235" s="28"/>
      <c r="GS235" s="28"/>
      <c r="GT235" s="28"/>
      <c r="GU235" s="28"/>
      <c r="GV235" s="28"/>
      <c r="GW235" s="28"/>
      <c r="GX235" s="28"/>
      <c r="GY235" s="28"/>
      <c r="GZ235" s="28"/>
      <c r="HA235" s="28"/>
      <c r="HB235" s="28"/>
      <c r="HC235" s="28"/>
      <c r="HD235" s="28"/>
      <c r="HE235" s="28"/>
      <c r="HF235" s="28"/>
      <c r="HG235" s="28"/>
      <c r="HH235" s="28"/>
      <c r="HI235" s="28"/>
      <c r="HJ235" s="28"/>
      <c r="HK235" s="28"/>
      <c r="HL235" s="28"/>
      <c r="HM235" s="28"/>
      <c r="HN235" s="28"/>
      <c r="HO235" s="28"/>
      <c r="HP235" s="28"/>
      <c r="HQ235" s="28"/>
      <c r="HR235" s="28"/>
      <c r="HS235" s="28"/>
      <c r="HT235" s="28"/>
      <c r="HU235" s="28"/>
      <c r="HV235" s="28"/>
      <c r="HW235" s="28"/>
      <c r="HX235" s="28"/>
      <c r="HY235" s="28"/>
      <c r="HZ235" s="28"/>
      <c r="IA235" s="28"/>
      <c r="IB235" s="28"/>
      <c r="IC235" s="28"/>
      <c r="ID235" s="28"/>
      <c r="IE235" s="28"/>
      <c r="IF235" s="28"/>
      <c r="IG235" s="28"/>
      <c r="IH235" s="28"/>
      <c r="II235" s="28"/>
      <c r="IJ235" s="28"/>
      <c r="IK235" s="28"/>
      <c r="IL235" s="28"/>
      <c r="IM235" s="28"/>
      <c r="IN235" s="28"/>
      <c r="IO235" s="28"/>
      <c r="IP235" s="28"/>
      <c r="IQ235" s="28"/>
      <c r="IR235" s="26"/>
      <c r="IS235" s="26"/>
      <c r="IT235" s="26"/>
      <c r="IU235" s="26"/>
      <c r="IV235" s="26"/>
    </row>
    <row r="236" ht="11.25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  <c r="BV236" s="28"/>
      <c r="BW236" s="28"/>
      <c r="BX236" s="28"/>
      <c r="BY236" s="28"/>
      <c r="BZ236" s="28"/>
      <c r="CA236" s="28"/>
      <c r="CB236" s="28"/>
      <c r="CC236" s="28"/>
      <c r="CD236" s="28"/>
      <c r="CE236" s="28"/>
      <c r="CF236" s="28"/>
      <c r="CG236" s="28"/>
      <c r="CH236" s="28"/>
      <c r="CI236" s="28"/>
      <c r="CJ236" s="28"/>
      <c r="CK236" s="28"/>
      <c r="CL236" s="28"/>
      <c r="CM236" s="28"/>
      <c r="CN236" s="28"/>
      <c r="CO236" s="28"/>
      <c r="CP236" s="28"/>
      <c r="CQ236" s="28"/>
      <c r="CR236" s="28"/>
      <c r="CS236" s="28"/>
      <c r="CT236" s="28"/>
      <c r="CU236" s="28"/>
      <c r="CV236" s="28"/>
      <c r="CW236" s="28"/>
      <c r="CX236" s="28"/>
      <c r="CY236" s="28"/>
      <c r="CZ236" s="28"/>
      <c r="DA236" s="28"/>
      <c r="DB236" s="28"/>
      <c r="DC236" s="28"/>
      <c r="DD236" s="28"/>
      <c r="DE236" s="28"/>
      <c r="DF236" s="28"/>
      <c r="DG236" s="28"/>
      <c r="DH236" s="28"/>
      <c r="DI236" s="28"/>
      <c r="DJ236" s="28"/>
      <c r="DK236" s="28"/>
      <c r="DL236" s="28"/>
      <c r="DM236" s="28"/>
      <c r="DN236" s="28"/>
      <c r="DO236" s="28"/>
      <c r="DP236" s="28"/>
      <c r="DQ236" s="28"/>
      <c r="DR236" s="28"/>
      <c r="DS236" s="28"/>
      <c r="DT236" s="28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  <c r="EQ236" s="28"/>
      <c r="ER236" s="28"/>
      <c r="ES236" s="28"/>
      <c r="ET236" s="28"/>
      <c r="EU236" s="28"/>
      <c r="EV236" s="28"/>
      <c r="EW236" s="28"/>
      <c r="EX236" s="28"/>
      <c r="EY236" s="28"/>
      <c r="EZ236" s="28"/>
      <c r="FA236" s="28"/>
      <c r="FB236" s="28"/>
      <c r="FC236" s="28"/>
      <c r="FD236" s="28"/>
      <c r="FE236" s="28"/>
      <c r="FF236" s="28"/>
      <c r="FG236" s="28"/>
      <c r="FH236" s="28"/>
      <c r="FI236" s="28"/>
      <c r="FJ236" s="28"/>
      <c r="FK236" s="28"/>
      <c r="FL236" s="28"/>
      <c r="FM236" s="28"/>
      <c r="FN236" s="28"/>
      <c r="FO236" s="28"/>
      <c r="FP236" s="28"/>
      <c r="FQ236" s="28"/>
      <c r="FR236" s="28"/>
      <c r="FS236" s="28"/>
      <c r="FT236" s="28"/>
      <c r="FU236" s="28"/>
      <c r="FV236" s="28"/>
      <c r="FW236" s="28"/>
      <c r="FX236" s="28"/>
      <c r="FY236" s="28"/>
      <c r="FZ236" s="28"/>
      <c r="GA236" s="28"/>
      <c r="GB236" s="28"/>
      <c r="GC236" s="28"/>
      <c r="GD236" s="28"/>
      <c r="GE236" s="28"/>
      <c r="GF236" s="28"/>
      <c r="GG236" s="28"/>
      <c r="GH236" s="28"/>
      <c r="GI236" s="28"/>
      <c r="GJ236" s="28"/>
      <c r="GK236" s="28"/>
      <c r="GL236" s="28"/>
      <c r="GM236" s="28"/>
      <c r="GN236" s="28"/>
      <c r="GO236" s="28"/>
      <c r="GP236" s="28"/>
      <c r="GQ236" s="28"/>
      <c r="GR236" s="28"/>
      <c r="GS236" s="28"/>
      <c r="GT236" s="28"/>
      <c r="GU236" s="28"/>
      <c r="GV236" s="28"/>
      <c r="GW236" s="28"/>
      <c r="GX236" s="28"/>
      <c r="GY236" s="28"/>
      <c r="GZ236" s="28"/>
      <c r="HA236" s="28"/>
      <c r="HB236" s="28"/>
      <c r="HC236" s="28"/>
      <c r="HD236" s="28"/>
      <c r="HE236" s="28"/>
      <c r="HF236" s="28"/>
      <c r="HG236" s="28"/>
      <c r="HH236" s="28"/>
      <c r="HI236" s="28"/>
      <c r="HJ236" s="28"/>
      <c r="HK236" s="28"/>
      <c r="HL236" s="28"/>
      <c r="HM236" s="28"/>
      <c r="HN236" s="28"/>
      <c r="HO236" s="28"/>
      <c r="HP236" s="28"/>
      <c r="HQ236" s="28"/>
      <c r="HR236" s="28"/>
      <c r="HS236" s="28"/>
      <c r="HT236" s="28"/>
      <c r="HU236" s="28"/>
      <c r="HV236" s="28"/>
      <c r="HW236" s="28"/>
      <c r="HX236" s="28"/>
      <c r="HY236" s="28"/>
      <c r="HZ236" s="28"/>
      <c r="IA236" s="28"/>
      <c r="IB236" s="28"/>
      <c r="IC236" s="28"/>
      <c r="ID236" s="28"/>
      <c r="IE236" s="28"/>
      <c r="IF236" s="28"/>
      <c r="IG236" s="28"/>
      <c r="IH236" s="28"/>
      <c r="II236" s="28"/>
      <c r="IJ236" s="28"/>
      <c r="IK236" s="28"/>
      <c r="IL236" s="28"/>
      <c r="IM236" s="28"/>
      <c r="IN236" s="28"/>
      <c r="IO236" s="28"/>
      <c r="IP236" s="28"/>
      <c r="IQ236" s="28"/>
      <c r="IR236" s="26"/>
      <c r="IS236" s="26"/>
      <c r="IT236" s="26"/>
      <c r="IU236" s="26"/>
      <c r="IV236" s="26"/>
    </row>
    <row r="237" ht="11.25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  <c r="BV237" s="28"/>
      <c r="BW237" s="28"/>
      <c r="BX237" s="28"/>
      <c r="BY237" s="28"/>
      <c r="BZ237" s="28"/>
      <c r="CA237" s="28"/>
      <c r="CB237" s="28"/>
      <c r="CC237" s="28"/>
      <c r="CD237" s="28"/>
      <c r="CE237" s="28"/>
      <c r="CF237" s="28"/>
      <c r="CG237" s="28"/>
      <c r="CH237" s="28"/>
      <c r="CI237" s="28"/>
      <c r="CJ237" s="28"/>
      <c r="CK237" s="28"/>
      <c r="CL237" s="28"/>
      <c r="CM237" s="28"/>
      <c r="CN237" s="28"/>
      <c r="CO237" s="28"/>
      <c r="CP237" s="28"/>
      <c r="CQ237" s="28"/>
      <c r="CR237" s="28"/>
      <c r="CS237" s="28"/>
      <c r="CT237" s="28"/>
      <c r="CU237" s="28"/>
      <c r="CV237" s="28"/>
      <c r="CW237" s="28"/>
      <c r="CX237" s="28"/>
      <c r="CY237" s="28"/>
      <c r="CZ237" s="28"/>
      <c r="DA237" s="28"/>
      <c r="DB237" s="28"/>
      <c r="DC237" s="28"/>
      <c r="DD237" s="28"/>
      <c r="DE237" s="28"/>
      <c r="DF237" s="28"/>
      <c r="DG237" s="28"/>
      <c r="DH237" s="28"/>
      <c r="DI237" s="28"/>
      <c r="DJ237" s="28"/>
      <c r="DK237" s="28"/>
      <c r="DL237" s="28"/>
      <c r="DM237" s="28"/>
      <c r="DN237" s="28"/>
      <c r="DO237" s="28"/>
      <c r="DP237" s="28"/>
      <c r="DQ237" s="28"/>
      <c r="DR237" s="28"/>
      <c r="DS237" s="28"/>
      <c r="DT237" s="28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  <c r="EQ237" s="28"/>
      <c r="ER237" s="28"/>
      <c r="ES237" s="28"/>
      <c r="ET237" s="28"/>
      <c r="EU237" s="28"/>
      <c r="EV237" s="28"/>
      <c r="EW237" s="28"/>
      <c r="EX237" s="28"/>
      <c r="EY237" s="28"/>
      <c r="EZ237" s="28"/>
      <c r="FA237" s="28"/>
      <c r="FB237" s="28"/>
      <c r="FC237" s="28"/>
      <c r="FD237" s="28"/>
      <c r="FE237" s="28"/>
      <c r="FF237" s="28"/>
      <c r="FG237" s="28"/>
      <c r="FH237" s="28"/>
      <c r="FI237" s="28"/>
      <c r="FJ237" s="28"/>
      <c r="FK237" s="28"/>
      <c r="FL237" s="28"/>
      <c r="FM237" s="28"/>
      <c r="FN237" s="28"/>
      <c r="FO237" s="28"/>
      <c r="FP237" s="28"/>
      <c r="FQ237" s="28"/>
      <c r="FR237" s="28"/>
      <c r="FS237" s="28"/>
      <c r="FT237" s="28"/>
      <c r="FU237" s="28"/>
      <c r="FV237" s="28"/>
      <c r="FW237" s="28"/>
      <c r="FX237" s="28"/>
      <c r="FY237" s="28"/>
      <c r="FZ237" s="28"/>
      <c r="GA237" s="28"/>
      <c r="GB237" s="28"/>
      <c r="GC237" s="28"/>
      <c r="GD237" s="28"/>
      <c r="GE237" s="28"/>
      <c r="GF237" s="28"/>
      <c r="GG237" s="28"/>
      <c r="GH237" s="28"/>
      <c r="GI237" s="28"/>
      <c r="GJ237" s="28"/>
      <c r="GK237" s="28"/>
      <c r="GL237" s="28"/>
      <c r="GM237" s="28"/>
      <c r="GN237" s="28"/>
      <c r="GO237" s="28"/>
      <c r="GP237" s="28"/>
      <c r="GQ237" s="28"/>
      <c r="GR237" s="28"/>
      <c r="GS237" s="28"/>
      <c r="GT237" s="28"/>
      <c r="GU237" s="28"/>
      <c r="GV237" s="28"/>
      <c r="GW237" s="28"/>
      <c r="GX237" s="28"/>
      <c r="GY237" s="28"/>
      <c r="GZ237" s="28"/>
      <c r="HA237" s="28"/>
      <c r="HB237" s="28"/>
      <c r="HC237" s="28"/>
      <c r="HD237" s="28"/>
      <c r="HE237" s="28"/>
      <c r="HF237" s="28"/>
      <c r="HG237" s="28"/>
      <c r="HH237" s="28"/>
      <c r="HI237" s="28"/>
      <c r="HJ237" s="28"/>
      <c r="HK237" s="28"/>
      <c r="HL237" s="28"/>
      <c r="HM237" s="28"/>
      <c r="HN237" s="28"/>
      <c r="HO237" s="28"/>
      <c r="HP237" s="28"/>
      <c r="HQ237" s="28"/>
      <c r="HR237" s="28"/>
      <c r="HS237" s="28"/>
      <c r="HT237" s="28"/>
      <c r="HU237" s="28"/>
      <c r="HV237" s="28"/>
      <c r="HW237" s="28"/>
      <c r="HX237" s="28"/>
      <c r="HY237" s="28"/>
      <c r="HZ237" s="28"/>
      <c r="IA237" s="28"/>
      <c r="IB237" s="28"/>
      <c r="IC237" s="28"/>
      <c r="ID237" s="28"/>
      <c r="IE237" s="28"/>
      <c r="IF237" s="28"/>
      <c r="IG237" s="28"/>
      <c r="IH237" s="28"/>
      <c r="II237" s="28"/>
      <c r="IJ237" s="28"/>
      <c r="IK237" s="28"/>
      <c r="IL237" s="28"/>
      <c r="IM237" s="28"/>
      <c r="IN237" s="28"/>
      <c r="IO237" s="28"/>
      <c r="IP237" s="28"/>
      <c r="IQ237" s="28"/>
      <c r="IR237" s="26"/>
      <c r="IS237" s="26"/>
      <c r="IT237" s="26"/>
      <c r="IU237" s="26"/>
      <c r="IV237" s="26"/>
    </row>
    <row r="238" ht="11.25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  <c r="BV238" s="28"/>
      <c r="BW238" s="28"/>
      <c r="BX238" s="28"/>
      <c r="BY238" s="28"/>
      <c r="BZ238" s="28"/>
      <c r="CA238" s="28"/>
      <c r="CB238" s="28"/>
      <c r="CC238" s="28"/>
      <c r="CD238" s="28"/>
      <c r="CE238" s="28"/>
      <c r="CF238" s="28"/>
      <c r="CG238" s="28"/>
      <c r="CH238" s="28"/>
      <c r="CI238" s="28"/>
      <c r="CJ238" s="28"/>
      <c r="CK238" s="28"/>
      <c r="CL238" s="28"/>
      <c r="CM238" s="28"/>
      <c r="CN238" s="28"/>
      <c r="CO238" s="28"/>
      <c r="CP238" s="28"/>
      <c r="CQ238" s="28"/>
      <c r="CR238" s="28"/>
      <c r="CS238" s="28"/>
      <c r="CT238" s="28"/>
      <c r="CU238" s="28"/>
      <c r="CV238" s="28"/>
      <c r="CW238" s="28"/>
      <c r="CX238" s="28"/>
      <c r="CY238" s="28"/>
      <c r="CZ238" s="28"/>
      <c r="DA238" s="28"/>
      <c r="DB238" s="28"/>
      <c r="DC238" s="28"/>
      <c r="DD238" s="28"/>
      <c r="DE238" s="28"/>
      <c r="DF238" s="28"/>
      <c r="DG238" s="28"/>
      <c r="DH238" s="28"/>
      <c r="DI238" s="28"/>
      <c r="DJ238" s="28"/>
      <c r="DK238" s="28"/>
      <c r="DL238" s="28"/>
      <c r="DM238" s="28"/>
      <c r="DN238" s="28"/>
      <c r="DO238" s="28"/>
      <c r="DP238" s="28"/>
      <c r="DQ238" s="28"/>
      <c r="DR238" s="28"/>
      <c r="DS238" s="28"/>
      <c r="DT238" s="28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  <c r="EQ238" s="28"/>
      <c r="ER238" s="28"/>
      <c r="ES238" s="28"/>
      <c r="ET238" s="28"/>
      <c r="EU238" s="28"/>
      <c r="EV238" s="28"/>
      <c r="EW238" s="28"/>
      <c r="EX238" s="28"/>
      <c r="EY238" s="28"/>
      <c r="EZ238" s="28"/>
      <c r="FA238" s="28"/>
      <c r="FB238" s="28"/>
      <c r="FC238" s="28"/>
      <c r="FD238" s="28"/>
      <c r="FE238" s="28"/>
      <c r="FF238" s="28"/>
      <c r="FG238" s="28"/>
      <c r="FH238" s="28"/>
      <c r="FI238" s="28"/>
      <c r="FJ238" s="28"/>
      <c r="FK238" s="28"/>
      <c r="FL238" s="28"/>
      <c r="FM238" s="28"/>
      <c r="FN238" s="28"/>
      <c r="FO238" s="28"/>
      <c r="FP238" s="28"/>
      <c r="FQ238" s="28"/>
      <c r="FR238" s="28"/>
      <c r="FS238" s="28"/>
      <c r="FT238" s="28"/>
      <c r="FU238" s="28"/>
      <c r="FV238" s="28"/>
      <c r="FW238" s="28"/>
      <c r="FX238" s="28"/>
      <c r="FY238" s="28"/>
      <c r="FZ238" s="28"/>
      <c r="GA238" s="28"/>
      <c r="GB238" s="28"/>
      <c r="GC238" s="28"/>
      <c r="GD238" s="28"/>
      <c r="GE238" s="28"/>
      <c r="GF238" s="28"/>
      <c r="GG238" s="28"/>
      <c r="GH238" s="28"/>
      <c r="GI238" s="28"/>
      <c r="GJ238" s="28"/>
      <c r="GK238" s="28"/>
      <c r="GL238" s="28"/>
      <c r="GM238" s="28"/>
      <c r="GN238" s="28"/>
      <c r="GO238" s="28"/>
      <c r="GP238" s="28"/>
      <c r="GQ238" s="28"/>
      <c r="GR238" s="28"/>
      <c r="GS238" s="28"/>
      <c r="GT238" s="28"/>
      <c r="GU238" s="28"/>
      <c r="GV238" s="28"/>
      <c r="GW238" s="28"/>
      <c r="GX238" s="28"/>
      <c r="GY238" s="28"/>
      <c r="GZ238" s="28"/>
      <c r="HA238" s="28"/>
      <c r="HB238" s="28"/>
      <c r="HC238" s="28"/>
      <c r="HD238" s="28"/>
      <c r="HE238" s="28"/>
      <c r="HF238" s="28"/>
      <c r="HG238" s="28"/>
      <c r="HH238" s="28"/>
      <c r="HI238" s="28"/>
      <c r="HJ238" s="28"/>
      <c r="HK238" s="28"/>
      <c r="HL238" s="28"/>
      <c r="HM238" s="28"/>
      <c r="HN238" s="28"/>
      <c r="HO238" s="28"/>
      <c r="HP238" s="28"/>
      <c r="HQ238" s="28"/>
      <c r="HR238" s="28"/>
      <c r="HS238" s="28"/>
      <c r="HT238" s="28"/>
      <c r="HU238" s="28"/>
      <c r="HV238" s="28"/>
      <c r="HW238" s="28"/>
      <c r="HX238" s="28"/>
      <c r="HY238" s="28"/>
      <c r="HZ238" s="28"/>
      <c r="IA238" s="28"/>
      <c r="IB238" s="28"/>
      <c r="IC238" s="28"/>
      <c r="ID238" s="28"/>
      <c r="IE238" s="28"/>
      <c r="IF238" s="28"/>
      <c r="IG238" s="28"/>
      <c r="IH238" s="28"/>
      <c r="II238" s="28"/>
      <c r="IJ238" s="28"/>
      <c r="IK238" s="28"/>
      <c r="IL238" s="28"/>
      <c r="IM238" s="28"/>
      <c r="IN238" s="28"/>
      <c r="IO238" s="28"/>
      <c r="IP238" s="28"/>
      <c r="IQ238" s="28"/>
      <c r="IR238" s="26"/>
      <c r="IS238" s="26"/>
      <c r="IT238" s="26"/>
      <c r="IU238" s="26"/>
      <c r="IV238" s="26"/>
    </row>
    <row r="239" ht="11.25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  <c r="BV239" s="28"/>
      <c r="BW239" s="28"/>
      <c r="BX239" s="28"/>
      <c r="BY239" s="28"/>
      <c r="BZ239" s="28"/>
      <c r="CA239" s="28"/>
      <c r="CB239" s="28"/>
      <c r="CC239" s="28"/>
      <c r="CD239" s="28"/>
      <c r="CE239" s="28"/>
      <c r="CF239" s="28"/>
      <c r="CG239" s="28"/>
      <c r="CH239" s="28"/>
      <c r="CI239" s="28"/>
      <c r="CJ239" s="28"/>
      <c r="CK239" s="28"/>
      <c r="CL239" s="28"/>
      <c r="CM239" s="28"/>
      <c r="CN239" s="28"/>
      <c r="CO239" s="28"/>
      <c r="CP239" s="28"/>
      <c r="CQ239" s="28"/>
      <c r="CR239" s="28"/>
      <c r="CS239" s="28"/>
      <c r="CT239" s="28"/>
      <c r="CU239" s="28"/>
      <c r="CV239" s="28"/>
      <c r="CW239" s="28"/>
      <c r="CX239" s="28"/>
      <c r="CY239" s="28"/>
      <c r="CZ239" s="28"/>
      <c r="DA239" s="28"/>
      <c r="DB239" s="28"/>
      <c r="DC239" s="28"/>
      <c r="DD239" s="28"/>
      <c r="DE239" s="28"/>
      <c r="DF239" s="28"/>
      <c r="DG239" s="28"/>
      <c r="DH239" s="28"/>
      <c r="DI239" s="28"/>
      <c r="DJ239" s="28"/>
      <c r="DK239" s="28"/>
      <c r="DL239" s="28"/>
      <c r="DM239" s="28"/>
      <c r="DN239" s="28"/>
      <c r="DO239" s="28"/>
      <c r="DP239" s="28"/>
      <c r="DQ239" s="28"/>
      <c r="DR239" s="28"/>
      <c r="DS239" s="28"/>
      <c r="DT239" s="28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  <c r="EQ239" s="28"/>
      <c r="ER239" s="28"/>
      <c r="ES239" s="28"/>
      <c r="ET239" s="28"/>
      <c r="EU239" s="28"/>
      <c r="EV239" s="28"/>
      <c r="EW239" s="28"/>
      <c r="EX239" s="28"/>
      <c r="EY239" s="28"/>
      <c r="EZ239" s="28"/>
      <c r="FA239" s="28"/>
      <c r="FB239" s="28"/>
      <c r="FC239" s="28"/>
      <c r="FD239" s="28"/>
      <c r="FE239" s="28"/>
      <c r="FF239" s="28"/>
      <c r="FG239" s="28"/>
      <c r="FH239" s="28"/>
      <c r="FI239" s="28"/>
      <c r="FJ239" s="28"/>
      <c r="FK239" s="28"/>
      <c r="FL239" s="28"/>
      <c r="FM239" s="28"/>
      <c r="FN239" s="28"/>
      <c r="FO239" s="28"/>
      <c r="FP239" s="28"/>
      <c r="FQ239" s="28"/>
      <c r="FR239" s="28"/>
      <c r="FS239" s="28"/>
      <c r="FT239" s="28"/>
      <c r="FU239" s="28"/>
      <c r="FV239" s="28"/>
      <c r="FW239" s="28"/>
      <c r="FX239" s="28"/>
      <c r="FY239" s="28"/>
      <c r="FZ239" s="28"/>
      <c r="GA239" s="28"/>
      <c r="GB239" s="28"/>
      <c r="GC239" s="28"/>
      <c r="GD239" s="28"/>
      <c r="GE239" s="28"/>
      <c r="GF239" s="28"/>
      <c r="GG239" s="28"/>
      <c r="GH239" s="28"/>
      <c r="GI239" s="28"/>
      <c r="GJ239" s="28"/>
      <c r="GK239" s="28"/>
      <c r="GL239" s="28"/>
      <c r="GM239" s="28"/>
      <c r="GN239" s="28"/>
      <c r="GO239" s="28"/>
      <c r="GP239" s="28"/>
      <c r="GQ239" s="28"/>
      <c r="GR239" s="28"/>
      <c r="GS239" s="28"/>
      <c r="GT239" s="28"/>
      <c r="GU239" s="28"/>
      <c r="GV239" s="28"/>
      <c r="GW239" s="28"/>
      <c r="GX239" s="28"/>
      <c r="GY239" s="28"/>
      <c r="GZ239" s="28"/>
      <c r="HA239" s="28"/>
      <c r="HB239" s="28"/>
      <c r="HC239" s="28"/>
      <c r="HD239" s="28"/>
      <c r="HE239" s="28"/>
      <c r="HF239" s="28"/>
      <c r="HG239" s="28"/>
      <c r="HH239" s="28"/>
      <c r="HI239" s="28"/>
      <c r="HJ239" s="28"/>
      <c r="HK239" s="28"/>
      <c r="HL239" s="28"/>
      <c r="HM239" s="28"/>
      <c r="HN239" s="28"/>
      <c r="HO239" s="28"/>
      <c r="HP239" s="28"/>
      <c r="HQ239" s="28"/>
      <c r="HR239" s="28"/>
      <c r="HS239" s="28"/>
      <c r="HT239" s="28"/>
      <c r="HU239" s="28"/>
      <c r="HV239" s="28"/>
      <c r="HW239" s="28"/>
      <c r="HX239" s="28"/>
      <c r="HY239" s="28"/>
      <c r="HZ239" s="28"/>
      <c r="IA239" s="28"/>
      <c r="IB239" s="28"/>
      <c r="IC239" s="28"/>
      <c r="ID239" s="28"/>
      <c r="IE239" s="28"/>
      <c r="IF239" s="28"/>
      <c r="IG239" s="28"/>
      <c r="IH239" s="28"/>
      <c r="II239" s="28"/>
      <c r="IJ239" s="28"/>
      <c r="IK239" s="28"/>
      <c r="IL239" s="28"/>
      <c r="IM239" s="28"/>
      <c r="IN239" s="28"/>
      <c r="IO239" s="28"/>
      <c r="IP239" s="28"/>
      <c r="IQ239" s="28"/>
      <c r="IR239" s="26"/>
      <c r="IS239" s="26"/>
      <c r="IT239" s="26"/>
      <c r="IU239" s="26"/>
      <c r="IV239" s="26"/>
    </row>
    <row r="240" ht="11.25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  <c r="BV240" s="28"/>
      <c r="BW240" s="28"/>
      <c r="BX240" s="28"/>
      <c r="BY240" s="28"/>
      <c r="BZ240" s="28"/>
      <c r="CA240" s="28"/>
      <c r="CB240" s="28"/>
      <c r="CC240" s="28"/>
      <c r="CD240" s="28"/>
      <c r="CE240" s="28"/>
      <c r="CF240" s="28"/>
      <c r="CG240" s="28"/>
      <c r="CH240" s="28"/>
      <c r="CI240" s="28"/>
      <c r="CJ240" s="28"/>
      <c r="CK240" s="28"/>
      <c r="CL240" s="28"/>
      <c r="CM240" s="28"/>
      <c r="CN240" s="28"/>
      <c r="CO240" s="28"/>
      <c r="CP240" s="28"/>
      <c r="CQ240" s="28"/>
      <c r="CR240" s="28"/>
      <c r="CS240" s="28"/>
      <c r="CT240" s="28"/>
      <c r="CU240" s="28"/>
      <c r="CV240" s="28"/>
      <c r="CW240" s="28"/>
      <c r="CX240" s="28"/>
      <c r="CY240" s="28"/>
      <c r="CZ240" s="28"/>
      <c r="DA240" s="28"/>
      <c r="DB240" s="28"/>
      <c r="DC240" s="28"/>
      <c r="DD240" s="28"/>
      <c r="DE240" s="28"/>
      <c r="DF240" s="28"/>
      <c r="DG240" s="28"/>
      <c r="DH240" s="28"/>
      <c r="DI240" s="28"/>
      <c r="DJ240" s="28"/>
      <c r="DK240" s="28"/>
      <c r="DL240" s="28"/>
      <c r="DM240" s="28"/>
      <c r="DN240" s="28"/>
      <c r="DO240" s="28"/>
      <c r="DP240" s="28"/>
      <c r="DQ240" s="28"/>
      <c r="DR240" s="28"/>
      <c r="DS240" s="28"/>
      <c r="DT240" s="28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  <c r="EQ240" s="28"/>
      <c r="ER240" s="28"/>
      <c r="ES240" s="28"/>
      <c r="ET240" s="28"/>
      <c r="EU240" s="28"/>
      <c r="EV240" s="28"/>
      <c r="EW240" s="28"/>
      <c r="EX240" s="28"/>
      <c r="EY240" s="28"/>
      <c r="EZ240" s="28"/>
      <c r="FA240" s="28"/>
      <c r="FB240" s="28"/>
      <c r="FC240" s="28"/>
      <c r="FD240" s="28"/>
      <c r="FE240" s="28"/>
      <c r="FF240" s="28"/>
      <c r="FG240" s="28"/>
      <c r="FH240" s="28"/>
      <c r="FI240" s="28"/>
      <c r="FJ240" s="28"/>
      <c r="FK240" s="28"/>
      <c r="FL240" s="28"/>
      <c r="FM240" s="28"/>
      <c r="FN240" s="28"/>
      <c r="FO240" s="28"/>
      <c r="FP240" s="28"/>
      <c r="FQ240" s="28"/>
      <c r="FR240" s="28"/>
      <c r="FS240" s="28"/>
      <c r="FT240" s="28"/>
      <c r="FU240" s="28"/>
      <c r="FV240" s="28"/>
      <c r="FW240" s="28"/>
      <c r="FX240" s="28"/>
      <c r="FY240" s="28"/>
      <c r="FZ240" s="28"/>
      <c r="GA240" s="28"/>
      <c r="GB240" s="28"/>
      <c r="GC240" s="28"/>
      <c r="GD240" s="28"/>
      <c r="GE240" s="28"/>
      <c r="GF240" s="28"/>
      <c r="GG240" s="28"/>
      <c r="GH240" s="28"/>
      <c r="GI240" s="28"/>
      <c r="GJ240" s="28"/>
      <c r="GK240" s="28"/>
      <c r="GL240" s="28"/>
      <c r="GM240" s="28"/>
      <c r="GN240" s="28"/>
      <c r="GO240" s="28"/>
      <c r="GP240" s="28"/>
      <c r="GQ240" s="28"/>
      <c r="GR240" s="28"/>
      <c r="GS240" s="28"/>
      <c r="GT240" s="28"/>
      <c r="GU240" s="28"/>
      <c r="GV240" s="28"/>
      <c r="GW240" s="28"/>
      <c r="GX240" s="28"/>
      <c r="GY240" s="28"/>
      <c r="GZ240" s="28"/>
      <c r="HA240" s="28"/>
      <c r="HB240" s="28"/>
      <c r="HC240" s="28"/>
      <c r="HD240" s="28"/>
      <c r="HE240" s="28"/>
      <c r="HF240" s="28"/>
      <c r="HG240" s="28"/>
      <c r="HH240" s="28"/>
      <c r="HI240" s="28"/>
      <c r="HJ240" s="28"/>
      <c r="HK240" s="28"/>
      <c r="HL240" s="28"/>
      <c r="HM240" s="28"/>
      <c r="HN240" s="28"/>
      <c r="HO240" s="28"/>
      <c r="HP240" s="28"/>
      <c r="HQ240" s="28"/>
      <c r="HR240" s="28"/>
      <c r="HS240" s="28"/>
      <c r="HT240" s="28"/>
      <c r="HU240" s="28"/>
      <c r="HV240" s="28"/>
      <c r="HW240" s="28"/>
      <c r="HX240" s="28"/>
      <c r="HY240" s="28"/>
      <c r="HZ240" s="28"/>
      <c r="IA240" s="28"/>
      <c r="IB240" s="28"/>
      <c r="IC240" s="28"/>
      <c r="ID240" s="28"/>
      <c r="IE240" s="28"/>
      <c r="IF240" s="28"/>
      <c r="IG240" s="28"/>
      <c r="IH240" s="28"/>
      <c r="II240" s="28"/>
      <c r="IJ240" s="28"/>
      <c r="IK240" s="28"/>
      <c r="IL240" s="28"/>
      <c r="IM240" s="28"/>
      <c r="IN240" s="28"/>
      <c r="IO240" s="28"/>
      <c r="IP240" s="28"/>
      <c r="IQ240" s="28"/>
      <c r="IR240" s="26"/>
      <c r="IS240" s="26"/>
      <c r="IT240" s="26"/>
      <c r="IU240" s="26"/>
      <c r="IV240" s="26"/>
    </row>
    <row r="241" ht="11.25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  <c r="BV241" s="28"/>
      <c r="BW241" s="28"/>
      <c r="BX241" s="28"/>
      <c r="BY241" s="28"/>
      <c r="BZ241" s="28"/>
      <c r="CA241" s="28"/>
      <c r="CB241" s="28"/>
      <c r="CC241" s="28"/>
      <c r="CD241" s="28"/>
      <c r="CE241" s="28"/>
      <c r="CF241" s="28"/>
      <c r="CG241" s="28"/>
      <c r="CH241" s="28"/>
      <c r="CI241" s="28"/>
      <c r="CJ241" s="28"/>
      <c r="CK241" s="28"/>
      <c r="CL241" s="28"/>
      <c r="CM241" s="28"/>
      <c r="CN241" s="28"/>
      <c r="CO241" s="28"/>
      <c r="CP241" s="28"/>
      <c r="CQ241" s="28"/>
      <c r="CR241" s="28"/>
      <c r="CS241" s="28"/>
      <c r="CT241" s="28"/>
      <c r="CU241" s="28"/>
      <c r="CV241" s="28"/>
      <c r="CW241" s="28"/>
      <c r="CX241" s="28"/>
      <c r="CY241" s="28"/>
      <c r="CZ241" s="28"/>
      <c r="DA241" s="28"/>
      <c r="DB241" s="28"/>
      <c r="DC241" s="28"/>
      <c r="DD241" s="28"/>
      <c r="DE241" s="28"/>
      <c r="DF241" s="28"/>
      <c r="DG241" s="28"/>
      <c r="DH241" s="28"/>
      <c r="DI241" s="28"/>
      <c r="DJ241" s="28"/>
      <c r="DK241" s="28"/>
      <c r="DL241" s="28"/>
      <c r="DM241" s="28"/>
      <c r="DN241" s="28"/>
      <c r="DO241" s="28"/>
      <c r="DP241" s="28"/>
      <c r="DQ241" s="28"/>
      <c r="DR241" s="28"/>
      <c r="DS241" s="28"/>
      <c r="DT241" s="28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  <c r="EQ241" s="28"/>
      <c r="ER241" s="28"/>
      <c r="ES241" s="28"/>
      <c r="ET241" s="28"/>
      <c r="EU241" s="28"/>
      <c r="EV241" s="28"/>
      <c r="EW241" s="28"/>
      <c r="EX241" s="28"/>
      <c r="EY241" s="28"/>
      <c r="EZ241" s="28"/>
      <c r="FA241" s="28"/>
      <c r="FB241" s="28"/>
      <c r="FC241" s="28"/>
      <c r="FD241" s="28"/>
      <c r="FE241" s="28"/>
      <c r="FF241" s="28"/>
      <c r="FG241" s="28"/>
      <c r="FH241" s="28"/>
      <c r="FI241" s="28"/>
      <c r="FJ241" s="28"/>
      <c r="FK241" s="28"/>
      <c r="FL241" s="28"/>
      <c r="FM241" s="28"/>
      <c r="FN241" s="28"/>
      <c r="FO241" s="28"/>
      <c r="FP241" s="28"/>
      <c r="FQ241" s="28"/>
      <c r="FR241" s="28"/>
      <c r="FS241" s="28"/>
      <c r="FT241" s="28"/>
      <c r="FU241" s="28"/>
      <c r="FV241" s="28"/>
      <c r="FW241" s="28"/>
      <c r="FX241" s="28"/>
      <c r="FY241" s="28"/>
      <c r="FZ241" s="28"/>
      <c r="GA241" s="28"/>
      <c r="GB241" s="28"/>
      <c r="GC241" s="28"/>
      <c r="GD241" s="28"/>
      <c r="GE241" s="28"/>
      <c r="GF241" s="28"/>
      <c r="GG241" s="28"/>
      <c r="GH241" s="28"/>
      <c r="GI241" s="28"/>
      <c r="GJ241" s="28"/>
      <c r="GK241" s="28"/>
      <c r="GL241" s="28"/>
      <c r="GM241" s="28"/>
      <c r="GN241" s="28"/>
      <c r="GO241" s="28"/>
      <c r="GP241" s="28"/>
      <c r="GQ241" s="28"/>
      <c r="GR241" s="28"/>
      <c r="GS241" s="28"/>
      <c r="GT241" s="28"/>
      <c r="GU241" s="28"/>
      <c r="GV241" s="28"/>
      <c r="GW241" s="28"/>
      <c r="GX241" s="28"/>
      <c r="GY241" s="28"/>
      <c r="GZ241" s="28"/>
      <c r="HA241" s="28"/>
      <c r="HB241" s="28"/>
      <c r="HC241" s="28"/>
      <c r="HD241" s="28"/>
      <c r="HE241" s="28"/>
      <c r="HF241" s="28"/>
      <c r="HG241" s="28"/>
      <c r="HH241" s="28"/>
      <c r="HI241" s="28"/>
      <c r="HJ241" s="28"/>
      <c r="HK241" s="28"/>
      <c r="HL241" s="28"/>
      <c r="HM241" s="28"/>
      <c r="HN241" s="28"/>
      <c r="HO241" s="28"/>
      <c r="HP241" s="28"/>
      <c r="HQ241" s="28"/>
      <c r="HR241" s="28"/>
      <c r="HS241" s="28"/>
      <c r="HT241" s="28"/>
      <c r="HU241" s="28"/>
      <c r="HV241" s="28"/>
      <c r="HW241" s="28"/>
      <c r="HX241" s="28"/>
      <c r="HY241" s="28"/>
      <c r="HZ241" s="28"/>
      <c r="IA241" s="28"/>
      <c r="IB241" s="28"/>
      <c r="IC241" s="28"/>
      <c r="ID241" s="28"/>
      <c r="IE241" s="28"/>
      <c r="IF241" s="28"/>
      <c r="IG241" s="28"/>
      <c r="IH241" s="28"/>
      <c r="II241" s="28"/>
      <c r="IJ241" s="28"/>
      <c r="IK241" s="28"/>
      <c r="IL241" s="28"/>
      <c r="IM241" s="28"/>
      <c r="IN241" s="28"/>
      <c r="IO241" s="28"/>
      <c r="IP241" s="28"/>
      <c r="IQ241" s="28"/>
      <c r="IR241" s="26"/>
      <c r="IS241" s="26"/>
      <c r="IT241" s="26"/>
      <c r="IU241" s="26"/>
      <c r="IV241" s="26"/>
    </row>
    <row r="242" ht="11.25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  <c r="BV242" s="28"/>
      <c r="BW242" s="28"/>
      <c r="BX242" s="28"/>
      <c r="BY242" s="28"/>
      <c r="BZ242" s="28"/>
      <c r="CA242" s="28"/>
      <c r="CB242" s="28"/>
      <c r="CC242" s="28"/>
      <c r="CD242" s="28"/>
      <c r="CE242" s="28"/>
      <c r="CF242" s="28"/>
      <c r="CG242" s="28"/>
      <c r="CH242" s="28"/>
      <c r="CI242" s="28"/>
      <c r="CJ242" s="28"/>
      <c r="CK242" s="28"/>
      <c r="CL242" s="28"/>
      <c r="CM242" s="28"/>
      <c r="CN242" s="28"/>
      <c r="CO242" s="28"/>
      <c r="CP242" s="28"/>
      <c r="CQ242" s="28"/>
      <c r="CR242" s="28"/>
      <c r="CS242" s="28"/>
      <c r="CT242" s="28"/>
      <c r="CU242" s="28"/>
      <c r="CV242" s="28"/>
      <c r="CW242" s="28"/>
      <c r="CX242" s="28"/>
      <c r="CY242" s="28"/>
      <c r="CZ242" s="28"/>
      <c r="DA242" s="28"/>
      <c r="DB242" s="28"/>
      <c r="DC242" s="28"/>
      <c r="DD242" s="28"/>
      <c r="DE242" s="28"/>
      <c r="DF242" s="28"/>
      <c r="DG242" s="28"/>
      <c r="DH242" s="28"/>
      <c r="DI242" s="28"/>
      <c r="DJ242" s="28"/>
      <c r="DK242" s="28"/>
      <c r="DL242" s="28"/>
      <c r="DM242" s="28"/>
      <c r="DN242" s="28"/>
      <c r="DO242" s="28"/>
      <c r="DP242" s="28"/>
      <c r="DQ242" s="28"/>
      <c r="DR242" s="28"/>
      <c r="DS242" s="28"/>
      <c r="DT242" s="28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  <c r="EQ242" s="28"/>
      <c r="ER242" s="28"/>
      <c r="ES242" s="28"/>
      <c r="ET242" s="28"/>
      <c r="EU242" s="28"/>
      <c r="EV242" s="28"/>
      <c r="EW242" s="28"/>
      <c r="EX242" s="28"/>
      <c r="EY242" s="28"/>
      <c r="EZ242" s="28"/>
      <c r="FA242" s="28"/>
      <c r="FB242" s="28"/>
      <c r="FC242" s="28"/>
      <c r="FD242" s="28"/>
      <c r="FE242" s="28"/>
      <c r="FF242" s="28"/>
      <c r="FG242" s="28"/>
      <c r="FH242" s="28"/>
      <c r="FI242" s="28"/>
      <c r="FJ242" s="28"/>
      <c r="FK242" s="28"/>
      <c r="FL242" s="28"/>
      <c r="FM242" s="28"/>
      <c r="FN242" s="28"/>
      <c r="FO242" s="28"/>
      <c r="FP242" s="28"/>
      <c r="FQ242" s="28"/>
      <c r="FR242" s="28"/>
      <c r="FS242" s="28"/>
      <c r="FT242" s="28"/>
      <c r="FU242" s="28"/>
      <c r="FV242" s="28"/>
      <c r="FW242" s="28"/>
      <c r="FX242" s="28"/>
      <c r="FY242" s="28"/>
      <c r="FZ242" s="28"/>
      <c r="GA242" s="28"/>
      <c r="GB242" s="28"/>
      <c r="GC242" s="28"/>
      <c r="GD242" s="28"/>
      <c r="GE242" s="28"/>
      <c r="GF242" s="28"/>
      <c r="GG242" s="28"/>
      <c r="GH242" s="28"/>
      <c r="GI242" s="28"/>
      <c r="GJ242" s="28"/>
      <c r="GK242" s="28"/>
      <c r="GL242" s="28"/>
      <c r="GM242" s="28"/>
      <c r="GN242" s="28"/>
      <c r="GO242" s="28"/>
      <c r="GP242" s="28"/>
      <c r="GQ242" s="28"/>
      <c r="GR242" s="28"/>
      <c r="GS242" s="28"/>
      <c r="GT242" s="28"/>
      <c r="GU242" s="28"/>
      <c r="GV242" s="28"/>
      <c r="GW242" s="28"/>
      <c r="GX242" s="28"/>
      <c r="GY242" s="28"/>
      <c r="GZ242" s="28"/>
      <c r="HA242" s="28"/>
      <c r="HB242" s="28"/>
      <c r="HC242" s="28"/>
      <c r="HD242" s="28"/>
      <c r="HE242" s="28"/>
      <c r="HF242" s="28"/>
      <c r="HG242" s="28"/>
      <c r="HH242" s="28"/>
      <c r="HI242" s="28"/>
      <c r="HJ242" s="28"/>
      <c r="HK242" s="28"/>
      <c r="HL242" s="28"/>
      <c r="HM242" s="28"/>
      <c r="HN242" s="28"/>
      <c r="HO242" s="28"/>
      <c r="HP242" s="28"/>
      <c r="HQ242" s="28"/>
      <c r="HR242" s="28"/>
      <c r="HS242" s="28"/>
      <c r="HT242" s="28"/>
      <c r="HU242" s="28"/>
      <c r="HV242" s="28"/>
      <c r="HW242" s="28"/>
      <c r="HX242" s="28"/>
      <c r="HY242" s="28"/>
      <c r="HZ242" s="28"/>
      <c r="IA242" s="28"/>
      <c r="IB242" s="28"/>
      <c r="IC242" s="28"/>
      <c r="ID242" s="28"/>
      <c r="IE242" s="28"/>
      <c r="IF242" s="28"/>
      <c r="IG242" s="28"/>
      <c r="IH242" s="28"/>
      <c r="II242" s="28"/>
      <c r="IJ242" s="28"/>
      <c r="IK242" s="28"/>
      <c r="IL242" s="28"/>
      <c r="IM242" s="28"/>
      <c r="IN242" s="28"/>
      <c r="IO242" s="28"/>
      <c r="IP242" s="28"/>
      <c r="IQ242" s="28"/>
      <c r="IR242" s="26"/>
      <c r="IS242" s="26"/>
      <c r="IT242" s="26"/>
      <c r="IU242" s="26"/>
      <c r="IV242" s="26"/>
    </row>
    <row r="243" ht="11.25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  <c r="BV243" s="28"/>
      <c r="BW243" s="28"/>
      <c r="BX243" s="28"/>
      <c r="BY243" s="28"/>
      <c r="BZ243" s="28"/>
      <c r="CA243" s="28"/>
      <c r="CB243" s="28"/>
      <c r="CC243" s="28"/>
      <c r="CD243" s="28"/>
      <c r="CE243" s="28"/>
      <c r="CF243" s="28"/>
      <c r="CG243" s="28"/>
      <c r="CH243" s="28"/>
      <c r="CI243" s="28"/>
      <c r="CJ243" s="28"/>
      <c r="CK243" s="28"/>
      <c r="CL243" s="28"/>
      <c r="CM243" s="28"/>
      <c r="CN243" s="28"/>
      <c r="CO243" s="28"/>
      <c r="CP243" s="28"/>
      <c r="CQ243" s="28"/>
      <c r="CR243" s="28"/>
      <c r="CS243" s="28"/>
      <c r="CT243" s="28"/>
      <c r="CU243" s="28"/>
      <c r="CV243" s="28"/>
      <c r="CW243" s="28"/>
      <c r="CX243" s="28"/>
      <c r="CY243" s="28"/>
      <c r="CZ243" s="28"/>
      <c r="DA243" s="28"/>
      <c r="DB243" s="28"/>
      <c r="DC243" s="28"/>
      <c r="DD243" s="28"/>
      <c r="DE243" s="28"/>
      <c r="DF243" s="28"/>
      <c r="DG243" s="28"/>
      <c r="DH243" s="28"/>
      <c r="DI243" s="28"/>
      <c r="DJ243" s="28"/>
      <c r="DK243" s="28"/>
      <c r="DL243" s="28"/>
      <c r="DM243" s="28"/>
      <c r="DN243" s="28"/>
      <c r="DO243" s="28"/>
      <c r="DP243" s="28"/>
      <c r="DQ243" s="28"/>
      <c r="DR243" s="28"/>
      <c r="DS243" s="28"/>
      <c r="DT243" s="28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  <c r="EQ243" s="28"/>
      <c r="ER243" s="28"/>
      <c r="ES243" s="28"/>
      <c r="ET243" s="28"/>
      <c r="EU243" s="28"/>
      <c r="EV243" s="28"/>
      <c r="EW243" s="28"/>
      <c r="EX243" s="28"/>
      <c r="EY243" s="28"/>
      <c r="EZ243" s="28"/>
      <c r="FA243" s="28"/>
      <c r="FB243" s="28"/>
      <c r="FC243" s="28"/>
      <c r="FD243" s="28"/>
      <c r="FE243" s="28"/>
      <c r="FF243" s="28"/>
      <c r="FG243" s="28"/>
      <c r="FH243" s="28"/>
      <c r="FI243" s="28"/>
      <c r="FJ243" s="28"/>
      <c r="FK243" s="28"/>
      <c r="FL243" s="28"/>
      <c r="FM243" s="28"/>
      <c r="FN243" s="28"/>
      <c r="FO243" s="28"/>
      <c r="FP243" s="28"/>
      <c r="FQ243" s="28"/>
      <c r="FR243" s="28"/>
      <c r="FS243" s="28"/>
      <c r="FT243" s="28"/>
      <c r="FU243" s="28"/>
      <c r="FV243" s="28"/>
      <c r="FW243" s="28"/>
      <c r="FX243" s="28"/>
      <c r="FY243" s="28"/>
      <c r="FZ243" s="28"/>
      <c r="GA243" s="28"/>
      <c r="GB243" s="28"/>
      <c r="GC243" s="28"/>
      <c r="GD243" s="28"/>
      <c r="GE243" s="28"/>
      <c r="GF243" s="28"/>
      <c r="GG243" s="28"/>
      <c r="GH243" s="28"/>
      <c r="GI243" s="28"/>
      <c r="GJ243" s="28"/>
      <c r="GK243" s="28"/>
      <c r="GL243" s="28"/>
      <c r="GM243" s="28"/>
      <c r="GN243" s="28"/>
      <c r="GO243" s="28"/>
      <c r="GP243" s="28"/>
      <c r="GQ243" s="28"/>
      <c r="GR243" s="28"/>
      <c r="GS243" s="28"/>
      <c r="GT243" s="28"/>
      <c r="GU243" s="28"/>
      <c r="GV243" s="28"/>
      <c r="GW243" s="28"/>
      <c r="GX243" s="28"/>
      <c r="GY243" s="28"/>
      <c r="GZ243" s="28"/>
      <c r="HA243" s="28"/>
      <c r="HB243" s="28"/>
      <c r="HC243" s="28"/>
      <c r="HD243" s="28"/>
      <c r="HE243" s="28"/>
      <c r="HF243" s="28"/>
      <c r="HG243" s="28"/>
      <c r="HH243" s="28"/>
      <c r="HI243" s="28"/>
      <c r="HJ243" s="28"/>
      <c r="HK243" s="28"/>
      <c r="HL243" s="28"/>
      <c r="HM243" s="28"/>
      <c r="HN243" s="28"/>
      <c r="HO243" s="28"/>
      <c r="HP243" s="28"/>
      <c r="HQ243" s="28"/>
      <c r="HR243" s="28"/>
      <c r="HS243" s="28"/>
      <c r="HT243" s="28"/>
      <c r="HU243" s="28"/>
      <c r="HV243" s="28"/>
      <c r="HW243" s="28"/>
      <c r="HX243" s="28"/>
      <c r="HY243" s="28"/>
      <c r="HZ243" s="28"/>
      <c r="IA243" s="28"/>
      <c r="IB243" s="28"/>
      <c r="IC243" s="28"/>
      <c r="ID243" s="28"/>
      <c r="IE243" s="28"/>
      <c r="IF243" s="28"/>
      <c r="IG243" s="28"/>
      <c r="IH243" s="28"/>
      <c r="II243" s="28"/>
      <c r="IJ243" s="28"/>
      <c r="IK243" s="28"/>
      <c r="IL243" s="28"/>
      <c r="IM243" s="28"/>
      <c r="IN243" s="28"/>
      <c r="IO243" s="28"/>
      <c r="IP243" s="28"/>
      <c r="IQ243" s="28"/>
      <c r="IR243" s="26"/>
      <c r="IS243" s="26"/>
      <c r="IT243" s="26"/>
      <c r="IU243" s="26"/>
      <c r="IV243" s="26"/>
    </row>
    <row r="244" ht="11.25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  <c r="BV244" s="28"/>
      <c r="BW244" s="28"/>
      <c r="BX244" s="28"/>
      <c r="BY244" s="28"/>
      <c r="BZ244" s="28"/>
      <c r="CA244" s="28"/>
      <c r="CB244" s="28"/>
      <c r="CC244" s="28"/>
      <c r="CD244" s="28"/>
      <c r="CE244" s="28"/>
      <c r="CF244" s="28"/>
      <c r="CG244" s="28"/>
      <c r="CH244" s="28"/>
      <c r="CI244" s="28"/>
      <c r="CJ244" s="28"/>
      <c r="CK244" s="28"/>
      <c r="CL244" s="28"/>
      <c r="CM244" s="28"/>
      <c r="CN244" s="28"/>
      <c r="CO244" s="28"/>
      <c r="CP244" s="28"/>
      <c r="CQ244" s="28"/>
      <c r="CR244" s="28"/>
      <c r="CS244" s="28"/>
      <c r="CT244" s="28"/>
      <c r="CU244" s="28"/>
      <c r="CV244" s="28"/>
      <c r="CW244" s="28"/>
      <c r="CX244" s="28"/>
      <c r="CY244" s="28"/>
      <c r="CZ244" s="28"/>
      <c r="DA244" s="28"/>
      <c r="DB244" s="28"/>
      <c r="DC244" s="28"/>
      <c r="DD244" s="28"/>
      <c r="DE244" s="28"/>
      <c r="DF244" s="28"/>
      <c r="DG244" s="28"/>
      <c r="DH244" s="28"/>
      <c r="DI244" s="28"/>
      <c r="DJ244" s="28"/>
      <c r="DK244" s="28"/>
      <c r="DL244" s="28"/>
      <c r="DM244" s="28"/>
      <c r="DN244" s="28"/>
      <c r="DO244" s="28"/>
      <c r="DP244" s="28"/>
      <c r="DQ244" s="28"/>
      <c r="DR244" s="28"/>
      <c r="DS244" s="28"/>
      <c r="DT244" s="28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  <c r="EQ244" s="28"/>
      <c r="ER244" s="28"/>
      <c r="ES244" s="28"/>
      <c r="ET244" s="28"/>
      <c r="EU244" s="28"/>
      <c r="EV244" s="28"/>
      <c r="EW244" s="28"/>
      <c r="EX244" s="28"/>
      <c r="EY244" s="28"/>
      <c r="EZ244" s="28"/>
      <c r="FA244" s="28"/>
      <c r="FB244" s="28"/>
      <c r="FC244" s="28"/>
      <c r="FD244" s="28"/>
      <c r="FE244" s="28"/>
      <c r="FF244" s="28"/>
      <c r="FG244" s="28"/>
      <c r="FH244" s="28"/>
      <c r="FI244" s="28"/>
      <c r="FJ244" s="28"/>
      <c r="FK244" s="28"/>
      <c r="FL244" s="28"/>
      <c r="FM244" s="28"/>
      <c r="FN244" s="28"/>
      <c r="FO244" s="28"/>
      <c r="FP244" s="28"/>
      <c r="FQ244" s="28"/>
      <c r="FR244" s="28"/>
      <c r="FS244" s="28"/>
      <c r="FT244" s="28"/>
      <c r="FU244" s="28"/>
      <c r="FV244" s="28"/>
      <c r="FW244" s="28"/>
      <c r="FX244" s="28"/>
      <c r="FY244" s="28"/>
      <c r="FZ244" s="28"/>
      <c r="GA244" s="28"/>
      <c r="GB244" s="28"/>
      <c r="GC244" s="28"/>
      <c r="GD244" s="28"/>
      <c r="GE244" s="28"/>
      <c r="GF244" s="28"/>
      <c r="GG244" s="28"/>
      <c r="GH244" s="28"/>
      <c r="GI244" s="28"/>
      <c r="GJ244" s="28"/>
      <c r="GK244" s="28"/>
      <c r="GL244" s="28"/>
      <c r="GM244" s="28"/>
      <c r="GN244" s="28"/>
      <c r="GO244" s="28"/>
      <c r="GP244" s="28"/>
      <c r="GQ244" s="28"/>
      <c r="GR244" s="28"/>
      <c r="GS244" s="28"/>
      <c r="GT244" s="28"/>
      <c r="GU244" s="28"/>
      <c r="GV244" s="28"/>
      <c r="GW244" s="28"/>
      <c r="GX244" s="28"/>
      <c r="GY244" s="28"/>
      <c r="GZ244" s="28"/>
      <c r="HA244" s="28"/>
      <c r="HB244" s="28"/>
      <c r="HC244" s="28"/>
      <c r="HD244" s="28"/>
      <c r="HE244" s="28"/>
      <c r="HF244" s="28"/>
      <c r="HG244" s="28"/>
      <c r="HH244" s="28"/>
      <c r="HI244" s="28"/>
      <c r="HJ244" s="28"/>
      <c r="HK244" s="28"/>
      <c r="HL244" s="28"/>
      <c r="HM244" s="28"/>
      <c r="HN244" s="28"/>
      <c r="HO244" s="28"/>
      <c r="HP244" s="28"/>
      <c r="HQ244" s="28"/>
      <c r="HR244" s="28"/>
      <c r="HS244" s="28"/>
      <c r="HT244" s="28"/>
      <c r="HU244" s="28"/>
      <c r="HV244" s="28"/>
      <c r="HW244" s="28"/>
      <c r="HX244" s="28"/>
      <c r="HY244" s="28"/>
      <c r="HZ244" s="28"/>
      <c r="IA244" s="28"/>
      <c r="IB244" s="28"/>
      <c r="IC244" s="28"/>
      <c r="ID244" s="28"/>
      <c r="IE244" s="28"/>
      <c r="IF244" s="28"/>
      <c r="IG244" s="28"/>
      <c r="IH244" s="28"/>
      <c r="II244" s="28"/>
      <c r="IJ244" s="28"/>
      <c r="IK244" s="28"/>
      <c r="IL244" s="28"/>
      <c r="IM244" s="28"/>
      <c r="IN244" s="28"/>
      <c r="IO244" s="28"/>
      <c r="IP244" s="28"/>
      <c r="IQ244" s="28"/>
      <c r="IR244" s="26"/>
      <c r="IS244" s="26"/>
      <c r="IT244" s="26"/>
      <c r="IU244" s="26"/>
      <c r="IV244" s="26"/>
    </row>
    <row r="245" ht="11.25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  <c r="BV245" s="28"/>
      <c r="BW245" s="28"/>
      <c r="BX245" s="28"/>
      <c r="BY245" s="28"/>
      <c r="BZ245" s="28"/>
      <c r="CA245" s="28"/>
      <c r="CB245" s="28"/>
      <c r="CC245" s="28"/>
      <c r="CD245" s="28"/>
      <c r="CE245" s="28"/>
      <c r="CF245" s="28"/>
      <c r="CG245" s="28"/>
      <c r="CH245" s="28"/>
      <c r="CI245" s="28"/>
      <c r="CJ245" s="28"/>
      <c r="CK245" s="28"/>
      <c r="CL245" s="28"/>
      <c r="CM245" s="28"/>
      <c r="CN245" s="28"/>
      <c r="CO245" s="28"/>
      <c r="CP245" s="28"/>
      <c r="CQ245" s="28"/>
      <c r="CR245" s="28"/>
      <c r="CS245" s="28"/>
      <c r="CT245" s="28"/>
      <c r="CU245" s="28"/>
      <c r="CV245" s="28"/>
      <c r="CW245" s="28"/>
      <c r="CX245" s="28"/>
      <c r="CY245" s="28"/>
      <c r="CZ245" s="28"/>
      <c r="DA245" s="28"/>
      <c r="DB245" s="28"/>
      <c r="DC245" s="28"/>
      <c r="DD245" s="28"/>
      <c r="DE245" s="28"/>
      <c r="DF245" s="28"/>
      <c r="DG245" s="28"/>
      <c r="DH245" s="28"/>
      <c r="DI245" s="28"/>
      <c r="DJ245" s="28"/>
      <c r="DK245" s="28"/>
      <c r="DL245" s="28"/>
      <c r="DM245" s="28"/>
      <c r="DN245" s="28"/>
      <c r="DO245" s="28"/>
      <c r="DP245" s="28"/>
      <c r="DQ245" s="28"/>
      <c r="DR245" s="28"/>
      <c r="DS245" s="28"/>
      <c r="DT245" s="28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  <c r="EQ245" s="28"/>
      <c r="ER245" s="28"/>
      <c r="ES245" s="28"/>
      <c r="ET245" s="28"/>
      <c r="EU245" s="28"/>
      <c r="EV245" s="28"/>
      <c r="EW245" s="28"/>
      <c r="EX245" s="28"/>
      <c r="EY245" s="28"/>
      <c r="EZ245" s="28"/>
      <c r="FA245" s="28"/>
      <c r="FB245" s="28"/>
      <c r="FC245" s="28"/>
      <c r="FD245" s="28"/>
      <c r="FE245" s="28"/>
      <c r="FF245" s="28"/>
      <c r="FG245" s="28"/>
      <c r="FH245" s="28"/>
      <c r="FI245" s="28"/>
      <c r="FJ245" s="28"/>
      <c r="FK245" s="28"/>
      <c r="FL245" s="28"/>
      <c r="FM245" s="28"/>
      <c r="FN245" s="28"/>
      <c r="FO245" s="28"/>
      <c r="FP245" s="28"/>
      <c r="FQ245" s="28"/>
      <c r="FR245" s="28"/>
      <c r="FS245" s="28"/>
      <c r="FT245" s="28"/>
      <c r="FU245" s="28"/>
      <c r="FV245" s="28"/>
      <c r="FW245" s="28"/>
      <c r="FX245" s="28"/>
      <c r="FY245" s="28"/>
      <c r="FZ245" s="28"/>
      <c r="GA245" s="28"/>
      <c r="GB245" s="28"/>
      <c r="GC245" s="28"/>
      <c r="GD245" s="28"/>
      <c r="GE245" s="28"/>
      <c r="GF245" s="28"/>
      <c r="GG245" s="28"/>
      <c r="GH245" s="28"/>
      <c r="GI245" s="28"/>
      <c r="GJ245" s="28"/>
      <c r="GK245" s="28"/>
      <c r="GL245" s="28"/>
      <c r="GM245" s="28"/>
      <c r="GN245" s="28"/>
      <c r="GO245" s="28"/>
      <c r="GP245" s="28"/>
      <c r="GQ245" s="28"/>
      <c r="GR245" s="28"/>
      <c r="GS245" s="28"/>
      <c r="GT245" s="28"/>
      <c r="GU245" s="28"/>
      <c r="GV245" s="28"/>
      <c r="GW245" s="28"/>
      <c r="GX245" s="28"/>
      <c r="GY245" s="28"/>
      <c r="GZ245" s="28"/>
      <c r="HA245" s="28"/>
      <c r="HB245" s="28"/>
      <c r="HC245" s="28"/>
      <c r="HD245" s="28"/>
      <c r="HE245" s="28"/>
      <c r="HF245" s="28"/>
      <c r="HG245" s="28"/>
      <c r="HH245" s="28"/>
      <c r="HI245" s="28"/>
      <c r="HJ245" s="28"/>
      <c r="HK245" s="28"/>
      <c r="HL245" s="28"/>
      <c r="HM245" s="28"/>
      <c r="HN245" s="28"/>
      <c r="HO245" s="28"/>
      <c r="HP245" s="28"/>
      <c r="HQ245" s="28"/>
      <c r="HR245" s="28"/>
      <c r="HS245" s="28"/>
      <c r="HT245" s="28"/>
      <c r="HU245" s="28"/>
      <c r="HV245" s="28"/>
      <c r="HW245" s="28"/>
      <c r="HX245" s="28"/>
      <c r="HY245" s="28"/>
      <c r="HZ245" s="28"/>
      <c r="IA245" s="28"/>
      <c r="IB245" s="28"/>
      <c r="IC245" s="28"/>
      <c r="ID245" s="28"/>
      <c r="IE245" s="28"/>
      <c r="IF245" s="28"/>
      <c r="IG245" s="28"/>
      <c r="IH245" s="28"/>
      <c r="II245" s="28"/>
      <c r="IJ245" s="28"/>
      <c r="IK245" s="28"/>
      <c r="IL245" s="28"/>
      <c r="IM245" s="28"/>
      <c r="IN245" s="28"/>
      <c r="IO245" s="28"/>
      <c r="IP245" s="28"/>
      <c r="IQ245" s="28"/>
      <c r="IR245" s="26"/>
      <c r="IS245" s="26"/>
      <c r="IT245" s="26"/>
      <c r="IU245" s="26"/>
      <c r="IV245" s="26"/>
    </row>
    <row r="246" ht="11.25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  <c r="BV246" s="28"/>
      <c r="BW246" s="28"/>
      <c r="BX246" s="28"/>
      <c r="BY246" s="28"/>
      <c r="BZ246" s="28"/>
      <c r="CA246" s="28"/>
      <c r="CB246" s="28"/>
      <c r="CC246" s="28"/>
      <c r="CD246" s="28"/>
      <c r="CE246" s="28"/>
      <c r="CF246" s="28"/>
      <c r="CG246" s="28"/>
      <c r="CH246" s="28"/>
      <c r="CI246" s="28"/>
      <c r="CJ246" s="28"/>
      <c r="CK246" s="28"/>
      <c r="CL246" s="28"/>
      <c r="CM246" s="28"/>
      <c r="CN246" s="28"/>
      <c r="CO246" s="28"/>
      <c r="CP246" s="28"/>
      <c r="CQ246" s="28"/>
      <c r="CR246" s="28"/>
      <c r="CS246" s="28"/>
      <c r="CT246" s="28"/>
      <c r="CU246" s="28"/>
      <c r="CV246" s="28"/>
      <c r="CW246" s="28"/>
      <c r="CX246" s="28"/>
      <c r="CY246" s="28"/>
      <c r="CZ246" s="28"/>
      <c r="DA246" s="28"/>
      <c r="DB246" s="28"/>
      <c r="DC246" s="28"/>
      <c r="DD246" s="28"/>
      <c r="DE246" s="28"/>
      <c r="DF246" s="28"/>
      <c r="DG246" s="28"/>
      <c r="DH246" s="28"/>
      <c r="DI246" s="28"/>
      <c r="DJ246" s="28"/>
      <c r="DK246" s="28"/>
      <c r="DL246" s="28"/>
      <c r="DM246" s="28"/>
      <c r="DN246" s="28"/>
      <c r="DO246" s="28"/>
      <c r="DP246" s="28"/>
      <c r="DQ246" s="28"/>
      <c r="DR246" s="28"/>
      <c r="DS246" s="28"/>
      <c r="DT246" s="28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  <c r="EQ246" s="28"/>
      <c r="ER246" s="28"/>
      <c r="ES246" s="28"/>
      <c r="ET246" s="28"/>
      <c r="EU246" s="28"/>
      <c r="EV246" s="28"/>
      <c r="EW246" s="28"/>
      <c r="EX246" s="28"/>
      <c r="EY246" s="28"/>
      <c r="EZ246" s="28"/>
      <c r="FA246" s="28"/>
      <c r="FB246" s="28"/>
      <c r="FC246" s="28"/>
      <c r="FD246" s="28"/>
      <c r="FE246" s="28"/>
      <c r="FF246" s="28"/>
      <c r="FG246" s="28"/>
      <c r="FH246" s="28"/>
      <c r="FI246" s="28"/>
      <c r="FJ246" s="28"/>
      <c r="FK246" s="28"/>
      <c r="FL246" s="28"/>
      <c r="FM246" s="28"/>
      <c r="FN246" s="28"/>
      <c r="FO246" s="28"/>
      <c r="FP246" s="28"/>
      <c r="FQ246" s="28"/>
      <c r="FR246" s="28"/>
      <c r="FS246" s="28"/>
      <c r="FT246" s="28"/>
      <c r="FU246" s="28"/>
      <c r="FV246" s="28"/>
      <c r="FW246" s="28"/>
      <c r="FX246" s="28"/>
      <c r="FY246" s="28"/>
      <c r="FZ246" s="28"/>
      <c r="GA246" s="28"/>
      <c r="GB246" s="28"/>
      <c r="GC246" s="28"/>
      <c r="GD246" s="28"/>
      <c r="GE246" s="28"/>
      <c r="GF246" s="28"/>
      <c r="GG246" s="28"/>
      <c r="GH246" s="28"/>
      <c r="GI246" s="28"/>
      <c r="GJ246" s="28"/>
      <c r="GK246" s="28"/>
      <c r="GL246" s="28"/>
      <c r="GM246" s="28"/>
      <c r="GN246" s="28"/>
      <c r="GO246" s="28"/>
      <c r="GP246" s="28"/>
      <c r="GQ246" s="28"/>
      <c r="GR246" s="28"/>
      <c r="GS246" s="28"/>
      <c r="GT246" s="28"/>
      <c r="GU246" s="28"/>
      <c r="GV246" s="28"/>
      <c r="GW246" s="28"/>
      <c r="GX246" s="28"/>
      <c r="GY246" s="28"/>
      <c r="GZ246" s="28"/>
      <c r="HA246" s="28"/>
      <c r="HB246" s="28"/>
      <c r="HC246" s="28"/>
      <c r="HD246" s="28"/>
      <c r="HE246" s="28"/>
      <c r="HF246" s="28"/>
      <c r="HG246" s="28"/>
      <c r="HH246" s="28"/>
      <c r="HI246" s="28"/>
      <c r="HJ246" s="28"/>
      <c r="HK246" s="28"/>
      <c r="HL246" s="28"/>
      <c r="HM246" s="28"/>
      <c r="HN246" s="28"/>
      <c r="HO246" s="28"/>
      <c r="HP246" s="28"/>
      <c r="HQ246" s="28"/>
      <c r="HR246" s="28"/>
      <c r="HS246" s="28"/>
      <c r="HT246" s="28"/>
      <c r="HU246" s="28"/>
      <c r="HV246" s="28"/>
      <c r="HW246" s="28"/>
      <c r="HX246" s="28"/>
      <c r="HY246" s="28"/>
      <c r="HZ246" s="28"/>
      <c r="IA246" s="28"/>
      <c r="IB246" s="28"/>
      <c r="IC246" s="28"/>
      <c r="ID246" s="28"/>
      <c r="IE246" s="28"/>
      <c r="IF246" s="28"/>
      <c r="IG246" s="28"/>
      <c r="IH246" s="28"/>
      <c r="II246" s="28"/>
      <c r="IJ246" s="28"/>
      <c r="IK246" s="28"/>
      <c r="IL246" s="28"/>
      <c r="IM246" s="28"/>
      <c r="IN246" s="28"/>
      <c r="IO246" s="28"/>
      <c r="IP246" s="28"/>
      <c r="IQ246" s="28"/>
      <c r="IR246" s="26"/>
      <c r="IS246" s="26"/>
      <c r="IT246" s="26"/>
      <c r="IU246" s="26"/>
      <c r="IV246" s="26"/>
    </row>
    <row r="247" ht="11.25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  <c r="BV247" s="28"/>
      <c r="BW247" s="28"/>
      <c r="BX247" s="28"/>
      <c r="BY247" s="28"/>
      <c r="BZ247" s="28"/>
      <c r="CA247" s="28"/>
      <c r="CB247" s="28"/>
      <c r="CC247" s="28"/>
      <c r="CD247" s="28"/>
      <c r="CE247" s="28"/>
      <c r="CF247" s="28"/>
      <c r="CG247" s="28"/>
      <c r="CH247" s="28"/>
      <c r="CI247" s="28"/>
      <c r="CJ247" s="28"/>
      <c r="CK247" s="28"/>
      <c r="CL247" s="28"/>
      <c r="CM247" s="28"/>
      <c r="CN247" s="28"/>
      <c r="CO247" s="28"/>
      <c r="CP247" s="28"/>
      <c r="CQ247" s="28"/>
      <c r="CR247" s="28"/>
      <c r="CS247" s="28"/>
      <c r="CT247" s="28"/>
      <c r="CU247" s="28"/>
      <c r="CV247" s="28"/>
      <c r="CW247" s="28"/>
      <c r="CX247" s="28"/>
      <c r="CY247" s="28"/>
      <c r="CZ247" s="28"/>
      <c r="DA247" s="28"/>
      <c r="DB247" s="28"/>
      <c r="DC247" s="28"/>
      <c r="DD247" s="28"/>
      <c r="DE247" s="28"/>
      <c r="DF247" s="28"/>
      <c r="DG247" s="28"/>
      <c r="DH247" s="28"/>
      <c r="DI247" s="28"/>
      <c r="DJ247" s="28"/>
      <c r="DK247" s="28"/>
      <c r="DL247" s="28"/>
      <c r="DM247" s="28"/>
      <c r="DN247" s="28"/>
      <c r="DO247" s="28"/>
      <c r="DP247" s="28"/>
      <c r="DQ247" s="28"/>
      <c r="DR247" s="28"/>
      <c r="DS247" s="28"/>
      <c r="DT247" s="28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  <c r="EQ247" s="28"/>
      <c r="ER247" s="28"/>
      <c r="ES247" s="28"/>
      <c r="ET247" s="28"/>
      <c r="EU247" s="28"/>
      <c r="EV247" s="28"/>
      <c r="EW247" s="28"/>
      <c r="EX247" s="28"/>
      <c r="EY247" s="28"/>
      <c r="EZ247" s="28"/>
      <c r="FA247" s="28"/>
      <c r="FB247" s="28"/>
      <c r="FC247" s="28"/>
      <c r="FD247" s="28"/>
      <c r="FE247" s="28"/>
      <c r="FF247" s="28"/>
      <c r="FG247" s="28"/>
      <c r="FH247" s="28"/>
      <c r="FI247" s="28"/>
      <c r="FJ247" s="28"/>
      <c r="FK247" s="28"/>
      <c r="FL247" s="28"/>
      <c r="FM247" s="28"/>
      <c r="FN247" s="28"/>
      <c r="FO247" s="28"/>
      <c r="FP247" s="28"/>
      <c r="FQ247" s="28"/>
      <c r="FR247" s="28"/>
      <c r="FS247" s="28"/>
      <c r="FT247" s="28"/>
      <c r="FU247" s="28"/>
      <c r="FV247" s="28"/>
      <c r="FW247" s="28"/>
      <c r="FX247" s="28"/>
      <c r="FY247" s="28"/>
      <c r="FZ247" s="28"/>
      <c r="GA247" s="28"/>
      <c r="GB247" s="28"/>
      <c r="GC247" s="28"/>
      <c r="GD247" s="28"/>
      <c r="GE247" s="28"/>
      <c r="GF247" s="28"/>
      <c r="GG247" s="28"/>
      <c r="GH247" s="28"/>
      <c r="GI247" s="28"/>
      <c r="GJ247" s="28"/>
      <c r="GK247" s="28"/>
      <c r="GL247" s="28"/>
      <c r="GM247" s="28"/>
      <c r="GN247" s="28"/>
      <c r="GO247" s="28"/>
      <c r="GP247" s="28"/>
      <c r="GQ247" s="28"/>
      <c r="GR247" s="28"/>
      <c r="GS247" s="28"/>
      <c r="GT247" s="28"/>
      <c r="GU247" s="28"/>
      <c r="GV247" s="28"/>
      <c r="GW247" s="28"/>
      <c r="GX247" s="28"/>
      <c r="GY247" s="28"/>
      <c r="GZ247" s="28"/>
      <c r="HA247" s="28"/>
      <c r="HB247" s="28"/>
      <c r="HC247" s="28"/>
      <c r="HD247" s="28"/>
      <c r="HE247" s="28"/>
      <c r="HF247" s="28"/>
      <c r="HG247" s="28"/>
      <c r="HH247" s="28"/>
      <c r="HI247" s="28"/>
      <c r="HJ247" s="28"/>
      <c r="HK247" s="28"/>
      <c r="HL247" s="28"/>
      <c r="HM247" s="28"/>
      <c r="HN247" s="28"/>
      <c r="HO247" s="28"/>
      <c r="HP247" s="28"/>
      <c r="HQ247" s="28"/>
      <c r="HR247" s="28"/>
      <c r="HS247" s="28"/>
      <c r="HT247" s="28"/>
      <c r="HU247" s="28"/>
      <c r="HV247" s="28"/>
      <c r="HW247" s="28"/>
      <c r="HX247" s="28"/>
      <c r="HY247" s="28"/>
      <c r="HZ247" s="28"/>
      <c r="IA247" s="28"/>
      <c r="IB247" s="28"/>
      <c r="IC247" s="28"/>
      <c r="ID247" s="28"/>
      <c r="IE247" s="28"/>
      <c r="IF247" s="28"/>
      <c r="IG247" s="28"/>
      <c r="IH247" s="28"/>
      <c r="II247" s="28"/>
      <c r="IJ247" s="28"/>
      <c r="IK247" s="28"/>
      <c r="IL247" s="28"/>
      <c r="IM247" s="28"/>
      <c r="IN247" s="28"/>
      <c r="IO247" s="28"/>
      <c r="IP247" s="28"/>
      <c r="IQ247" s="28"/>
      <c r="IR247" s="26"/>
      <c r="IS247" s="26"/>
      <c r="IT247" s="26"/>
      <c r="IU247" s="26"/>
      <c r="IV247" s="26"/>
    </row>
    <row r="248" ht="11.25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  <c r="BV248" s="28"/>
      <c r="BW248" s="28"/>
      <c r="BX248" s="28"/>
      <c r="BY248" s="28"/>
      <c r="BZ248" s="28"/>
      <c r="CA248" s="28"/>
      <c r="CB248" s="28"/>
      <c r="CC248" s="28"/>
      <c r="CD248" s="28"/>
      <c r="CE248" s="28"/>
      <c r="CF248" s="28"/>
      <c r="CG248" s="28"/>
      <c r="CH248" s="28"/>
      <c r="CI248" s="28"/>
      <c r="CJ248" s="28"/>
      <c r="CK248" s="28"/>
      <c r="CL248" s="28"/>
      <c r="CM248" s="28"/>
      <c r="CN248" s="28"/>
      <c r="CO248" s="28"/>
      <c r="CP248" s="28"/>
      <c r="CQ248" s="28"/>
      <c r="CR248" s="28"/>
      <c r="CS248" s="28"/>
      <c r="CT248" s="28"/>
      <c r="CU248" s="28"/>
      <c r="CV248" s="28"/>
      <c r="CW248" s="28"/>
      <c r="CX248" s="28"/>
      <c r="CY248" s="28"/>
      <c r="CZ248" s="28"/>
      <c r="DA248" s="28"/>
      <c r="DB248" s="28"/>
      <c r="DC248" s="28"/>
      <c r="DD248" s="28"/>
      <c r="DE248" s="28"/>
      <c r="DF248" s="28"/>
      <c r="DG248" s="28"/>
      <c r="DH248" s="28"/>
      <c r="DI248" s="28"/>
      <c r="DJ248" s="28"/>
      <c r="DK248" s="28"/>
      <c r="DL248" s="28"/>
      <c r="DM248" s="28"/>
      <c r="DN248" s="28"/>
      <c r="DO248" s="28"/>
      <c r="DP248" s="28"/>
      <c r="DQ248" s="28"/>
      <c r="DR248" s="28"/>
      <c r="DS248" s="28"/>
      <c r="DT248" s="28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  <c r="EQ248" s="28"/>
      <c r="ER248" s="28"/>
      <c r="ES248" s="28"/>
      <c r="ET248" s="28"/>
      <c r="EU248" s="28"/>
      <c r="EV248" s="28"/>
      <c r="EW248" s="28"/>
      <c r="EX248" s="28"/>
      <c r="EY248" s="28"/>
      <c r="EZ248" s="28"/>
      <c r="FA248" s="28"/>
      <c r="FB248" s="28"/>
      <c r="FC248" s="28"/>
      <c r="FD248" s="28"/>
      <c r="FE248" s="28"/>
      <c r="FF248" s="28"/>
      <c r="FG248" s="28"/>
      <c r="FH248" s="28"/>
      <c r="FI248" s="28"/>
      <c r="FJ248" s="28"/>
      <c r="FK248" s="28"/>
      <c r="FL248" s="28"/>
      <c r="FM248" s="28"/>
      <c r="FN248" s="28"/>
      <c r="FO248" s="28"/>
      <c r="FP248" s="28"/>
      <c r="FQ248" s="28"/>
      <c r="FR248" s="28"/>
      <c r="FS248" s="28"/>
      <c r="FT248" s="28"/>
      <c r="FU248" s="28"/>
      <c r="FV248" s="28"/>
      <c r="FW248" s="28"/>
      <c r="FX248" s="28"/>
      <c r="FY248" s="28"/>
      <c r="FZ248" s="28"/>
      <c r="GA248" s="28"/>
      <c r="GB248" s="28"/>
      <c r="GC248" s="28"/>
      <c r="GD248" s="28"/>
      <c r="GE248" s="28"/>
      <c r="GF248" s="28"/>
      <c r="GG248" s="28"/>
      <c r="GH248" s="28"/>
      <c r="GI248" s="28"/>
      <c r="GJ248" s="28"/>
      <c r="GK248" s="28"/>
      <c r="GL248" s="28"/>
      <c r="GM248" s="28"/>
      <c r="GN248" s="28"/>
      <c r="GO248" s="28"/>
      <c r="GP248" s="28"/>
      <c r="GQ248" s="28"/>
      <c r="GR248" s="28"/>
      <c r="GS248" s="28"/>
      <c r="GT248" s="28"/>
      <c r="GU248" s="28"/>
      <c r="GV248" s="28"/>
      <c r="GW248" s="28"/>
      <c r="GX248" s="28"/>
      <c r="GY248" s="28"/>
      <c r="GZ248" s="28"/>
      <c r="HA248" s="28"/>
      <c r="HB248" s="28"/>
      <c r="HC248" s="28"/>
      <c r="HD248" s="28"/>
      <c r="HE248" s="28"/>
      <c r="HF248" s="28"/>
      <c r="HG248" s="28"/>
      <c r="HH248" s="28"/>
      <c r="HI248" s="28"/>
      <c r="HJ248" s="28"/>
      <c r="HK248" s="28"/>
      <c r="HL248" s="28"/>
      <c r="HM248" s="28"/>
      <c r="HN248" s="28"/>
      <c r="HO248" s="28"/>
      <c r="HP248" s="28"/>
      <c r="HQ248" s="28"/>
      <c r="HR248" s="28"/>
      <c r="HS248" s="28"/>
      <c r="HT248" s="28"/>
      <c r="HU248" s="28"/>
      <c r="HV248" s="28"/>
      <c r="HW248" s="28"/>
      <c r="HX248" s="28"/>
      <c r="HY248" s="28"/>
      <c r="HZ248" s="28"/>
      <c r="IA248" s="28"/>
      <c r="IB248" s="28"/>
      <c r="IC248" s="28"/>
      <c r="ID248" s="28"/>
      <c r="IE248" s="28"/>
      <c r="IF248" s="28"/>
      <c r="IG248" s="28"/>
      <c r="IH248" s="28"/>
      <c r="II248" s="28"/>
      <c r="IJ248" s="28"/>
      <c r="IK248" s="28"/>
      <c r="IL248" s="28"/>
      <c r="IM248" s="28"/>
      <c r="IN248" s="28"/>
      <c r="IO248" s="28"/>
      <c r="IP248" s="28"/>
      <c r="IQ248" s="28"/>
      <c r="IR248" s="26"/>
      <c r="IS248" s="26"/>
      <c r="IT248" s="26"/>
      <c r="IU248" s="26"/>
      <c r="IV248" s="26"/>
    </row>
    <row r="249" ht="11.25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28"/>
      <c r="CC249" s="28"/>
      <c r="CD249" s="28"/>
      <c r="CE249" s="28"/>
      <c r="CF249" s="28"/>
      <c r="CG249" s="28"/>
      <c r="CH249" s="28"/>
      <c r="CI249" s="28"/>
      <c r="CJ249" s="28"/>
      <c r="CK249" s="28"/>
      <c r="CL249" s="28"/>
      <c r="CM249" s="28"/>
      <c r="CN249" s="28"/>
      <c r="CO249" s="28"/>
      <c r="CP249" s="28"/>
      <c r="CQ249" s="28"/>
      <c r="CR249" s="28"/>
      <c r="CS249" s="28"/>
      <c r="CT249" s="28"/>
      <c r="CU249" s="28"/>
      <c r="CV249" s="28"/>
      <c r="CW249" s="28"/>
      <c r="CX249" s="28"/>
      <c r="CY249" s="28"/>
      <c r="CZ249" s="28"/>
      <c r="DA249" s="28"/>
      <c r="DB249" s="28"/>
      <c r="DC249" s="28"/>
      <c r="DD249" s="28"/>
      <c r="DE249" s="28"/>
      <c r="DF249" s="28"/>
      <c r="DG249" s="28"/>
      <c r="DH249" s="28"/>
      <c r="DI249" s="28"/>
      <c r="DJ249" s="28"/>
      <c r="DK249" s="28"/>
      <c r="DL249" s="28"/>
      <c r="DM249" s="28"/>
      <c r="DN249" s="28"/>
      <c r="DO249" s="28"/>
      <c r="DP249" s="28"/>
      <c r="DQ249" s="28"/>
      <c r="DR249" s="28"/>
      <c r="DS249" s="28"/>
      <c r="DT249" s="28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  <c r="EQ249" s="28"/>
      <c r="ER249" s="28"/>
      <c r="ES249" s="28"/>
      <c r="ET249" s="28"/>
      <c r="EU249" s="28"/>
      <c r="EV249" s="28"/>
      <c r="EW249" s="28"/>
      <c r="EX249" s="28"/>
      <c r="EY249" s="28"/>
      <c r="EZ249" s="28"/>
      <c r="FA249" s="28"/>
      <c r="FB249" s="28"/>
      <c r="FC249" s="28"/>
      <c r="FD249" s="28"/>
      <c r="FE249" s="28"/>
      <c r="FF249" s="28"/>
      <c r="FG249" s="28"/>
      <c r="FH249" s="28"/>
      <c r="FI249" s="28"/>
      <c r="FJ249" s="28"/>
      <c r="FK249" s="28"/>
      <c r="FL249" s="28"/>
      <c r="FM249" s="28"/>
      <c r="FN249" s="28"/>
      <c r="FO249" s="28"/>
      <c r="FP249" s="28"/>
      <c r="FQ249" s="28"/>
      <c r="FR249" s="28"/>
      <c r="FS249" s="28"/>
      <c r="FT249" s="28"/>
      <c r="FU249" s="28"/>
      <c r="FV249" s="28"/>
      <c r="FW249" s="28"/>
      <c r="FX249" s="28"/>
      <c r="FY249" s="28"/>
      <c r="FZ249" s="28"/>
      <c r="GA249" s="28"/>
      <c r="GB249" s="28"/>
      <c r="GC249" s="28"/>
      <c r="GD249" s="28"/>
      <c r="GE249" s="28"/>
      <c r="GF249" s="28"/>
      <c r="GG249" s="28"/>
      <c r="GH249" s="28"/>
      <c r="GI249" s="28"/>
      <c r="GJ249" s="28"/>
      <c r="GK249" s="28"/>
      <c r="GL249" s="28"/>
      <c r="GM249" s="28"/>
      <c r="GN249" s="28"/>
      <c r="GO249" s="28"/>
      <c r="GP249" s="28"/>
      <c r="GQ249" s="28"/>
      <c r="GR249" s="28"/>
      <c r="GS249" s="28"/>
      <c r="GT249" s="28"/>
      <c r="GU249" s="28"/>
      <c r="GV249" s="28"/>
      <c r="GW249" s="28"/>
      <c r="GX249" s="28"/>
      <c r="GY249" s="28"/>
      <c r="GZ249" s="28"/>
      <c r="HA249" s="28"/>
      <c r="HB249" s="28"/>
      <c r="HC249" s="28"/>
      <c r="HD249" s="28"/>
      <c r="HE249" s="28"/>
      <c r="HF249" s="28"/>
      <c r="HG249" s="28"/>
      <c r="HH249" s="28"/>
      <c r="HI249" s="28"/>
      <c r="HJ249" s="28"/>
      <c r="HK249" s="28"/>
      <c r="HL249" s="28"/>
      <c r="HM249" s="28"/>
      <c r="HN249" s="28"/>
      <c r="HO249" s="28"/>
      <c r="HP249" s="28"/>
      <c r="HQ249" s="28"/>
      <c r="HR249" s="28"/>
      <c r="HS249" s="28"/>
      <c r="HT249" s="28"/>
      <c r="HU249" s="28"/>
      <c r="HV249" s="28"/>
      <c r="HW249" s="28"/>
      <c r="HX249" s="28"/>
      <c r="HY249" s="28"/>
      <c r="HZ249" s="28"/>
      <c r="IA249" s="28"/>
      <c r="IB249" s="28"/>
      <c r="IC249" s="28"/>
      <c r="ID249" s="28"/>
      <c r="IE249" s="28"/>
      <c r="IF249" s="28"/>
      <c r="IG249" s="28"/>
      <c r="IH249" s="28"/>
      <c r="II249" s="28"/>
      <c r="IJ249" s="28"/>
      <c r="IK249" s="28"/>
      <c r="IL249" s="28"/>
      <c r="IM249" s="28"/>
      <c r="IN249" s="28"/>
      <c r="IO249" s="28"/>
      <c r="IP249" s="28"/>
      <c r="IQ249" s="28"/>
      <c r="IR249" s="26"/>
      <c r="IS249" s="26"/>
      <c r="IT249" s="26"/>
      <c r="IU249" s="26"/>
      <c r="IV249" s="26"/>
    </row>
    <row r="250" ht="11.25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28"/>
      <c r="CC250" s="28"/>
      <c r="CD250" s="28"/>
      <c r="CE250" s="28"/>
      <c r="CF250" s="28"/>
      <c r="CG250" s="28"/>
      <c r="CH250" s="28"/>
      <c r="CI250" s="28"/>
      <c r="CJ250" s="28"/>
      <c r="CK250" s="28"/>
      <c r="CL250" s="28"/>
      <c r="CM250" s="28"/>
      <c r="CN250" s="28"/>
      <c r="CO250" s="28"/>
      <c r="CP250" s="28"/>
      <c r="CQ250" s="28"/>
      <c r="CR250" s="28"/>
      <c r="CS250" s="28"/>
      <c r="CT250" s="28"/>
      <c r="CU250" s="28"/>
      <c r="CV250" s="28"/>
      <c r="CW250" s="28"/>
      <c r="CX250" s="28"/>
      <c r="CY250" s="28"/>
      <c r="CZ250" s="28"/>
      <c r="DA250" s="28"/>
      <c r="DB250" s="28"/>
      <c r="DC250" s="28"/>
      <c r="DD250" s="28"/>
      <c r="DE250" s="28"/>
      <c r="DF250" s="28"/>
      <c r="DG250" s="28"/>
      <c r="DH250" s="28"/>
      <c r="DI250" s="28"/>
      <c r="DJ250" s="28"/>
      <c r="DK250" s="28"/>
      <c r="DL250" s="28"/>
      <c r="DM250" s="28"/>
      <c r="DN250" s="28"/>
      <c r="DO250" s="28"/>
      <c r="DP250" s="28"/>
      <c r="DQ250" s="28"/>
      <c r="DR250" s="28"/>
      <c r="DS250" s="28"/>
      <c r="DT250" s="28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  <c r="EQ250" s="28"/>
      <c r="ER250" s="28"/>
      <c r="ES250" s="28"/>
      <c r="ET250" s="28"/>
      <c r="EU250" s="28"/>
      <c r="EV250" s="28"/>
      <c r="EW250" s="28"/>
      <c r="EX250" s="28"/>
      <c r="EY250" s="28"/>
      <c r="EZ250" s="28"/>
      <c r="FA250" s="28"/>
      <c r="FB250" s="28"/>
      <c r="FC250" s="28"/>
      <c r="FD250" s="28"/>
      <c r="FE250" s="28"/>
      <c r="FF250" s="28"/>
      <c r="FG250" s="28"/>
      <c r="FH250" s="28"/>
      <c r="FI250" s="28"/>
      <c r="FJ250" s="28"/>
      <c r="FK250" s="28"/>
      <c r="FL250" s="28"/>
      <c r="FM250" s="28"/>
      <c r="FN250" s="28"/>
      <c r="FO250" s="28"/>
      <c r="FP250" s="28"/>
      <c r="FQ250" s="28"/>
      <c r="FR250" s="28"/>
      <c r="FS250" s="28"/>
      <c r="FT250" s="28"/>
      <c r="FU250" s="28"/>
      <c r="FV250" s="28"/>
      <c r="FW250" s="28"/>
      <c r="FX250" s="28"/>
      <c r="FY250" s="28"/>
      <c r="FZ250" s="28"/>
      <c r="GA250" s="28"/>
      <c r="GB250" s="28"/>
      <c r="GC250" s="28"/>
      <c r="GD250" s="28"/>
      <c r="GE250" s="28"/>
      <c r="GF250" s="28"/>
      <c r="GG250" s="28"/>
      <c r="GH250" s="28"/>
      <c r="GI250" s="28"/>
      <c r="GJ250" s="28"/>
      <c r="GK250" s="28"/>
      <c r="GL250" s="28"/>
      <c r="GM250" s="28"/>
      <c r="GN250" s="28"/>
      <c r="GO250" s="28"/>
      <c r="GP250" s="28"/>
      <c r="GQ250" s="28"/>
      <c r="GR250" s="28"/>
      <c r="GS250" s="28"/>
      <c r="GT250" s="28"/>
      <c r="GU250" s="28"/>
      <c r="GV250" s="28"/>
      <c r="GW250" s="28"/>
      <c r="GX250" s="28"/>
      <c r="GY250" s="28"/>
      <c r="GZ250" s="28"/>
      <c r="HA250" s="28"/>
      <c r="HB250" s="28"/>
      <c r="HC250" s="28"/>
      <c r="HD250" s="28"/>
      <c r="HE250" s="28"/>
      <c r="HF250" s="28"/>
      <c r="HG250" s="28"/>
      <c r="HH250" s="28"/>
      <c r="HI250" s="28"/>
      <c r="HJ250" s="28"/>
      <c r="HK250" s="28"/>
      <c r="HL250" s="28"/>
      <c r="HM250" s="28"/>
      <c r="HN250" s="28"/>
      <c r="HO250" s="28"/>
      <c r="HP250" s="28"/>
      <c r="HQ250" s="28"/>
      <c r="HR250" s="28"/>
      <c r="HS250" s="28"/>
      <c r="HT250" s="28"/>
      <c r="HU250" s="28"/>
      <c r="HV250" s="28"/>
      <c r="HW250" s="28"/>
      <c r="HX250" s="28"/>
      <c r="HY250" s="28"/>
      <c r="HZ250" s="28"/>
      <c r="IA250" s="28"/>
      <c r="IB250" s="28"/>
      <c r="IC250" s="28"/>
      <c r="ID250" s="28"/>
      <c r="IE250" s="28"/>
      <c r="IF250" s="28"/>
      <c r="IG250" s="28"/>
      <c r="IH250" s="28"/>
      <c r="II250" s="28"/>
      <c r="IJ250" s="28"/>
      <c r="IK250" s="28"/>
      <c r="IL250" s="28"/>
      <c r="IM250" s="28"/>
      <c r="IN250" s="28"/>
      <c r="IO250" s="28"/>
      <c r="IP250" s="28"/>
      <c r="IQ250" s="28"/>
      <c r="IR250" s="26"/>
      <c r="IS250" s="26"/>
      <c r="IT250" s="26"/>
      <c r="IU250" s="26"/>
      <c r="IV250" s="26"/>
    </row>
    <row r="251" ht="11.25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28"/>
      <c r="CC251" s="28"/>
      <c r="CD251" s="28"/>
      <c r="CE251" s="28"/>
      <c r="CF251" s="28"/>
      <c r="CG251" s="28"/>
      <c r="CH251" s="28"/>
      <c r="CI251" s="28"/>
      <c r="CJ251" s="28"/>
      <c r="CK251" s="28"/>
      <c r="CL251" s="28"/>
      <c r="CM251" s="28"/>
      <c r="CN251" s="28"/>
      <c r="CO251" s="28"/>
      <c r="CP251" s="28"/>
      <c r="CQ251" s="28"/>
      <c r="CR251" s="28"/>
      <c r="CS251" s="28"/>
      <c r="CT251" s="28"/>
      <c r="CU251" s="28"/>
      <c r="CV251" s="28"/>
      <c r="CW251" s="28"/>
      <c r="CX251" s="28"/>
      <c r="CY251" s="28"/>
      <c r="CZ251" s="28"/>
      <c r="DA251" s="28"/>
      <c r="DB251" s="28"/>
      <c r="DC251" s="28"/>
      <c r="DD251" s="28"/>
      <c r="DE251" s="28"/>
      <c r="DF251" s="28"/>
      <c r="DG251" s="28"/>
      <c r="DH251" s="28"/>
      <c r="DI251" s="28"/>
      <c r="DJ251" s="28"/>
      <c r="DK251" s="28"/>
      <c r="DL251" s="28"/>
      <c r="DM251" s="28"/>
      <c r="DN251" s="28"/>
      <c r="DO251" s="28"/>
      <c r="DP251" s="28"/>
      <c r="DQ251" s="28"/>
      <c r="DR251" s="28"/>
      <c r="DS251" s="28"/>
      <c r="DT251" s="28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  <c r="EQ251" s="28"/>
      <c r="ER251" s="28"/>
      <c r="ES251" s="28"/>
      <c r="ET251" s="28"/>
      <c r="EU251" s="28"/>
      <c r="EV251" s="28"/>
      <c r="EW251" s="28"/>
      <c r="EX251" s="28"/>
      <c r="EY251" s="28"/>
      <c r="EZ251" s="28"/>
      <c r="FA251" s="28"/>
      <c r="FB251" s="28"/>
      <c r="FC251" s="28"/>
      <c r="FD251" s="28"/>
      <c r="FE251" s="28"/>
      <c r="FF251" s="28"/>
      <c r="FG251" s="28"/>
      <c r="FH251" s="28"/>
      <c r="FI251" s="28"/>
      <c r="FJ251" s="28"/>
      <c r="FK251" s="28"/>
      <c r="FL251" s="28"/>
      <c r="FM251" s="28"/>
      <c r="FN251" s="28"/>
      <c r="FO251" s="28"/>
      <c r="FP251" s="28"/>
      <c r="FQ251" s="28"/>
      <c r="FR251" s="28"/>
      <c r="FS251" s="28"/>
      <c r="FT251" s="28"/>
      <c r="FU251" s="28"/>
      <c r="FV251" s="28"/>
      <c r="FW251" s="28"/>
      <c r="FX251" s="28"/>
      <c r="FY251" s="28"/>
      <c r="FZ251" s="28"/>
      <c r="GA251" s="28"/>
      <c r="GB251" s="28"/>
      <c r="GC251" s="28"/>
      <c r="GD251" s="28"/>
      <c r="GE251" s="28"/>
      <c r="GF251" s="28"/>
      <c r="GG251" s="28"/>
      <c r="GH251" s="28"/>
      <c r="GI251" s="28"/>
      <c r="GJ251" s="28"/>
      <c r="GK251" s="28"/>
      <c r="GL251" s="28"/>
      <c r="GM251" s="28"/>
      <c r="GN251" s="28"/>
      <c r="GO251" s="28"/>
      <c r="GP251" s="28"/>
      <c r="GQ251" s="28"/>
      <c r="GR251" s="28"/>
      <c r="GS251" s="28"/>
      <c r="GT251" s="28"/>
      <c r="GU251" s="28"/>
      <c r="GV251" s="28"/>
      <c r="GW251" s="28"/>
      <c r="GX251" s="28"/>
      <c r="GY251" s="28"/>
      <c r="GZ251" s="28"/>
      <c r="HA251" s="28"/>
      <c r="HB251" s="28"/>
      <c r="HC251" s="28"/>
      <c r="HD251" s="28"/>
      <c r="HE251" s="28"/>
      <c r="HF251" s="28"/>
      <c r="HG251" s="28"/>
      <c r="HH251" s="28"/>
      <c r="HI251" s="28"/>
      <c r="HJ251" s="28"/>
      <c r="HK251" s="28"/>
      <c r="HL251" s="28"/>
      <c r="HM251" s="28"/>
      <c r="HN251" s="28"/>
      <c r="HO251" s="28"/>
      <c r="HP251" s="28"/>
      <c r="HQ251" s="28"/>
      <c r="HR251" s="28"/>
      <c r="HS251" s="28"/>
      <c r="HT251" s="28"/>
      <c r="HU251" s="28"/>
      <c r="HV251" s="28"/>
      <c r="HW251" s="28"/>
      <c r="HX251" s="28"/>
      <c r="HY251" s="28"/>
      <c r="HZ251" s="28"/>
      <c r="IA251" s="28"/>
      <c r="IB251" s="28"/>
      <c r="IC251" s="28"/>
      <c r="ID251" s="28"/>
      <c r="IE251" s="28"/>
      <c r="IF251" s="28"/>
      <c r="IG251" s="28"/>
      <c r="IH251" s="28"/>
      <c r="II251" s="28"/>
      <c r="IJ251" s="28"/>
      <c r="IK251" s="28"/>
      <c r="IL251" s="28"/>
      <c r="IM251" s="28"/>
      <c r="IN251" s="28"/>
      <c r="IO251" s="28"/>
      <c r="IP251" s="28"/>
      <c r="IQ251" s="28"/>
      <c r="IR251" s="26"/>
      <c r="IS251" s="26"/>
      <c r="IT251" s="26"/>
      <c r="IU251" s="26"/>
      <c r="IV251" s="26"/>
    </row>
    <row r="252" ht="11.25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28"/>
      <c r="CC252" s="28"/>
      <c r="CD252" s="28"/>
      <c r="CE252" s="28"/>
      <c r="CF252" s="28"/>
      <c r="CG252" s="28"/>
      <c r="CH252" s="28"/>
      <c r="CI252" s="28"/>
      <c r="CJ252" s="28"/>
      <c r="CK252" s="28"/>
      <c r="CL252" s="28"/>
      <c r="CM252" s="28"/>
      <c r="CN252" s="28"/>
      <c r="CO252" s="28"/>
      <c r="CP252" s="28"/>
      <c r="CQ252" s="28"/>
      <c r="CR252" s="28"/>
      <c r="CS252" s="28"/>
      <c r="CT252" s="28"/>
      <c r="CU252" s="28"/>
      <c r="CV252" s="28"/>
      <c r="CW252" s="28"/>
      <c r="CX252" s="28"/>
      <c r="CY252" s="28"/>
      <c r="CZ252" s="28"/>
      <c r="DA252" s="28"/>
      <c r="DB252" s="28"/>
      <c r="DC252" s="28"/>
      <c r="DD252" s="28"/>
      <c r="DE252" s="28"/>
      <c r="DF252" s="28"/>
      <c r="DG252" s="28"/>
      <c r="DH252" s="28"/>
      <c r="DI252" s="28"/>
      <c r="DJ252" s="28"/>
      <c r="DK252" s="28"/>
      <c r="DL252" s="28"/>
      <c r="DM252" s="28"/>
      <c r="DN252" s="28"/>
      <c r="DO252" s="28"/>
      <c r="DP252" s="28"/>
      <c r="DQ252" s="28"/>
      <c r="DR252" s="28"/>
      <c r="DS252" s="28"/>
      <c r="DT252" s="28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  <c r="EQ252" s="28"/>
      <c r="ER252" s="28"/>
      <c r="ES252" s="28"/>
      <c r="ET252" s="28"/>
      <c r="EU252" s="28"/>
      <c r="EV252" s="28"/>
      <c r="EW252" s="28"/>
      <c r="EX252" s="28"/>
      <c r="EY252" s="28"/>
      <c r="EZ252" s="28"/>
      <c r="FA252" s="28"/>
      <c r="FB252" s="28"/>
      <c r="FC252" s="28"/>
      <c r="FD252" s="28"/>
      <c r="FE252" s="28"/>
      <c r="FF252" s="28"/>
      <c r="FG252" s="28"/>
      <c r="FH252" s="28"/>
      <c r="FI252" s="28"/>
      <c r="FJ252" s="28"/>
      <c r="FK252" s="28"/>
      <c r="FL252" s="28"/>
      <c r="FM252" s="28"/>
      <c r="FN252" s="28"/>
      <c r="FO252" s="28"/>
      <c r="FP252" s="28"/>
      <c r="FQ252" s="28"/>
      <c r="FR252" s="28"/>
      <c r="FS252" s="28"/>
      <c r="FT252" s="28"/>
      <c r="FU252" s="28"/>
      <c r="FV252" s="28"/>
      <c r="FW252" s="28"/>
      <c r="FX252" s="28"/>
      <c r="FY252" s="28"/>
      <c r="FZ252" s="28"/>
      <c r="GA252" s="28"/>
      <c r="GB252" s="28"/>
      <c r="GC252" s="28"/>
      <c r="GD252" s="28"/>
      <c r="GE252" s="28"/>
      <c r="GF252" s="28"/>
      <c r="GG252" s="28"/>
      <c r="GH252" s="28"/>
      <c r="GI252" s="28"/>
      <c r="GJ252" s="28"/>
      <c r="GK252" s="28"/>
      <c r="GL252" s="28"/>
      <c r="GM252" s="28"/>
      <c r="GN252" s="28"/>
      <c r="GO252" s="28"/>
      <c r="GP252" s="28"/>
      <c r="GQ252" s="28"/>
      <c r="GR252" s="28"/>
      <c r="GS252" s="28"/>
      <c r="GT252" s="28"/>
      <c r="GU252" s="28"/>
      <c r="GV252" s="28"/>
      <c r="GW252" s="28"/>
      <c r="GX252" s="28"/>
      <c r="GY252" s="28"/>
      <c r="GZ252" s="28"/>
      <c r="HA252" s="28"/>
      <c r="HB252" s="28"/>
      <c r="HC252" s="28"/>
      <c r="HD252" s="28"/>
      <c r="HE252" s="28"/>
      <c r="HF252" s="28"/>
      <c r="HG252" s="28"/>
      <c r="HH252" s="28"/>
      <c r="HI252" s="28"/>
      <c r="HJ252" s="28"/>
      <c r="HK252" s="28"/>
      <c r="HL252" s="28"/>
      <c r="HM252" s="28"/>
      <c r="HN252" s="28"/>
      <c r="HO252" s="28"/>
      <c r="HP252" s="28"/>
      <c r="HQ252" s="28"/>
      <c r="HR252" s="28"/>
      <c r="HS252" s="28"/>
      <c r="HT252" s="28"/>
      <c r="HU252" s="28"/>
      <c r="HV252" s="28"/>
      <c r="HW252" s="28"/>
      <c r="HX252" s="28"/>
      <c r="HY252" s="28"/>
      <c r="HZ252" s="28"/>
      <c r="IA252" s="28"/>
      <c r="IB252" s="28"/>
      <c r="IC252" s="28"/>
      <c r="ID252" s="28"/>
      <c r="IE252" s="28"/>
      <c r="IF252" s="28"/>
      <c r="IG252" s="28"/>
      <c r="IH252" s="28"/>
      <c r="II252" s="28"/>
      <c r="IJ252" s="28"/>
      <c r="IK252" s="28"/>
      <c r="IL252" s="28"/>
      <c r="IM252" s="28"/>
      <c r="IN252" s="28"/>
      <c r="IO252" s="28"/>
      <c r="IP252" s="28"/>
      <c r="IQ252" s="28"/>
      <c r="IR252" s="26"/>
      <c r="IS252" s="26"/>
      <c r="IT252" s="26"/>
      <c r="IU252" s="26"/>
      <c r="IV252" s="26"/>
    </row>
    <row r="253" ht="11.25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28"/>
      <c r="CC253" s="28"/>
      <c r="CD253" s="28"/>
      <c r="CE253" s="28"/>
      <c r="CF253" s="28"/>
      <c r="CG253" s="28"/>
      <c r="CH253" s="28"/>
      <c r="CI253" s="28"/>
      <c r="CJ253" s="28"/>
      <c r="CK253" s="28"/>
      <c r="CL253" s="28"/>
      <c r="CM253" s="28"/>
      <c r="CN253" s="28"/>
      <c r="CO253" s="28"/>
      <c r="CP253" s="28"/>
      <c r="CQ253" s="28"/>
      <c r="CR253" s="28"/>
      <c r="CS253" s="28"/>
      <c r="CT253" s="28"/>
      <c r="CU253" s="28"/>
      <c r="CV253" s="28"/>
      <c r="CW253" s="28"/>
      <c r="CX253" s="28"/>
      <c r="CY253" s="28"/>
      <c r="CZ253" s="28"/>
      <c r="DA253" s="28"/>
      <c r="DB253" s="28"/>
      <c r="DC253" s="28"/>
      <c r="DD253" s="28"/>
      <c r="DE253" s="28"/>
      <c r="DF253" s="28"/>
      <c r="DG253" s="28"/>
      <c r="DH253" s="28"/>
      <c r="DI253" s="28"/>
      <c r="DJ253" s="28"/>
      <c r="DK253" s="28"/>
      <c r="DL253" s="28"/>
      <c r="DM253" s="28"/>
      <c r="DN253" s="28"/>
      <c r="DO253" s="28"/>
      <c r="DP253" s="28"/>
      <c r="DQ253" s="28"/>
      <c r="DR253" s="28"/>
      <c r="DS253" s="28"/>
      <c r="DT253" s="28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  <c r="EQ253" s="28"/>
      <c r="ER253" s="28"/>
      <c r="ES253" s="28"/>
      <c r="ET253" s="28"/>
      <c r="EU253" s="28"/>
      <c r="EV253" s="28"/>
      <c r="EW253" s="28"/>
      <c r="EX253" s="28"/>
      <c r="EY253" s="28"/>
      <c r="EZ253" s="28"/>
      <c r="FA253" s="28"/>
      <c r="FB253" s="28"/>
      <c r="FC253" s="28"/>
      <c r="FD253" s="28"/>
      <c r="FE253" s="28"/>
      <c r="FF253" s="28"/>
      <c r="FG253" s="28"/>
      <c r="FH253" s="28"/>
      <c r="FI253" s="28"/>
      <c r="FJ253" s="28"/>
      <c r="FK253" s="28"/>
      <c r="FL253" s="28"/>
      <c r="FM253" s="28"/>
      <c r="FN253" s="28"/>
      <c r="FO253" s="28"/>
      <c r="FP253" s="28"/>
      <c r="FQ253" s="28"/>
      <c r="FR253" s="28"/>
      <c r="FS253" s="28"/>
      <c r="FT253" s="28"/>
      <c r="FU253" s="28"/>
      <c r="FV253" s="28"/>
      <c r="FW253" s="28"/>
      <c r="FX253" s="28"/>
      <c r="FY253" s="28"/>
      <c r="FZ253" s="28"/>
      <c r="GA253" s="28"/>
      <c r="GB253" s="28"/>
      <c r="GC253" s="28"/>
      <c r="GD253" s="28"/>
      <c r="GE253" s="28"/>
      <c r="GF253" s="28"/>
      <c r="GG253" s="28"/>
      <c r="GH253" s="28"/>
      <c r="GI253" s="28"/>
      <c r="GJ253" s="28"/>
      <c r="GK253" s="28"/>
      <c r="GL253" s="28"/>
      <c r="GM253" s="28"/>
      <c r="GN253" s="28"/>
      <c r="GO253" s="28"/>
      <c r="GP253" s="28"/>
      <c r="GQ253" s="28"/>
      <c r="GR253" s="28"/>
      <c r="GS253" s="28"/>
      <c r="GT253" s="28"/>
      <c r="GU253" s="28"/>
      <c r="GV253" s="28"/>
      <c r="GW253" s="28"/>
      <c r="GX253" s="28"/>
      <c r="GY253" s="28"/>
      <c r="GZ253" s="28"/>
      <c r="HA253" s="28"/>
      <c r="HB253" s="28"/>
      <c r="HC253" s="28"/>
      <c r="HD253" s="28"/>
      <c r="HE253" s="28"/>
      <c r="HF253" s="28"/>
      <c r="HG253" s="28"/>
      <c r="HH253" s="28"/>
      <c r="HI253" s="28"/>
      <c r="HJ253" s="28"/>
      <c r="HK253" s="28"/>
      <c r="HL253" s="28"/>
      <c r="HM253" s="28"/>
      <c r="HN253" s="28"/>
      <c r="HO253" s="28"/>
      <c r="HP253" s="28"/>
      <c r="HQ253" s="28"/>
      <c r="HR253" s="28"/>
      <c r="HS253" s="28"/>
      <c r="HT253" s="28"/>
      <c r="HU253" s="28"/>
      <c r="HV253" s="28"/>
      <c r="HW253" s="28"/>
      <c r="HX253" s="28"/>
      <c r="HY253" s="28"/>
      <c r="HZ253" s="28"/>
      <c r="IA253" s="28"/>
      <c r="IB253" s="28"/>
      <c r="IC253" s="28"/>
      <c r="ID253" s="28"/>
      <c r="IE253" s="28"/>
      <c r="IF253" s="28"/>
      <c r="IG253" s="28"/>
      <c r="IH253" s="28"/>
      <c r="II253" s="28"/>
      <c r="IJ253" s="28"/>
      <c r="IK253" s="28"/>
      <c r="IL253" s="28"/>
      <c r="IM253" s="28"/>
      <c r="IN253" s="28"/>
      <c r="IO253" s="28"/>
      <c r="IP253" s="28"/>
      <c r="IQ253" s="28"/>
      <c r="IR253" s="26"/>
      <c r="IS253" s="26"/>
      <c r="IT253" s="26"/>
      <c r="IU253" s="26"/>
      <c r="IV253" s="26"/>
    </row>
    <row r="254" ht="11.25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28"/>
      <c r="CC254" s="28"/>
      <c r="CD254" s="28"/>
      <c r="CE254" s="28"/>
      <c r="CF254" s="28"/>
      <c r="CG254" s="28"/>
      <c r="CH254" s="28"/>
      <c r="CI254" s="28"/>
      <c r="CJ254" s="28"/>
      <c r="CK254" s="28"/>
      <c r="CL254" s="28"/>
      <c r="CM254" s="28"/>
      <c r="CN254" s="28"/>
      <c r="CO254" s="28"/>
      <c r="CP254" s="28"/>
      <c r="CQ254" s="28"/>
      <c r="CR254" s="28"/>
      <c r="CS254" s="28"/>
      <c r="CT254" s="28"/>
      <c r="CU254" s="28"/>
      <c r="CV254" s="28"/>
      <c r="CW254" s="28"/>
      <c r="CX254" s="28"/>
      <c r="CY254" s="28"/>
      <c r="CZ254" s="28"/>
      <c r="DA254" s="28"/>
      <c r="DB254" s="28"/>
      <c r="DC254" s="28"/>
      <c r="DD254" s="28"/>
      <c r="DE254" s="28"/>
      <c r="DF254" s="28"/>
      <c r="DG254" s="28"/>
      <c r="DH254" s="28"/>
      <c r="DI254" s="28"/>
      <c r="DJ254" s="28"/>
      <c r="DK254" s="28"/>
      <c r="DL254" s="28"/>
      <c r="DM254" s="28"/>
      <c r="DN254" s="28"/>
      <c r="DO254" s="28"/>
      <c r="DP254" s="28"/>
      <c r="DQ254" s="28"/>
      <c r="DR254" s="28"/>
      <c r="DS254" s="28"/>
      <c r="DT254" s="28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  <c r="EQ254" s="28"/>
      <c r="ER254" s="28"/>
      <c r="ES254" s="28"/>
      <c r="ET254" s="28"/>
      <c r="EU254" s="28"/>
      <c r="EV254" s="28"/>
      <c r="EW254" s="28"/>
      <c r="EX254" s="28"/>
      <c r="EY254" s="28"/>
      <c r="EZ254" s="28"/>
      <c r="FA254" s="28"/>
      <c r="FB254" s="28"/>
      <c r="FC254" s="28"/>
      <c r="FD254" s="28"/>
      <c r="FE254" s="28"/>
      <c r="FF254" s="28"/>
      <c r="FG254" s="28"/>
      <c r="FH254" s="28"/>
      <c r="FI254" s="28"/>
      <c r="FJ254" s="28"/>
      <c r="FK254" s="28"/>
      <c r="FL254" s="28"/>
      <c r="FM254" s="28"/>
      <c r="FN254" s="28"/>
      <c r="FO254" s="28"/>
      <c r="FP254" s="28"/>
      <c r="FQ254" s="28"/>
      <c r="FR254" s="28"/>
      <c r="FS254" s="28"/>
      <c r="FT254" s="28"/>
      <c r="FU254" s="28"/>
      <c r="FV254" s="28"/>
      <c r="FW254" s="28"/>
      <c r="FX254" s="28"/>
      <c r="FY254" s="28"/>
      <c r="FZ254" s="28"/>
      <c r="GA254" s="28"/>
      <c r="GB254" s="28"/>
      <c r="GC254" s="28"/>
      <c r="GD254" s="28"/>
      <c r="GE254" s="28"/>
      <c r="GF254" s="28"/>
      <c r="GG254" s="28"/>
      <c r="GH254" s="28"/>
      <c r="GI254" s="28"/>
      <c r="GJ254" s="28"/>
      <c r="GK254" s="28"/>
      <c r="GL254" s="28"/>
      <c r="GM254" s="28"/>
      <c r="GN254" s="28"/>
      <c r="GO254" s="28"/>
      <c r="GP254" s="28"/>
      <c r="GQ254" s="28"/>
      <c r="GR254" s="28"/>
      <c r="GS254" s="28"/>
      <c r="GT254" s="28"/>
      <c r="GU254" s="28"/>
      <c r="GV254" s="28"/>
      <c r="GW254" s="28"/>
      <c r="GX254" s="28"/>
      <c r="GY254" s="28"/>
      <c r="GZ254" s="28"/>
      <c r="HA254" s="28"/>
      <c r="HB254" s="28"/>
      <c r="HC254" s="28"/>
      <c r="HD254" s="28"/>
      <c r="HE254" s="28"/>
      <c r="HF254" s="28"/>
      <c r="HG254" s="28"/>
      <c r="HH254" s="28"/>
      <c r="HI254" s="28"/>
      <c r="HJ254" s="28"/>
      <c r="HK254" s="28"/>
      <c r="HL254" s="28"/>
      <c r="HM254" s="28"/>
      <c r="HN254" s="28"/>
      <c r="HO254" s="28"/>
      <c r="HP254" s="28"/>
      <c r="HQ254" s="28"/>
      <c r="HR254" s="28"/>
      <c r="HS254" s="28"/>
      <c r="HT254" s="28"/>
      <c r="HU254" s="28"/>
      <c r="HV254" s="28"/>
      <c r="HW254" s="28"/>
      <c r="HX254" s="28"/>
      <c r="HY254" s="28"/>
      <c r="HZ254" s="28"/>
      <c r="IA254" s="28"/>
      <c r="IB254" s="28"/>
      <c r="IC254" s="28"/>
      <c r="ID254" s="28"/>
      <c r="IE254" s="28"/>
      <c r="IF254" s="28"/>
      <c r="IG254" s="28"/>
      <c r="IH254" s="28"/>
      <c r="II254" s="28"/>
      <c r="IJ254" s="28"/>
      <c r="IK254" s="28"/>
      <c r="IL254" s="28"/>
      <c r="IM254" s="28"/>
      <c r="IN254" s="28"/>
      <c r="IO254" s="28"/>
      <c r="IP254" s="28"/>
      <c r="IQ254" s="28"/>
      <c r="IR254" s="26"/>
      <c r="IS254" s="26"/>
      <c r="IT254" s="26"/>
      <c r="IU254" s="26"/>
      <c r="IV254" s="26"/>
    </row>
  </sheetData>
  <conditionalFormatting sqref="B4:BV93 BX4:IQ93">
    <cfRule type="cellIs" dxfId="0" priority="1" operator="between">
      <formula>1</formula>
      <formula>2</formula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2.63" defaultRowHeight="15.0"/>
  <cols>
    <col customWidth="1" min="1" max="1" width="12.75"/>
    <col customWidth="1" min="2" max="16" width="9.13"/>
    <col customWidth="1" min="17" max="17" width="5.0"/>
    <col customWidth="1" hidden="1" min="18" max="20" width="8.0"/>
    <col customWidth="1" min="21" max="26" width="8.0"/>
  </cols>
  <sheetData>
    <row r="1" ht="12.75" customHeight="1">
      <c r="A1" s="36" t="str">
        <f>PESERTA!B4</f>
        <v>No Test</v>
      </c>
      <c r="B1" s="36" t="str">
        <f>":  "&amp;DATA!D122</f>
        <v>:  01</v>
      </c>
      <c r="C1" s="36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ht="12.75" customHeight="1">
      <c r="A2" s="36" t="str">
        <f>PESERTA!D4</f>
        <v>Nama</v>
      </c>
      <c r="B2" s="36" t="str">
        <f>":  "&amp;DATA!E142</f>
        <v>:  Riski</v>
      </c>
      <c r="C2" s="36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ht="12.75" customHeight="1">
      <c r="A3" s="36" t="str">
        <f>PESERTA!C4</f>
        <v>No Karyawan</v>
      </c>
      <c r="B3" s="36" t="str">
        <f>":  "&amp;DATA!E143</f>
        <v>:  1</v>
      </c>
      <c r="C3" s="36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2.75" customHeight="1">
      <c r="A4" s="36" t="str">
        <f>PESERTA!E4</f>
        <v>Dept</v>
      </c>
      <c r="B4" s="36" t="str">
        <f>":  "&amp;DATA!E144</f>
        <v>:  Hr</v>
      </c>
      <c r="C4" s="36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2.75" customHeight="1">
      <c r="A5" s="36" t="str">
        <f>PESERTA!F4</f>
        <v>Pendidikan</v>
      </c>
      <c r="B5" s="36" t="str">
        <f>":  "&amp;DATA!E145</f>
        <v>:  S1</v>
      </c>
      <c r="C5" s="36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23.25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8"/>
      <c r="Q6" s="39"/>
      <c r="R6" s="38"/>
      <c r="S6" s="38"/>
      <c r="T6" s="38"/>
      <c r="U6" s="37"/>
      <c r="V6" s="37"/>
      <c r="W6" s="37"/>
      <c r="X6" s="37"/>
      <c r="Y6" s="37"/>
      <c r="Z6" s="37"/>
    </row>
    <row r="7" ht="15.0" customHeight="1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8"/>
      <c r="Q7" s="38"/>
      <c r="R7" s="38"/>
      <c r="S7" s="38"/>
      <c r="T7" s="38"/>
      <c r="U7" s="37"/>
      <c r="V7" s="37"/>
      <c r="W7" s="37"/>
      <c r="X7" s="37"/>
      <c r="Y7" s="37"/>
      <c r="Z7" s="37"/>
    </row>
    <row r="8" ht="15.0" customHeight="1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8"/>
      <c r="Q8" s="38"/>
      <c r="R8" s="38"/>
      <c r="S8" s="38"/>
      <c r="T8" s="38"/>
      <c r="U8" s="37"/>
      <c r="V8" s="37"/>
      <c r="W8" s="37"/>
      <c r="X8" s="37"/>
      <c r="Y8" s="37"/>
      <c r="Z8" s="37"/>
    </row>
    <row r="9" ht="15.0" customHeight="1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8"/>
      <c r="Q9" s="38"/>
      <c r="R9" s="38"/>
      <c r="S9" s="38"/>
      <c r="T9" s="38"/>
      <c r="U9" s="37"/>
      <c r="V9" s="37"/>
      <c r="W9" s="37"/>
      <c r="X9" s="37"/>
      <c r="Y9" s="37"/>
      <c r="Z9" s="37"/>
    </row>
    <row r="10" ht="15.0" customHeight="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8"/>
      <c r="Q10" s="38"/>
      <c r="R10" s="38"/>
      <c r="S10" s="38"/>
      <c r="T10" s="38"/>
      <c r="U10" s="37"/>
      <c r="V10" s="37"/>
      <c r="W10" s="37"/>
      <c r="X10" s="37"/>
      <c r="Y10" s="37"/>
      <c r="Z10" s="37"/>
    </row>
    <row r="11" ht="12.75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12.75" customHeight="1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ht="12.75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ht="12.75" customHeight="1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ht="12.75" customHeight="1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ht="12.75" customHeight="1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ht="12.75" customHeight="1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ht="12.75" customHeight="1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ht="12.75" customHeight="1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12.75" customHeight="1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2.75" customHeight="1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2.75" customHeight="1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12.75" customHeight="1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12.75" customHeight="1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12.75" customHeight="1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12.75" customHeight="1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12.75" customHeight="1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12.75" customHeight="1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12.75" customHeight="1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12.75" customHeight="1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12.75" customHeight="1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12.75" customHeight="1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12.75" customHeight="1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12.75" customHeight="1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12.75" customHeight="1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12.75" customHeight="1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12.75" customHeight="1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12.75" customHeight="1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12.75" customHeight="1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12.75" customHeight="1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12.75" customHeight="1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12.75" customHeight="1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12.75" customHeight="1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2.75" customHeight="1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2.75" customHeight="1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12.75" customHeight="1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40" t="s">
        <v>442</v>
      </c>
      <c r="R46" s="37"/>
      <c r="S46" s="37"/>
      <c r="T46" s="37"/>
      <c r="U46" s="37"/>
      <c r="V46" s="37"/>
      <c r="W46" s="37"/>
      <c r="X46" s="37"/>
      <c r="Y46" s="37"/>
      <c r="Z46" s="37"/>
    </row>
    <row r="47" ht="12.75" customHeight="1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12.75" customHeight="1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12.75" customHeight="1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12.75" customHeight="1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12.75" customHeight="1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12.75" customHeight="1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12.75" customHeigh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12.75" customHeight="1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12.75" customHeight="1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12.75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2.75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12.75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12.75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12.75" customHeight="1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12.75" customHeight="1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12.75" customHeight="1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12.75" customHeight="1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12.75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12.75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12.75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12.75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12.75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12.75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12.75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12.75" customHeight="1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12.75" customHeight="1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12.75" customHeight="1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12.75" customHeight="1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12.75" customHeight="1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2.75" customHeight="1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2.75" customHeight="1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2.75" customHeight="1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2.75" customHeight="1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2.75" customHeight="1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2.75" customHeight="1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2.75" customHeight="1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2.75" customHeight="1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2.75" customHeight="1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2.75" customHeight="1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2.75" customHeight="1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2.75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2.75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2.75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2.75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2.75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2.75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2.75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2.75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2.75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2.75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2.75" customHeight="1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2.75" customHeight="1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2.75" customHeight="1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2.75" customHeight="1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2.75" customHeight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2.75" customHeight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2.75" customHeight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2.75" customHeight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2.75" customHeight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2.7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2.7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2.7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2.7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2.7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2.7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2.7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2.7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2.7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2.7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2.7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2.7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2.7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2.7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2.7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2.7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2.7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2.7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2.7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2.7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2.7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2.7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2.7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2.7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2.7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2.7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2.7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2.7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2.7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2.7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2.7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2.7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2.7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2.7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2.7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2.7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2.7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2.7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2.7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2.7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2.7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2.7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2.7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2.7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2.7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2.7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2.7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2.7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2.7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2.7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2.7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2.7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2.7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2.7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2.7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2.7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2.7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2.7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2.7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2.7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2.7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2.7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2.7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2.7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2.7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2.7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2.7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2.7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2.75" customHeight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2.75" customHeight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2.75" customHeight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2.75" customHeight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2.75" customHeight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2.75" customHeight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2.75" customHeight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2.75" customHeight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2.75" customHeight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2.75" customHeight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2.75" customHeight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2.75" customHeight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2.75" customHeight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2.75" customHeight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2.75" customHeight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2.75" customHeight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2.75" customHeight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2.75" customHeight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2.75" customHeight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2.75" customHeight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2.75" customHeight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2.75" customHeight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2.75" customHeight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2.75" customHeight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2.75" customHeight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2.75" customHeight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2.75" customHeight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2.75" customHeight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2.75" customHeight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2.75" customHeight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2.75" customHeight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2.75" customHeight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2.75" customHeight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2.75" customHeight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2.75" customHeight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2.75" customHeight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2.75" customHeight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2.75" customHeight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2.75" customHeight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2.75" customHeight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2.75" customHeight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2.75" customHeight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2.75" customHeight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2.75" customHeight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2.75" customHeight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2.75" customHeight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2.75" customHeight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2.75" customHeight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2.75" customHeight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2.75" customHeight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2.75" customHeight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2.75" customHeight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2.75" customHeight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2.75" customHeight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2.75" customHeight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2.75" customHeight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2.75" customHeight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2.75" customHeight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2.75" customHeight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2.75" customHeight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2.75" customHeight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2.75" customHeight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2.75" customHeight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2.75" customHeight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2.75" customHeight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2.75" customHeight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2.75" customHeight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2.75" customHeight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2.75" customHeight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2.75" customHeight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2.75" customHeight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2.75" customHeight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2.75" customHeight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2.75" customHeight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2.75" customHeight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2.75" customHeight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2.75" customHeight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2.75" customHeight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2.75" customHeight="1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2.75" customHeight="1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2.75" customHeight="1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2.75" customHeight="1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2.75" customHeight="1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2.75" customHeight="1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2.75" customHeight="1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2.75" customHeight="1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2.75" customHeight="1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2.75" customHeight="1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2.75" customHeight="1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2.75" customHeight="1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2.75" customHeight="1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2.75" customHeight="1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2.75" customHeight="1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2.75" customHeight="1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2.75" customHeight="1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2.75" customHeight="1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2.75" customHeight="1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2.75" customHeight="1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2.75" customHeight="1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2.75" customHeight="1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2.75" customHeight="1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2.75" customHeight="1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2.75" customHeight="1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2.75" customHeight="1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2.75" customHeight="1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2.75" customHeight="1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2.75" customHeight="1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2.75" customHeight="1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2.75" customHeight="1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2.75" customHeight="1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2.75" customHeight="1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2.75" customHeight="1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2.75" customHeight="1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2.75" customHeight="1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2.75" customHeight="1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2.75" customHeight="1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2.75" customHeight="1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2.75" customHeight="1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2.75" customHeight="1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2.75" customHeight="1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2.75" customHeight="1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2.75" customHeight="1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2.75" customHeight="1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2.75" customHeight="1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2.75" customHeight="1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2.75" customHeight="1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2.75" customHeight="1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2.75" customHeight="1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2.75" customHeight="1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2.75" customHeight="1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2.75" customHeight="1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2.75" customHeight="1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2.75" customHeight="1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2.75" customHeight="1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2.75" customHeight="1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2.75" customHeight="1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2.75" customHeight="1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2.75" customHeight="1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2.75" customHeight="1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2.75" customHeight="1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2.75" customHeight="1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2.75" customHeight="1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2.75" customHeight="1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2.75" customHeight="1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2.75" customHeight="1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2.75" customHeight="1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2.75" customHeight="1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2.75" customHeight="1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2.75" customHeight="1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2.75" customHeight="1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2.75" customHeight="1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2.75" customHeight="1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2.75" customHeight="1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2.75" customHeight="1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2.75" customHeight="1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2.75" customHeight="1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2.75" customHeight="1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2.75" customHeight="1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2.75" customHeight="1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2.75" customHeight="1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2.75" customHeight="1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2.75" customHeight="1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2.75" customHeight="1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2.75" customHeight="1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2.75" customHeight="1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2.75" customHeight="1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2.75" customHeight="1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2.75" customHeight="1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2.75" customHeight="1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2.75" customHeight="1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2.75" customHeight="1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2.75" customHeight="1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2.75" customHeight="1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2.75" customHeight="1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2.75" customHeight="1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2.75" customHeight="1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2.75" customHeight="1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2.75" customHeight="1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2.75" customHeight="1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2.75" customHeight="1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2.75" customHeight="1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2.75" customHeight="1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2.75" customHeight="1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2.75" customHeight="1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2.75" customHeight="1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2.75" customHeight="1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2.75" customHeight="1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2.75" customHeight="1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2.75" customHeight="1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2.75" customHeight="1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2.75" customHeight="1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2.75" customHeight="1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2.75" customHeight="1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2.75" customHeight="1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2.75" customHeight="1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2.75" customHeight="1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2.75" customHeight="1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2.75" customHeight="1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2.75" customHeight="1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2.75" customHeight="1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2.75" customHeight="1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2.75" customHeight="1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2.75" customHeight="1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2.75" customHeight="1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2.75" customHeight="1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2.75" customHeight="1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2.75" customHeight="1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2.75" customHeight="1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2.75" customHeight="1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2.75" customHeight="1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2.75" customHeight="1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2.75" customHeight="1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2.75" customHeight="1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2.75" customHeight="1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2.75" customHeight="1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2.75" customHeight="1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2.75" customHeight="1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2.75" customHeight="1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2.75" customHeight="1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2.75" customHeight="1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2.75" customHeight="1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2.75" customHeight="1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2.75" customHeight="1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2.75" customHeight="1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2.75" customHeight="1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2.75" customHeight="1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2.75" customHeight="1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2.75" customHeight="1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2.75" customHeight="1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2.75" customHeight="1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2.75" customHeight="1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2.75" customHeight="1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2.75" customHeight="1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2.75" customHeight="1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2.75" customHeight="1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2.75" customHeight="1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2.75" customHeight="1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2.75" customHeight="1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2.75" customHeight="1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2.75" customHeight="1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2.75" customHeight="1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2.75" customHeight="1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2.75" customHeight="1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2.75" customHeight="1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2.75" customHeight="1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2.75" customHeight="1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2.75" customHeight="1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2.75" customHeight="1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2.75" customHeight="1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2.75" customHeight="1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2.75" customHeight="1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2.75" customHeight="1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2.75" customHeight="1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2.75" customHeight="1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2.75" customHeight="1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2.75" customHeight="1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2.75" customHeight="1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2.75" customHeight="1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2.75" customHeight="1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2.75" customHeight="1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2.75" customHeight="1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2.75" customHeight="1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2.75" customHeight="1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2.75" customHeight="1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2.75" customHeight="1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2.75" customHeight="1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2.75" customHeight="1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2.75" customHeight="1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2.75" customHeight="1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2.75" customHeight="1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2.75" customHeight="1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2.75" customHeight="1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2.75" customHeight="1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2.75" customHeight="1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2.75" customHeight="1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2.75" customHeight="1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2.75" customHeight="1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2.75" customHeight="1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2.75" customHeight="1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2.75" customHeight="1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2.75" customHeight="1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2.75" customHeight="1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2.75" customHeight="1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2.75" customHeight="1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2.75" customHeight="1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2.75" customHeight="1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2.75" customHeight="1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</row>
    <row r="461" ht="12.75" customHeight="1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</row>
    <row r="462" ht="12.75" customHeight="1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</row>
    <row r="463" ht="12.75" customHeight="1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</row>
    <row r="464" ht="12.75" customHeight="1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</row>
    <row r="465" ht="12.75" customHeight="1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</row>
    <row r="466" ht="12.75" customHeight="1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</row>
    <row r="467" ht="12.75" customHeight="1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</row>
    <row r="468" ht="12.75" customHeight="1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</row>
    <row r="469" ht="12.75" customHeight="1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</row>
    <row r="470" ht="12.75" customHeight="1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</row>
    <row r="471" ht="12.75" customHeight="1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</row>
    <row r="472" ht="12.75" customHeight="1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</row>
    <row r="473" ht="12.75" customHeight="1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</row>
    <row r="474" ht="12.75" customHeight="1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</row>
    <row r="475" ht="12.75" customHeight="1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</row>
    <row r="476" ht="12.75" customHeight="1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</row>
    <row r="477" ht="12.75" customHeight="1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</row>
    <row r="478" ht="12.75" customHeight="1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</row>
    <row r="479" ht="12.75" customHeight="1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</row>
    <row r="480" ht="12.75" customHeight="1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</row>
    <row r="481" ht="12.75" customHeight="1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</row>
    <row r="482" ht="12.75" customHeight="1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</row>
    <row r="483" ht="12.75" customHeight="1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</row>
    <row r="484" ht="12.75" customHeight="1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</row>
    <row r="485" ht="12.75" customHeight="1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</row>
    <row r="486" ht="12.75" customHeight="1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</row>
    <row r="487" ht="12.75" customHeight="1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</row>
    <row r="488" ht="12.75" customHeight="1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</row>
    <row r="489" ht="12.75" customHeight="1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</row>
    <row r="490" ht="12.75" customHeight="1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</row>
    <row r="491" ht="12.75" customHeight="1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</row>
    <row r="492" ht="12.75" customHeight="1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</row>
    <row r="493" ht="12.75" customHeight="1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</row>
    <row r="494" ht="12.75" customHeight="1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</row>
    <row r="495" ht="12.75" customHeight="1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</row>
    <row r="496" ht="12.75" customHeight="1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</row>
    <row r="497" ht="12.75" customHeight="1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</row>
    <row r="498" ht="12.75" customHeight="1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</row>
    <row r="499" ht="12.75" customHeight="1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</row>
    <row r="500" ht="12.75" customHeight="1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</row>
    <row r="501" ht="12.75" customHeight="1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</row>
    <row r="502" ht="12.75" customHeight="1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</row>
    <row r="503" ht="12.75" customHeight="1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</row>
    <row r="504" ht="12.75" customHeight="1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</row>
    <row r="505" ht="12.75" customHeight="1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</row>
    <row r="506" ht="12.75" customHeight="1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</row>
    <row r="507" ht="12.75" customHeight="1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</row>
    <row r="508" ht="12.75" customHeight="1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</row>
    <row r="509" ht="12.75" customHeight="1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</row>
    <row r="510" ht="12.75" customHeight="1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</row>
    <row r="511" ht="12.75" customHeight="1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</row>
    <row r="512" ht="12.75" customHeight="1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</row>
    <row r="513" ht="12.75" customHeight="1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</row>
    <row r="514" ht="12.75" customHeight="1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</row>
    <row r="515" ht="12.75" customHeight="1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</row>
    <row r="516" ht="12.75" customHeight="1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</row>
    <row r="517" ht="12.75" customHeight="1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</row>
    <row r="518" ht="12.75" customHeight="1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</row>
    <row r="519" ht="12.75" customHeight="1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</row>
    <row r="520" ht="12.75" customHeight="1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</row>
    <row r="521" ht="12.75" customHeight="1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</row>
    <row r="522" ht="12.75" customHeight="1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</row>
    <row r="523" ht="12.75" customHeight="1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</row>
    <row r="524" ht="12.75" customHeight="1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</row>
    <row r="525" ht="12.75" customHeight="1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</row>
    <row r="526" ht="12.75" customHeight="1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</row>
    <row r="527" ht="12.75" customHeight="1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</row>
    <row r="528" ht="12.75" customHeight="1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</row>
    <row r="529" ht="12.75" customHeight="1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</row>
    <row r="530" ht="12.75" customHeight="1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</row>
    <row r="531" ht="12.75" customHeight="1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</row>
    <row r="532" ht="12.75" customHeight="1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</row>
    <row r="533" ht="12.75" customHeight="1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</row>
    <row r="534" ht="12.75" customHeight="1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</row>
    <row r="535" ht="12.75" customHeight="1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</row>
    <row r="536" ht="12.75" customHeight="1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</row>
    <row r="537" ht="12.75" customHeight="1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</row>
    <row r="538" ht="12.75" customHeight="1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</row>
    <row r="539" ht="12.75" customHeight="1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</row>
    <row r="540" ht="12.75" customHeight="1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</row>
    <row r="541" ht="12.75" customHeight="1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</row>
    <row r="542" ht="12.75" customHeight="1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</row>
    <row r="543" ht="12.75" customHeight="1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</row>
    <row r="544" ht="12.75" customHeight="1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</row>
    <row r="545" ht="12.75" customHeight="1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</row>
    <row r="546" ht="12.75" customHeight="1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</row>
    <row r="547" ht="12.75" customHeight="1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</row>
    <row r="548" ht="12.75" customHeight="1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</row>
    <row r="549" ht="12.75" customHeight="1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</row>
    <row r="550" ht="12.75" customHeight="1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</row>
    <row r="551" ht="12.75" customHeight="1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</row>
    <row r="552" ht="12.75" customHeight="1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</row>
    <row r="553" ht="12.75" customHeight="1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</row>
    <row r="554" ht="12.75" customHeight="1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</row>
    <row r="555" ht="12.75" customHeight="1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</row>
    <row r="556" ht="12.75" customHeight="1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</row>
    <row r="557" ht="12.75" customHeight="1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</row>
    <row r="558" ht="12.75" customHeight="1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</row>
    <row r="559" ht="12.75" customHeight="1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</row>
    <row r="560" ht="12.75" customHeight="1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</row>
    <row r="561" ht="12.75" customHeight="1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</row>
    <row r="562" ht="12.75" customHeight="1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</row>
    <row r="563" ht="12.75" customHeight="1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</row>
    <row r="564" ht="12.75" customHeight="1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</row>
    <row r="565" ht="12.75" customHeight="1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</row>
    <row r="566" ht="12.75" customHeight="1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</row>
    <row r="567" ht="12.75" customHeight="1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</row>
    <row r="568" ht="12.75" customHeight="1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</row>
    <row r="569" ht="12.75" customHeight="1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</row>
    <row r="570" ht="12.75" customHeight="1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</row>
    <row r="571" ht="12.75" customHeight="1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</row>
    <row r="572" ht="12.75" customHeight="1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</row>
    <row r="573" ht="12.75" customHeight="1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</row>
    <row r="574" ht="12.75" customHeight="1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</row>
    <row r="575" ht="12.75" customHeight="1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</row>
    <row r="576" ht="12.75" customHeight="1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</row>
    <row r="577" ht="12.75" customHeight="1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</row>
    <row r="578" ht="12.75" customHeight="1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</row>
    <row r="579" ht="12.75" customHeight="1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</row>
    <row r="580" ht="12.75" customHeight="1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</row>
    <row r="581" ht="12.75" customHeight="1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</row>
    <row r="582" ht="12.75" customHeight="1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</row>
    <row r="583" ht="12.75" customHeight="1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</row>
    <row r="584" ht="12.75" customHeight="1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</row>
    <row r="585" ht="12.75" customHeight="1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</row>
    <row r="586" ht="12.75" customHeight="1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</row>
    <row r="587" ht="12.75" customHeight="1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</row>
    <row r="588" ht="12.75" customHeight="1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</row>
    <row r="589" ht="12.75" customHeight="1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</row>
    <row r="590" ht="12.75" customHeight="1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</row>
    <row r="591" ht="12.75" customHeight="1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</row>
    <row r="592" ht="12.75" customHeight="1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</row>
    <row r="593" ht="12.75" customHeight="1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</row>
    <row r="594" ht="12.75" customHeight="1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</row>
    <row r="595" ht="12.75" customHeight="1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</row>
    <row r="596" ht="12.75" customHeight="1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</row>
    <row r="597" ht="12.75" customHeight="1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</row>
    <row r="598" ht="12.75" customHeight="1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</row>
    <row r="599" ht="12.75" customHeight="1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</row>
    <row r="600" ht="12.75" customHeight="1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</row>
    <row r="601" ht="12.75" customHeight="1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</row>
    <row r="602" ht="12.75" customHeight="1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</row>
    <row r="603" ht="12.75" customHeight="1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</row>
    <row r="604" ht="12.75" customHeight="1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</row>
    <row r="605" ht="12.75" customHeight="1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</row>
    <row r="606" ht="12.75" customHeight="1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</row>
    <row r="607" ht="12.75" customHeight="1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</row>
    <row r="608" ht="12.75" customHeight="1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</row>
    <row r="609" ht="12.75" customHeight="1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</row>
    <row r="610" ht="12.75" customHeight="1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</row>
    <row r="611" ht="12.75" customHeight="1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</row>
    <row r="612" ht="12.75" customHeight="1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</row>
    <row r="613" ht="12.75" customHeight="1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</row>
    <row r="614" ht="12.75" customHeight="1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</row>
    <row r="615" ht="12.75" customHeight="1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</row>
    <row r="616" ht="12.75" customHeight="1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</row>
    <row r="617" ht="12.75" customHeight="1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</row>
    <row r="618" ht="12.75" customHeight="1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</row>
    <row r="619" ht="12.75" customHeight="1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</row>
    <row r="620" ht="12.75" customHeight="1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</row>
    <row r="621" ht="12.75" customHeight="1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</row>
    <row r="622" ht="12.75" customHeight="1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</row>
    <row r="623" ht="12.75" customHeight="1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</row>
    <row r="624" ht="12.75" customHeight="1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</row>
    <row r="625" ht="12.75" customHeight="1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</row>
    <row r="626" ht="12.75" customHeight="1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</row>
    <row r="627" ht="12.75" customHeight="1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</row>
    <row r="628" ht="12.75" customHeight="1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</row>
    <row r="629" ht="12.75" customHeight="1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</row>
    <row r="630" ht="12.75" customHeight="1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</row>
    <row r="631" ht="12.75" customHeight="1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</row>
    <row r="632" ht="12.75" customHeight="1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</row>
    <row r="633" ht="12.75" customHeight="1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</row>
    <row r="634" ht="12.75" customHeight="1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</row>
    <row r="635" ht="12.75" customHeight="1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</row>
    <row r="636" ht="12.75" customHeight="1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</row>
    <row r="637" ht="12.75" customHeight="1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</row>
    <row r="638" ht="12.75" customHeight="1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</row>
    <row r="639" ht="12.75" customHeight="1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</row>
    <row r="640" ht="12.75" customHeight="1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</row>
    <row r="641" ht="12.75" customHeight="1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</row>
    <row r="642" ht="12.75" customHeight="1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</row>
    <row r="643" ht="12.75" customHeight="1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</row>
    <row r="644" ht="12.75" customHeight="1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</row>
    <row r="645" ht="12.75" customHeight="1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</row>
    <row r="646" ht="12.75" customHeight="1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</row>
    <row r="647" ht="12.75" customHeight="1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</row>
    <row r="648" ht="12.75" customHeight="1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</row>
    <row r="649" ht="12.75" customHeight="1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</row>
    <row r="650" ht="12.75" customHeight="1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</row>
    <row r="651" ht="12.75" customHeight="1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</row>
    <row r="652" ht="12.75" customHeight="1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</row>
    <row r="653" ht="12.75" customHeight="1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</row>
    <row r="654" ht="12.75" customHeight="1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</row>
    <row r="655" ht="12.75" customHeight="1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</row>
    <row r="656" ht="12.75" customHeight="1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</row>
    <row r="657" ht="12.75" customHeight="1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</row>
    <row r="658" ht="12.75" customHeight="1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</row>
    <row r="659" ht="12.75" customHeight="1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</row>
    <row r="660" ht="12.75" customHeight="1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</row>
    <row r="661" ht="12.75" customHeight="1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</row>
    <row r="662" ht="12.75" customHeight="1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</row>
    <row r="663" ht="12.75" customHeight="1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</row>
    <row r="664" ht="12.75" customHeight="1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</row>
    <row r="665" ht="12.75" customHeight="1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</row>
    <row r="666" ht="12.75" customHeight="1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</row>
    <row r="667" ht="12.75" customHeight="1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</row>
    <row r="668" ht="12.75" customHeight="1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</row>
    <row r="669" ht="12.75" customHeight="1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</row>
    <row r="670" ht="12.75" customHeight="1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</row>
    <row r="671" ht="12.75" customHeight="1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</row>
    <row r="672" ht="12.75" customHeight="1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</row>
    <row r="673" ht="12.75" customHeight="1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</row>
    <row r="674" ht="12.75" customHeight="1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</row>
    <row r="675" ht="12.75" customHeight="1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</row>
    <row r="676" ht="12.75" customHeight="1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</row>
    <row r="677" ht="12.75" customHeight="1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</row>
    <row r="678" ht="12.75" customHeight="1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</row>
    <row r="679" ht="12.75" customHeight="1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</row>
    <row r="680" ht="12.75" customHeight="1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</row>
    <row r="681" ht="12.75" customHeight="1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</row>
    <row r="682" ht="12.75" customHeight="1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</row>
    <row r="683" ht="12.75" customHeight="1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</row>
    <row r="684" ht="12.75" customHeight="1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</row>
    <row r="685" ht="12.75" customHeight="1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</row>
    <row r="686" ht="12.75" customHeight="1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</row>
    <row r="687" ht="12.75" customHeight="1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</row>
    <row r="688" ht="12.75" customHeight="1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</row>
    <row r="689" ht="12.75" customHeight="1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</row>
    <row r="690" ht="12.75" customHeight="1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</row>
    <row r="691" ht="12.75" customHeight="1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</row>
    <row r="692" ht="12.75" customHeight="1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</row>
    <row r="693" ht="12.75" customHeight="1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</row>
    <row r="694" ht="12.75" customHeight="1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</row>
    <row r="695" ht="12.75" customHeight="1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</row>
    <row r="696" ht="12.75" customHeight="1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</row>
    <row r="697" ht="12.75" customHeight="1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</row>
    <row r="698" ht="12.75" customHeight="1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</row>
    <row r="699" ht="12.75" customHeight="1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</row>
    <row r="700" ht="12.75" customHeight="1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</row>
    <row r="701" ht="12.75" customHeight="1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</row>
    <row r="702" ht="12.75" customHeight="1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</row>
    <row r="703" ht="12.75" customHeight="1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</row>
    <row r="704" ht="12.75" customHeight="1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</row>
    <row r="705" ht="12.75" customHeight="1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</row>
    <row r="706" ht="12.75" customHeight="1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</row>
    <row r="707" ht="12.75" customHeight="1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</row>
    <row r="708" ht="12.75" customHeight="1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</row>
    <row r="709" ht="12.75" customHeight="1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</row>
    <row r="710" ht="12.75" customHeight="1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</row>
    <row r="711" ht="12.75" customHeight="1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</row>
    <row r="712" ht="12.75" customHeight="1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</row>
    <row r="713" ht="12.75" customHeight="1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</row>
    <row r="714" ht="12.75" customHeight="1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</row>
    <row r="715" ht="12.75" customHeight="1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</row>
    <row r="716" ht="12.75" customHeight="1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</row>
    <row r="717" ht="12.75" customHeight="1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</row>
    <row r="718" ht="12.75" customHeight="1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</row>
    <row r="719" ht="12.75" customHeight="1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</row>
    <row r="720" ht="12.75" customHeight="1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</row>
    <row r="721" ht="12.75" customHeight="1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</row>
    <row r="722" ht="12.75" customHeight="1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</row>
    <row r="723" ht="12.75" customHeight="1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</row>
    <row r="724" ht="12.75" customHeight="1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</row>
    <row r="725" ht="12.75" customHeight="1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</row>
    <row r="726" ht="12.75" customHeight="1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</row>
    <row r="727" ht="12.75" customHeight="1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</row>
    <row r="728" ht="12.75" customHeight="1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</row>
    <row r="729" ht="12.75" customHeight="1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</row>
    <row r="730" ht="12.75" customHeight="1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</row>
    <row r="731" ht="12.75" customHeight="1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</row>
    <row r="732" ht="12.75" customHeight="1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</row>
    <row r="733" ht="12.75" customHeight="1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</row>
    <row r="734" ht="12.75" customHeight="1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</row>
    <row r="735" ht="12.75" customHeight="1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</row>
    <row r="736" ht="12.75" customHeight="1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</row>
    <row r="737" ht="12.75" customHeight="1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</row>
    <row r="738" ht="12.75" customHeight="1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</row>
    <row r="739" ht="12.75" customHeight="1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</row>
    <row r="740" ht="12.75" customHeight="1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</row>
    <row r="741" ht="12.75" customHeight="1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</row>
    <row r="742" ht="12.75" customHeight="1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</row>
    <row r="743" ht="12.75" customHeight="1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</row>
    <row r="744" ht="12.75" customHeight="1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</row>
    <row r="745" ht="12.75" customHeight="1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</row>
    <row r="746" ht="12.75" customHeight="1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</row>
    <row r="747" ht="12.75" customHeight="1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</row>
    <row r="748" ht="12.75" customHeight="1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</row>
    <row r="749" ht="12.75" customHeight="1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</row>
    <row r="750" ht="12.75" customHeight="1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</row>
    <row r="751" ht="12.75" customHeight="1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</row>
    <row r="752" ht="12.75" customHeight="1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</row>
    <row r="753" ht="12.75" customHeight="1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</row>
    <row r="754" ht="12.75" customHeight="1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</row>
    <row r="755" ht="12.75" customHeight="1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</row>
    <row r="756" ht="12.75" customHeight="1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</row>
    <row r="757" ht="12.75" customHeight="1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</row>
    <row r="758" ht="12.75" customHeight="1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</row>
    <row r="759" ht="12.75" customHeight="1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</row>
    <row r="760" ht="12.75" customHeight="1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</row>
    <row r="761" ht="12.75" customHeight="1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</row>
    <row r="762" ht="12.75" customHeight="1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</row>
    <row r="763" ht="12.75" customHeight="1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</row>
    <row r="764" ht="12.75" customHeight="1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</row>
    <row r="765" ht="12.75" customHeight="1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</row>
    <row r="766" ht="12.75" customHeight="1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</row>
    <row r="767" ht="12.75" customHeight="1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</row>
    <row r="768" ht="12.75" customHeight="1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</row>
    <row r="769" ht="12.75" customHeight="1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</row>
    <row r="770" ht="12.75" customHeight="1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</row>
    <row r="771" ht="12.75" customHeight="1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</row>
    <row r="772" ht="12.75" customHeight="1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</row>
    <row r="773" ht="12.75" customHeight="1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</row>
    <row r="774" ht="12.75" customHeight="1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</row>
    <row r="775" ht="12.75" customHeight="1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</row>
    <row r="776" ht="12.75" customHeight="1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</row>
    <row r="777" ht="12.75" customHeight="1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</row>
    <row r="778" ht="12.75" customHeight="1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</row>
    <row r="779" ht="12.75" customHeight="1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</row>
    <row r="780" ht="12.75" customHeight="1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</row>
    <row r="781" ht="12.75" customHeight="1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</row>
    <row r="782" ht="12.75" customHeight="1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</row>
    <row r="783" ht="12.75" customHeight="1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</row>
    <row r="784" ht="12.75" customHeight="1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</row>
    <row r="785" ht="12.75" customHeight="1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</row>
    <row r="786" ht="12.75" customHeight="1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</row>
    <row r="787" ht="12.75" customHeight="1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</row>
    <row r="788" ht="12.75" customHeight="1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</row>
    <row r="789" ht="12.75" customHeight="1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</row>
    <row r="790" ht="12.75" customHeight="1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</row>
    <row r="791" ht="12.75" customHeight="1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</row>
    <row r="792" ht="12.75" customHeight="1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</row>
    <row r="793" ht="12.75" customHeight="1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</row>
    <row r="794" ht="12.75" customHeight="1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</row>
    <row r="795" ht="12.75" customHeight="1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</row>
    <row r="796" ht="12.75" customHeight="1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</row>
    <row r="797" ht="12.75" customHeight="1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</row>
    <row r="798" ht="12.75" customHeight="1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</row>
    <row r="799" ht="12.75" customHeight="1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</row>
    <row r="800" ht="12.75" customHeight="1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</row>
    <row r="801" ht="12.75" customHeight="1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</row>
    <row r="802" ht="12.75" customHeight="1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</row>
    <row r="803" ht="12.75" customHeight="1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</row>
    <row r="804" ht="12.75" customHeight="1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</row>
    <row r="805" ht="12.75" customHeight="1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</row>
    <row r="806" ht="12.75" customHeight="1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</row>
    <row r="807" ht="12.75" customHeight="1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</row>
    <row r="808" ht="12.75" customHeight="1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</row>
    <row r="809" ht="12.75" customHeight="1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</row>
    <row r="810" ht="12.75" customHeight="1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</row>
    <row r="811" ht="12.75" customHeight="1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</row>
    <row r="812" ht="12.75" customHeight="1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</row>
    <row r="813" ht="12.75" customHeight="1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</row>
    <row r="814" ht="12.75" customHeight="1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</row>
    <row r="815" ht="12.75" customHeight="1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</row>
    <row r="816" ht="12.75" customHeight="1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</row>
    <row r="817" ht="12.75" customHeight="1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</row>
    <row r="818" ht="12.75" customHeight="1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</row>
    <row r="819" ht="12.75" customHeight="1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</row>
    <row r="820" ht="12.75" customHeight="1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</row>
    <row r="821" ht="12.75" customHeight="1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</row>
    <row r="822" ht="12.75" customHeight="1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</row>
    <row r="823" ht="12.75" customHeight="1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</row>
    <row r="824" ht="12.75" customHeight="1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</row>
    <row r="825" ht="12.75" customHeight="1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</row>
    <row r="826" ht="12.75" customHeight="1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</row>
    <row r="827" ht="12.75" customHeight="1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</row>
    <row r="828" ht="12.75" customHeight="1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</row>
    <row r="829" ht="12.75" customHeight="1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</row>
    <row r="830" ht="12.75" customHeight="1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</row>
    <row r="831" ht="12.75" customHeight="1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</row>
    <row r="832" ht="12.75" customHeight="1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</row>
    <row r="833" ht="12.75" customHeight="1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</row>
    <row r="834" ht="12.75" customHeight="1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</row>
    <row r="835" ht="12.75" customHeight="1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</row>
    <row r="836" ht="12.75" customHeight="1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</row>
    <row r="837" ht="12.75" customHeight="1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</row>
    <row r="838" ht="12.75" customHeight="1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</row>
    <row r="839" ht="12.75" customHeight="1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</row>
    <row r="840" ht="12.75" customHeight="1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</row>
    <row r="841" ht="12.75" customHeight="1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</row>
    <row r="842" ht="12.75" customHeight="1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</row>
    <row r="843" ht="12.75" customHeight="1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</row>
    <row r="844" ht="12.75" customHeight="1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</row>
    <row r="845" ht="12.75" customHeight="1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</row>
    <row r="846" ht="12.75" customHeight="1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</row>
    <row r="847" ht="12.75" customHeight="1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</row>
    <row r="848" ht="12.75" customHeight="1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</row>
    <row r="849" ht="12.75" customHeight="1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</row>
    <row r="850" ht="12.75" customHeight="1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</row>
    <row r="851" ht="12.75" customHeight="1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</row>
    <row r="852" ht="12.75" customHeight="1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</row>
    <row r="853" ht="12.75" customHeight="1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</row>
    <row r="854" ht="12.75" customHeight="1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</row>
    <row r="855" ht="12.75" customHeight="1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</row>
    <row r="856" ht="12.75" customHeight="1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</row>
    <row r="857" ht="12.75" customHeight="1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</row>
    <row r="858" ht="12.75" customHeight="1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</row>
    <row r="859" ht="12.75" customHeight="1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</row>
    <row r="860" ht="12.75" customHeight="1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</row>
    <row r="861" ht="12.75" customHeight="1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</row>
    <row r="862" ht="12.75" customHeight="1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</row>
    <row r="863" ht="12.75" customHeight="1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</row>
    <row r="864" ht="12.75" customHeight="1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</row>
    <row r="865" ht="12.75" customHeight="1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</row>
    <row r="866" ht="12.75" customHeight="1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</row>
    <row r="867" ht="12.75" customHeight="1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</row>
    <row r="868" ht="12.75" customHeight="1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</row>
    <row r="869" ht="12.75" customHeight="1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</row>
    <row r="870" ht="12.75" customHeight="1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</row>
    <row r="871" ht="12.75" customHeight="1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</row>
    <row r="872" ht="12.75" customHeight="1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</row>
    <row r="873" ht="12.75" customHeight="1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</row>
    <row r="874" ht="12.75" customHeight="1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</row>
    <row r="875" ht="12.75" customHeight="1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</row>
    <row r="876" ht="12.75" customHeight="1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</row>
    <row r="877" ht="12.75" customHeight="1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</row>
    <row r="878" ht="12.75" customHeight="1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</row>
    <row r="879" ht="12.75" customHeight="1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</row>
    <row r="880" ht="12.75" customHeight="1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</row>
    <row r="881" ht="12.75" customHeight="1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</row>
    <row r="882" ht="12.75" customHeight="1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</row>
    <row r="883" ht="12.75" customHeight="1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</row>
    <row r="884" ht="12.75" customHeight="1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</row>
    <row r="885" ht="12.75" customHeight="1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</row>
    <row r="886" ht="12.75" customHeight="1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</row>
    <row r="887" ht="12.75" customHeight="1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</row>
    <row r="888" ht="12.75" customHeight="1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</row>
    <row r="889" ht="12.75" customHeight="1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</row>
    <row r="890" ht="12.75" customHeight="1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</row>
    <row r="891" ht="12.75" customHeight="1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</row>
    <row r="892" ht="12.75" customHeight="1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</row>
    <row r="893" ht="12.75" customHeight="1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</row>
    <row r="894" ht="12.75" customHeight="1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</row>
    <row r="895" ht="12.75" customHeight="1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</row>
    <row r="896" ht="12.75" customHeight="1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</row>
    <row r="897" ht="12.75" customHeight="1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</row>
    <row r="898" ht="12.75" customHeight="1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</row>
    <row r="899" ht="12.75" customHeight="1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</row>
    <row r="900" ht="12.75" customHeight="1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</row>
    <row r="901" ht="12.75" customHeight="1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</row>
    <row r="902" ht="12.75" customHeight="1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</row>
    <row r="903" ht="12.75" customHeight="1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</row>
    <row r="904" ht="12.75" customHeight="1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</row>
    <row r="905" ht="12.75" customHeight="1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</row>
    <row r="906" ht="12.75" customHeight="1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</row>
    <row r="907" ht="12.75" customHeight="1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</row>
    <row r="908" ht="12.75" customHeight="1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</row>
    <row r="909" ht="12.75" customHeight="1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</row>
    <row r="910" ht="12.75" customHeight="1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</row>
    <row r="911" ht="12.75" customHeight="1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</row>
    <row r="912" ht="12.75" customHeight="1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</row>
    <row r="913" ht="12.75" customHeight="1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</row>
    <row r="914" ht="12.75" customHeight="1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</row>
    <row r="915" ht="12.75" customHeight="1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</row>
    <row r="916" ht="12.75" customHeight="1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</row>
    <row r="917" ht="12.75" customHeight="1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</row>
    <row r="918" ht="12.75" customHeight="1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</row>
    <row r="919" ht="12.75" customHeight="1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</row>
    <row r="920" ht="12.75" customHeight="1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</row>
    <row r="921" ht="12.75" customHeight="1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</row>
    <row r="922" ht="12.75" customHeight="1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</row>
    <row r="923" ht="12.75" customHeight="1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</row>
    <row r="924" ht="12.75" customHeight="1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</row>
    <row r="925" ht="12.75" customHeight="1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</row>
    <row r="926" ht="12.75" customHeight="1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</row>
    <row r="927" ht="12.75" customHeight="1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</row>
    <row r="928" ht="12.75" customHeight="1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</row>
    <row r="929" ht="12.75" customHeight="1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</row>
    <row r="930" ht="12.75" customHeight="1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</row>
    <row r="931" ht="12.75" customHeight="1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</row>
    <row r="932" ht="12.75" customHeight="1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</row>
    <row r="933" ht="12.75" customHeight="1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</row>
    <row r="934" ht="12.75" customHeight="1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</row>
    <row r="935" ht="12.75" customHeight="1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</row>
    <row r="936" ht="12.75" customHeight="1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</row>
    <row r="937" ht="12.75" customHeight="1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</row>
    <row r="938" ht="12.75" customHeight="1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</row>
    <row r="939" ht="12.75" customHeight="1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</row>
    <row r="940" ht="12.75" customHeight="1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</row>
    <row r="941" ht="12.75" customHeight="1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</row>
    <row r="942" ht="12.75" customHeight="1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</row>
    <row r="943" ht="12.75" customHeight="1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</row>
    <row r="944" ht="12.75" customHeight="1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</row>
    <row r="945" ht="12.75" customHeight="1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</row>
    <row r="946" ht="12.75" customHeight="1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</row>
    <row r="947" ht="12.75" customHeight="1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</row>
    <row r="948" ht="12.75" customHeight="1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</row>
    <row r="949" ht="12.75" customHeight="1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</row>
    <row r="950" ht="12.75" customHeight="1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</row>
    <row r="951" ht="12.75" customHeight="1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</row>
    <row r="952" ht="12.75" customHeight="1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</row>
    <row r="953" ht="12.75" customHeight="1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</row>
    <row r="954" ht="12.75" customHeight="1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</row>
    <row r="955" ht="12.75" customHeight="1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</row>
    <row r="956" ht="12.75" customHeight="1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</row>
    <row r="957" ht="12.75" customHeight="1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</row>
    <row r="958" ht="12.75" customHeight="1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</row>
    <row r="959" ht="12.75" customHeight="1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</row>
    <row r="960" ht="12.75" customHeight="1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</row>
    <row r="961" ht="12.75" customHeight="1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</row>
    <row r="962" ht="12.75" customHeight="1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</row>
    <row r="963" ht="12.75" customHeight="1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</row>
    <row r="964" ht="12.75" customHeight="1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</row>
    <row r="965" ht="12.75" customHeight="1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</row>
    <row r="966" ht="12.75" customHeight="1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</row>
    <row r="967" ht="12.75" customHeight="1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</row>
    <row r="968" ht="12.75" customHeight="1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</row>
    <row r="969" ht="12.75" customHeight="1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</row>
    <row r="970" ht="12.75" customHeight="1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</row>
    <row r="971" ht="12.75" customHeight="1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</row>
    <row r="972" ht="12.75" customHeight="1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</row>
    <row r="973" ht="12.75" customHeight="1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</row>
    <row r="974" ht="12.75" customHeight="1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</row>
    <row r="975" ht="12.75" customHeight="1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</row>
    <row r="976" ht="12.75" customHeight="1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</row>
    <row r="977" ht="12.75" customHeight="1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</row>
    <row r="978" ht="12.75" customHeight="1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</row>
    <row r="979" ht="12.75" customHeight="1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</row>
    <row r="980" ht="12.75" customHeight="1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</row>
    <row r="981" ht="12.75" customHeight="1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</row>
    <row r="982" ht="12.75" customHeight="1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</row>
    <row r="983" ht="12.75" customHeight="1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</row>
    <row r="984" ht="12.75" customHeight="1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</row>
    <row r="985" ht="12.75" customHeight="1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</row>
    <row r="986" ht="12.75" customHeight="1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</row>
    <row r="987" ht="12.75" customHeight="1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</row>
    <row r="988" ht="12.75" customHeight="1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</row>
    <row r="989" ht="12.75" customHeight="1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</row>
    <row r="990" ht="12.75" customHeight="1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</row>
    <row r="991" ht="12.75" customHeight="1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</row>
    <row r="992" ht="12.75" customHeight="1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</row>
    <row r="993" ht="12.75" customHeight="1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</row>
    <row r="994" ht="12.75" customHeight="1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</row>
    <row r="995" ht="12.75" customHeight="1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</row>
    <row r="996" ht="12.75" customHeight="1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</row>
    <row r="997" ht="12.75" customHeight="1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</row>
    <row r="998" ht="12.75" customHeight="1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</row>
    <row r="999" ht="12.75" customHeight="1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</row>
    <row r="1000" ht="12.75" customHeight="1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/>
  </sheetViews>
  <sheetFormatPr customHeight="1" defaultColWidth="12.63" defaultRowHeight="15.0"/>
  <cols>
    <col customWidth="1" min="1" max="1" width="2.38"/>
    <col customWidth="1" min="2" max="2" width="6.13"/>
    <col customWidth="1" min="3" max="3" width="3.63"/>
    <col customWidth="1" min="4" max="4" width="9.13"/>
    <col customWidth="1" min="5" max="5" width="4.13"/>
    <col customWidth="1" min="6" max="6" width="73.75"/>
    <col customWidth="1" hidden="1" min="7" max="7" width="5.25"/>
    <col customWidth="1" hidden="1" min="8" max="8" width="13.88"/>
    <col customWidth="1" min="9" max="26" width="8.0"/>
  </cols>
  <sheetData>
    <row r="1">
      <c r="A1" s="41" t="str">
        <f>DATA!D122</f>
        <v>01</v>
      </c>
      <c r="B1" s="42"/>
      <c r="C1" s="42"/>
      <c r="D1" s="42"/>
      <c r="E1" s="42"/>
      <c r="F1" s="42"/>
      <c r="G1" s="42"/>
      <c r="H1" s="42"/>
      <c r="I1" s="37"/>
      <c r="J1" s="37"/>
      <c r="K1" s="37"/>
      <c r="L1" s="37"/>
      <c r="M1" s="37"/>
      <c r="N1" s="37"/>
      <c r="O1" s="37"/>
      <c r="P1" s="37"/>
      <c r="Q1" s="37"/>
      <c r="R1" s="37"/>
      <c r="S1" s="43"/>
      <c r="T1" s="43"/>
      <c r="U1" s="43"/>
      <c r="V1" s="43"/>
      <c r="W1" s="43"/>
      <c r="X1" s="43"/>
      <c r="Y1" s="43"/>
      <c r="Z1" s="43"/>
    </row>
    <row r="2" ht="27.0" customHeight="1">
      <c r="A2" s="44" t="s">
        <v>443</v>
      </c>
      <c r="G2" s="45"/>
      <c r="H2" s="46"/>
      <c r="I2" s="37"/>
      <c r="J2" s="37"/>
      <c r="K2" s="37"/>
      <c r="L2" s="37"/>
      <c r="M2" s="37"/>
      <c r="N2" s="37"/>
      <c r="O2" s="37"/>
      <c r="P2" s="37"/>
      <c r="Q2" s="37"/>
      <c r="R2" s="37"/>
      <c r="S2" s="43"/>
      <c r="T2" s="43"/>
      <c r="U2" s="43"/>
      <c r="V2" s="43"/>
      <c r="W2" s="43"/>
      <c r="X2" s="43"/>
      <c r="Y2" s="43"/>
      <c r="Z2" s="43"/>
    </row>
    <row r="3" ht="12.0" customHeight="1">
      <c r="A3" s="47"/>
      <c r="B3" s="47"/>
      <c r="C3" s="47"/>
      <c r="D3" s="47"/>
      <c r="E3" s="47"/>
      <c r="F3" s="47"/>
      <c r="G3" s="47"/>
      <c r="H3" s="42"/>
      <c r="I3" s="37"/>
      <c r="J3" s="37"/>
      <c r="K3" s="37"/>
      <c r="L3" s="37"/>
      <c r="M3" s="37"/>
      <c r="N3" s="37"/>
      <c r="O3" s="37"/>
      <c r="P3" s="37"/>
      <c r="Q3" s="37"/>
      <c r="R3" s="37"/>
      <c r="S3" s="43"/>
      <c r="T3" s="43"/>
      <c r="U3" s="43"/>
      <c r="V3" s="43"/>
      <c r="W3" s="43"/>
      <c r="X3" s="43"/>
      <c r="Y3" s="43"/>
      <c r="Z3" s="43"/>
    </row>
    <row r="4" ht="15.75" customHeight="1">
      <c r="A4" s="47"/>
      <c r="B4" s="48" t="str">
        <f>PESERTA!B4</f>
        <v>No Test</v>
      </c>
      <c r="C4" s="49"/>
      <c r="D4" s="49"/>
      <c r="E4" s="50" t="s">
        <v>444</v>
      </c>
      <c r="F4" s="51" t="str">
        <f>A1</f>
        <v>01</v>
      </c>
      <c r="G4" s="52"/>
      <c r="H4" s="42"/>
      <c r="I4" s="37"/>
      <c r="J4" s="37"/>
      <c r="K4" s="37"/>
      <c r="L4" s="37"/>
      <c r="M4" s="37"/>
      <c r="N4" s="37"/>
      <c r="O4" s="37"/>
      <c r="P4" s="37"/>
      <c r="Q4" s="37"/>
      <c r="R4" s="37"/>
      <c r="S4" s="43"/>
      <c r="T4" s="43"/>
      <c r="U4" s="43"/>
      <c r="V4" s="43"/>
      <c r="W4" s="43"/>
      <c r="X4" s="43"/>
      <c r="Y4" s="43"/>
      <c r="Z4" s="43"/>
    </row>
    <row r="5" ht="15.75" customHeight="1">
      <c r="A5" s="47"/>
      <c r="B5" s="48" t="str">
        <f>PESERTA!D4</f>
        <v>Nama</v>
      </c>
      <c r="C5" s="49"/>
      <c r="D5" s="49"/>
      <c r="E5" s="50" t="s">
        <v>444</v>
      </c>
      <c r="F5" s="51" t="str">
        <f>DATA!E142</f>
        <v>Riski</v>
      </c>
      <c r="G5" s="52"/>
      <c r="H5" s="42"/>
      <c r="I5" s="37"/>
      <c r="J5" s="37"/>
      <c r="K5" s="37"/>
      <c r="L5" s="37"/>
      <c r="M5" s="37"/>
      <c r="N5" s="37"/>
      <c r="O5" s="37"/>
      <c r="P5" s="37"/>
      <c r="Q5" s="37"/>
      <c r="R5" s="37"/>
      <c r="S5" s="43"/>
      <c r="T5" s="43"/>
      <c r="U5" s="43"/>
      <c r="V5" s="43"/>
      <c r="W5" s="43"/>
      <c r="X5" s="43"/>
      <c r="Y5" s="43"/>
      <c r="Z5" s="43"/>
    </row>
    <row r="6" ht="15.75" customHeight="1">
      <c r="A6" s="47"/>
      <c r="B6" s="48" t="str">
        <f>PESERTA!C4</f>
        <v>No Karyawan</v>
      </c>
      <c r="C6" s="49"/>
      <c r="D6" s="49"/>
      <c r="E6" s="50" t="s">
        <v>444</v>
      </c>
      <c r="F6" s="51" t="str">
        <f>DATA!E143</f>
        <v>1</v>
      </c>
      <c r="G6" s="52"/>
      <c r="H6" s="42"/>
      <c r="I6" s="37"/>
      <c r="J6" s="37"/>
      <c r="K6" s="37"/>
      <c r="L6" s="37"/>
      <c r="M6" s="37"/>
      <c r="N6" s="37"/>
      <c r="O6" s="37"/>
      <c r="P6" s="37"/>
      <c r="Q6" s="37"/>
      <c r="R6" s="37"/>
      <c r="S6" s="43"/>
      <c r="T6" s="43"/>
      <c r="U6" s="43"/>
      <c r="V6" s="43"/>
      <c r="W6" s="43"/>
      <c r="X6" s="43"/>
      <c r="Y6" s="43"/>
      <c r="Z6" s="43"/>
    </row>
    <row r="7" ht="15.75" customHeight="1">
      <c r="A7" s="47"/>
      <c r="B7" s="48" t="str">
        <f>PESERTA!E4</f>
        <v>Dept</v>
      </c>
      <c r="C7" s="49"/>
      <c r="D7" s="49"/>
      <c r="E7" s="50" t="s">
        <v>444</v>
      </c>
      <c r="F7" s="51" t="str">
        <f>DATA!E144</f>
        <v>Hr</v>
      </c>
      <c r="G7" s="52"/>
      <c r="H7" s="42"/>
      <c r="I7" s="37"/>
      <c r="J7" s="37"/>
      <c r="K7" s="37"/>
      <c r="L7" s="37"/>
      <c r="M7" s="37"/>
      <c r="N7" s="37"/>
      <c r="O7" s="37"/>
      <c r="P7" s="37"/>
      <c r="Q7" s="37"/>
      <c r="R7" s="37"/>
      <c r="S7" s="43"/>
      <c r="T7" s="43"/>
      <c r="U7" s="43"/>
      <c r="V7" s="43"/>
      <c r="W7" s="43"/>
      <c r="X7" s="43"/>
      <c r="Y7" s="43"/>
      <c r="Z7" s="43"/>
    </row>
    <row r="8" ht="15.75" customHeight="1">
      <c r="A8" s="47"/>
      <c r="B8" s="48" t="str">
        <f>PESERTA!F4</f>
        <v>Pendidikan</v>
      </c>
      <c r="C8" s="49"/>
      <c r="D8" s="49"/>
      <c r="E8" s="50" t="s">
        <v>444</v>
      </c>
      <c r="F8" s="51" t="str">
        <f>DATA!E145</f>
        <v>S1</v>
      </c>
      <c r="G8" s="52"/>
      <c r="H8" s="42"/>
      <c r="I8" s="37"/>
      <c r="J8" s="37"/>
      <c r="K8" s="37"/>
      <c r="L8" s="37"/>
      <c r="M8" s="37"/>
      <c r="N8" s="37"/>
      <c r="O8" s="37"/>
      <c r="P8" s="37"/>
      <c r="Q8" s="37"/>
      <c r="R8" s="37"/>
      <c r="S8" s="43"/>
      <c r="T8" s="43"/>
      <c r="U8" s="43"/>
      <c r="V8" s="43"/>
      <c r="W8" s="43"/>
      <c r="X8" s="43"/>
      <c r="Y8" s="43"/>
      <c r="Z8" s="43"/>
    </row>
    <row r="9" ht="33.0" customHeight="1">
      <c r="A9" s="43"/>
      <c r="B9" s="42"/>
      <c r="C9" s="42"/>
      <c r="D9" s="42"/>
      <c r="E9" s="42"/>
      <c r="F9" s="42"/>
      <c r="G9" s="42"/>
      <c r="H9" s="42"/>
      <c r="I9" s="37"/>
      <c r="J9" s="37"/>
      <c r="K9" s="37"/>
      <c r="L9" s="37"/>
      <c r="M9" s="37"/>
      <c r="N9" s="37"/>
      <c r="O9" s="37"/>
      <c r="P9" s="37"/>
      <c r="Q9" s="37"/>
      <c r="R9" s="37"/>
      <c r="S9" s="43"/>
      <c r="T9" s="43"/>
      <c r="U9" s="43"/>
      <c r="V9" s="43"/>
      <c r="W9" s="43"/>
      <c r="X9" s="43"/>
      <c r="Y9" s="43"/>
      <c r="Z9" s="43"/>
    </row>
    <row r="10" ht="14.25" customHeight="1">
      <c r="A10" s="53"/>
      <c r="B10" s="54" t="s">
        <v>135</v>
      </c>
      <c r="C10" s="54" t="s">
        <v>445</v>
      </c>
      <c r="D10" s="55">
        <f>HLOOKUP('URAIAN PAPIKOSTIK'!A1,DATA!$A3:$IV114,111,0)</f>
        <v>0</v>
      </c>
      <c r="E10" s="56" t="s">
        <v>446</v>
      </c>
      <c r="F10" s="57" t="str">
        <f>IF(D10&lt;5,DATA!V124,(IF(D10&gt;7,DATA!V126,DATA!V125)))</f>
        <v>Tidak kompetitif, mapan, puas. Tidak terdorong untuk menghasilkan prestasi,</v>
      </c>
      <c r="G10" s="53"/>
      <c r="H10" s="42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43"/>
      <c r="T10" s="43"/>
      <c r="U10" s="43"/>
      <c r="V10" s="43"/>
      <c r="W10" s="43"/>
      <c r="X10" s="43"/>
      <c r="Y10" s="43"/>
      <c r="Z10" s="43"/>
    </row>
    <row r="11" ht="14.25" customHeight="1">
      <c r="A11" s="53"/>
      <c r="B11" s="54"/>
      <c r="C11" s="54"/>
      <c r="D11" s="55"/>
      <c r="E11" s="58"/>
      <c r="F11" s="57" t="str">
        <f>IF(D10&lt;5,DATA!W124,(IF(D10&gt;7,DATA!W126,DATA!W125)))</f>
        <v>tdk berusaha utk mencapai sukses, membutuhkan dorongan dari luar diri,</v>
      </c>
      <c r="G11" s="53"/>
      <c r="H11" s="42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43"/>
      <c r="T11" s="43"/>
      <c r="U11" s="43"/>
      <c r="V11" s="43"/>
      <c r="W11" s="43"/>
      <c r="X11" s="43"/>
      <c r="Y11" s="43"/>
      <c r="Z11" s="43"/>
    </row>
    <row r="12" ht="14.25" customHeight="1">
      <c r="A12" s="53"/>
      <c r="B12" s="54"/>
      <c r="C12" s="54"/>
      <c r="D12" s="55"/>
      <c r="E12" s="58"/>
      <c r="F12" s="57" t="str">
        <f>IF(D10&lt;5,DATA!X124,(IF(D10&gt;7,DATA!X126,DATA!X125)))</f>
        <v>tidak berinisiatif, tidak memanfaatkan kemampuan diri secara optimal, ragu</v>
      </c>
      <c r="G12" s="53"/>
      <c r="H12" s="42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43"/>
      <c r="T12" s="43"/>
      <c r="U12" s="43"/>
      <c r="V12" s="43"/>
      <c r="W12" s="43"/>
      <c r="X12" s="43"/>
      <c r="Y12" s="43"/>
      <c r="Z12" s="43"/>
    </row>
    <row r="13" ht="14.25" customHeight="1">
      <c r="A13" s="53"/>
      <c r="B13" s="57"/>
      <c r="C13" s="57"/>
      <c r="D13" s="55"/>
      <c r="E13" s="58"/>
      <c r="F13" s="57" t="str">
        <f>IF(D10&lt;5,DATA!Y124,(IF(D10&gt;7,DATA!Y126,DATA!Y125)))</f>
        <v>akan tujuan diri, misalnya sbg akibat promosi / perubahan struktur jabatan.</v>
      </c>
      <c r="G13" s="53"/>
      <c r="H13" s="42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43"/>
      <c r="T13" s="43"/>
      <c r="U13" s="43"/>
      <c r="V13" s="43"/>
      <c r="W13" s="43"/>
      <c r="X13" s="43"/>
      <c r="Y13" s="43"/>
      <c r="Z13" s="43"/>
    </row>
    <row r="14" ht="14.25" customHeight="1">
      <c r="A14" s="53"/>
      <c r="B14" s="54" t="s">
        <v>136</v>
      </c>
      <c r="C14" s="54" t="s">
        <v>445</v>
      </c>
      <c r="D14" s="55">
        <f>HLOOKUP('URAIAN PAPIKOSTIK'!A1,DATA!$A3:$IV114,112,0)</f>
        <v>9</v>
      </c>
      <c r="E14" s="56" t="s">
        <v>446</v>
      </c>
      <c r="F14" s="57" t="str">
        <f>IF(D14&gt;7,DATA!V130,(IF(D14&gt;5,DATA!V129,IF(D14&gt;2,DATA!V128,DATA!V127))))</f>
        <v>Memiliki komitmen yg sangat tinggi thd tugas, sangat ingin menyelesaikan</v>
      </c>
      <c r="G14" s="53"/>
      <c r="H14" s="42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43"/>
      <c r="T14" s="43"/>
      <c r="U14" s="43"/>
      <c r="V14" s="43"/>
      <c r="W14" s="43"/>
      <c r="X14" s="43"/>
      <c r="Y14" s="43"/>
      <c r="Z14" s="43"/>
    </row>
    <row r="15" ht="14.25" customHeight="1">
      <c r="A15" s="53"/>
      <c r="B15" s="54"/>
      <c r="C15" s="54"/>
      <c r="D15" s="55"/>
      <c r="E15" s="58"/>
      <c r="F15" s="57" t="str">
        <f>IF(D14&gt;7,DATA!W130,(IF(D14&gt;5,DATA!W129,IF(D14&gt;2,DATA!W128,DATA!W127))))</f>
        <v>tugas, tekun dan tuntas dlm menangani pekerjaan satu demi satu hingga  </v>
      </c>
      <c r="G15" s="53"/>
      <c r="H15" s="42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43"/>
      <c r="T15" s="43"/>
      <c r="U15" s="43"/>
      <c r="V15" s="43"/>
      <c r="W15" s="43"/>
      <c r="X15" s="43"/>
      <c r="Y15" s="43"/>
      <c r="Z15" s="43"/>
    </row>
    <row r="16" ht="14.25" customHeight="1">
      <c r="A16" s="53"/>
      <c r="B16" s="54"/>
      <c r="C16" s="54"/>
      <c r="D16" s="55"/>
      <c r="E16" s="58"/>
      <c r="F16" s="57" t="str">
        <f>IF(D14&gt;7,DATA!X130,(IF(D14&gt;5,DATA!X129,IF(D14&gt;2,DATA!X128,DATA!X127))))</f>
        <v>tuntas. Perhatian terpaku pada satu tugas, sulit utk menangani beberapa</v>
      </c>
      <c r="G16" s="53"/>
      <c r="H16" s="42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43"/>
      <c r="T16" s="43"/>
      <c r="U16" s="43"/>
      <c r="V16" s="43"/>
      <c r="W16" s="43"/>
      <c r="X16" s="43"/>
      <c r="Y16" s="43"/>
      <c r="Z16" s="43"/>
    </row>
    <row r="17" ht="14.25" customHeight="1">
      <c r="A17" s="53"/>
      <c r="B17" s="54"/>
      <c r="C17" s="54"/>
      <c r="D17" s="55"/>
      <c r="E17" s="58"/>
      <c r="F17" s="57" t="str">
        <f>IF(D14&gt;7,DATA!Y130,(IF(D14&gt;5,DATA!Y129,IF(D14&gt;2,DATA!Y128,DATA!Y127))))</f>
        <v>pekerjaan sekaligus, sulit di interupsi, tidak melihat masalah sampingan.</v>
      </c>
      <c r="G17" s="53"/>
      <c r="H17" s="42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43"/>
      <c r="T17" s="43"/>
      <c r="U17" s="43"/>
      <c r="V17" s="43"/>
      <c r="W17" s="43"/>
      <c r="X17" s="43"/>
      <c r="Y17" s="43"/>
      <c r="Z17" s="43"/>
    </row>
    <row r="18" ht="14.25" customHeight="1">
      <c r="A18" s="53"/>
      <c r="B18" s="54" t="s">
        <v>126</v>
      </c>
      <c r="C18" s="54" t="s">
        <v>445</v>
      </c>
      <c r="D18" s="55">
        <f>HLOOKUP('URAIAN PAPIKOSTIK'!A1,DATA!$A3:$IV114,102,0)</f>
        <v>7</v>
      </c>
      <c r="E18" s="56" t="s">
        <v>446</v>
      </c>
      <c r="F18" s="57" t="str">
        <f>IF(D18&gt;7,DATA!V134,(IF(D18&gt;4,DATA!V133,IF(D18&gt;2,DATA!V132,DATA!V131))))</f>
        <v>Bekerja keras, tetapi  jelas tujuan yg ingin dicapainya.</v>
      </c>
      <c r="G18" s="53"/>
      <c r="H18" s="42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43"/>
      <c r="T18" s="43"/>
      <c r="U18" s="43"/>
      <c r="V18" s="43"/>
      <c r="W18" s="43"/>
      <c r="X18" s="43"/>
      <c r="Y18" s="43"/>
      <c r="Z18" s="43"/>
    </row>
    <row r="19" ht="14.25" customHeight="1">
      <c r="A19" s="53"/>
      <c r="B19" s="54"/>
      <c r="C19" s="54"/>
      <c r="D19" s="55"/>
      <c r="E19" s="58"/>
      <c r="F19" s="57" t="str">
        <f>IF(D18&gt;7,DATA!W134,(IF(D18&gt;4,DATA!W133,IF(D18&gt;2,DATA!W132,DATA!W131))))</f>
        <v> </v>
      </c>
      <c r="G19" s="53"/>
      <c r="H19" s="42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43"/>
      <c r="T19" s="43"/>
      <c r="U19" s="43"/>
      <c r="V19" s="43"/>
      <c r="W19" s="43"/>
      <c r="X19" s="43"/>
      <c r="Y19" s="43"/>
      <c r="Z19" s="43"/>
    </row>
    <row r="20" ht="14.25" customHeight="1">
      <c r="A20" s="53"/>
      <c r="B20" s="54"/>
      <c r="C20" s="54"/>
      <c r="D20" s="55"/>
      <c r="E20" s="58"/>
      <c r="F20" s="57" t="str">
        <f>IF(D18&gt;7,DATA!X134,(IF(D18&gt;4,DATA!X133,IF(D18&gt;2,DATA!X132,DATA!X131))))</f>
        <v> </v>
      </c>
      <c r="G20" s="53"/>
      <c r="H20" s="42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43"/>
      <c r="T20" s="43"/>
      <c r="U20" s="43"/>
      <c r="V20" s="43"/>
      <c r="W20" s="43"/>
      <c r="X20" s="43"/>
      <c r="Y20" s="43"/>
      <c r="Z20" s="43"/>
    </row>
    <row r="21" ht="14.25" customHeight="1">
      <c r="A21" s="53"/>
      <c r="B21" s="54"/>
      <c r="C21" s="54"/>
      <c r="D21" s="55"/>
      <c r="E21" s="58"/>
      <c r="F21" s="57" t="str">
        <f>IF(D18&gt;7,DATA!Y134,(IF(D18&gt;4,DATA!Y133,IF(D18&gt;2,DATA!Y132,DATA!Y131))))</f>
        <v> </v>
      </c>
      <c r="G21" s="53"/>
      <c r="H21" s="42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43"/>
      <c r="T21" s="43"/>
      <c r="U21" s="43"/>
      <c r="V21" s="43"/>
      <c r="W21" s="43"/>
      <c r="X21" s="43"/>
      <c r="Y21" s="43"/>
      <c r="Z21" s="43"/>
    </row>
    <row r="22" ht="14.25" customHeight="1">
      <c r="A22" s="53"/>
      <c r="B22" s="54" t="s">
        <v>119</v>
      </c>
      <c r="C22" s="54" t="s">
        <v>445</v>
      </c>
      <c r="D22" s="55">
        <f>HLOOKUP('URAIAN PAPIKOSTIK'!A1,DATA!$A3:$IV114,94,0)</f>
        <v>1</v>
      </c>
      <c r="E22" s="56" t="s">
        <v>446</v>
      </c>
      <c r="F22" s="57" t="str">
        <f>IF(D22&gt;6,DATA!V138,(IF(D22&gt;4,DATA!V137,IF(D22&gt;2,DATA!V136,DATA!V135))))</f>
        <v>Lebih mementingkan fleksibilitas daripada struktur, pendekatan</v>
      </c>
      <c r="G22" s="53"/>
      <c r="H22" s="42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43"/>
      <c r="T22" s="43"/>
      <c r="U22" s="43"/>
      <c r="V22" s="43"/>
      <c r="W22" s="43"/>
      <c r="X22" s="43"/>
      <c r="Y22" s="43"/>
      <c r="Z22" s="43"/>
    </row>
    <row r="23" ht="14.25" customHeight="1">
      <c r="A23" s="53"/>
      <c r="B23" s="54"/>
      <c r="C23" s="54"/>
      <c r="D23" s="55"/>
      <c r="E23" s="58"/>
      <c r="F23" s="57" t="str">
        <f>IF(D22&gt;6,DATA!W138,(IF(D22&gt;4,DATA!W137,IF(D22&gt;2,DATA!W136,DATA!W135))))</f>
        <v>kerja lebih ditentukan oleh situasi daripada oleh perencanaan</v>
      </c>
      <c r="G23" s="53"/>
      <c r="H23" s="42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43"/>
      <c r="T23" s="43"/>
      <c r="U23" s="43"/>
      <c r="V23" s="43"/>
      <c r="W23" s="43"/>
      <c r="X23" s="43"/>
      <c r="Y23" s="43"/>
      <c r="Z23" s="43"/>
    </row>
    <row r="24" ht="14.25" customHeight="1">
      <c r="A24" s="53"/>
      <c r="B24" s="54"/>
      <c r="C24" s="54"/>
      <c r="D24" s="55"/>
      <c r="E24" s="58"/>
      <c r="F24" s="57" t="str">
        <f>IF(D22&gt;6,DATA!X138,(IF(D22&gt;4,DATA!X137,IF(D22&gt;2,DATA!X136,DATA!X135))))</f>
        <v>sebelumnya, mudah beradaptasi.  Tidak mempedulikan keteraturan</v>
      </c>
      <c r="G24" s="53"/>
      <c r="H24" s="42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43"/>
      <c r="T24" s="43"/>
      <c r="U24" s="43"/>
      <c r="V24" s="43"/>
      <c r="W24" s="43"/>
      <c r="X24" s="43"/>
      <c r="Y24" s="43"/>
      <c r="Z24" s="43"/>
    </row>
    <row r="25" ht="14.25" customHeight="1">
      <c r="A25" s="53"/>
      <c r="B25" s="54"/>
      <c r="C25" s="54"/>
      <c r="D25" s="55"/>
      <c r="E25" s="58"/>
      <c r="F25" s="57" t="str">
        <f>IF(D22&gt;6,DATA!Y138,(IF(D22&gt;4,DATA!Y137,IF(D22&gt;2,DATA!Y136,DATA!Y135))))</f>
        <v>atau kerapihan, ceroboh.</v>
      </c>
      <c r="G25" s="53"/>
      <c r="H25" s="42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43"/>
      <c r="T25" s="43"/>
      <c r="U25" s="43"/>
      <c r="V25" s="43"/>
      <c r="W25" s="43"/>
      <c r="X25" s="43"/>
      <c r="Y25" s="43"/>
      <c r="Z25" s="43"/>
    </row>
    <row r="26" ht="14.25" customHeight="1">
      <c r="A26" s="53"/>
      <c r="B26" s="54" t="s">
        <v>120</v>
      </c>
      <c r="C26" s="54" t="s">
        <v>445</v>
      </c>
      <c r="D26" s="55">
        <f>HLOOKUP('URAIAN PAPIKOSTIK'!A1,DATA!$A3:$IV114,95,0)</f>
        <v>2</v>
      </c>
      <c r="E26" s="56" t="s">
        <v>446</v>
      </c>
      <c r="F26" s="57" t="str">
        <f>IF(D26&gt;6,DATA!V142,(IF(D26&gt;3,DATA!V141,IF(D26&gt;1,DATA!V140,DATA!V139))))</f>
        <v>Cukup peduli akan akurasi dan kelengkapan data.</v>
      </c>
      <c r="G26" s="53"/>
      <c r="H26" s="42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43"/>
      <c r="T26" s="43"/>
      <c r="U26" s="43"/>
      <c r="V26" s="43"/>
      <c r="W26" s="43"/>
      <c r="X26" s="43"/>
      <c r="Y26" s="43"/>
      <c r="Z26" s="43"/>
    </row>
    <row r="27" ht="14.25" customHeight="1">
      <c r="A27" s="53"/>
      <c r="B27" s="54"/>
      <c r="C27" s="54"/>
      <c r="D27" s="55"/>
      <c r="E27" s="58"/>
      <c r="F27" s="57" t="str">
        <f>IF(D26&gt;6,DATA!W142,(IF(D26&gt;3,DATA!W141,IF(D26&gt;1,DATA!W140,DATA!W139))))</f>
        <v> </v>
      </c>
      <c r="G27" s="53"/>
      <c r="H27" s="42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43"/>
      <c r="T27" s="43"/>
      <c r="U27" s="43"/>
      <c r="V27" s="43"/>
      <c r="W27" s="43"/>
      <c r="X27" s="43"/>
      <c r="Y27" s="43"/>
      <c r="Z27" s="43"/>
    </row>
    <row r="28" ht="14.25" customHeight="1">
      <c r="A28" s="53"/>
      <c r="B28" s="54"/>
      <c r="C28" s="54"/>
      <c r="D28" s="55"/>
      <c r="E28" s="58"/>
      <c r="F28" s="57" t="str">
        <f>IF(D26&gt;6,DATA!X142,(IF(D26&gt;3,DATA!X141,IF(D26&gt;1,DATA!X140,DATA!X139))))</f>
        <v> </v>
      </c>
      <c r="G28" s="53"/>
      <c r="H28" s="42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43"/>
      <c r="T28" s="43"/>
      <c r="U28" s="43"/>
      <c r="V28" s="43"/>
      <c r="W28" s="43"/>
      <c r="X28" s="43"/>
      <c r="Y28" s="43"/>
      <c r="Z28" s="43"/>
    </row>
    <row r="29" ht="14.25" customHeight="1">
      <c r="A29" s="53"/>
      <c r="B29" s="54"/>
      <c r="C29" s="54"/>
      <c r="D29" s="55"/>
      <c r="E29" s="58"/>
      <c r="F29" s="57" t="str">
        <f>IF(D26&gt;6,DATA!Y142,(IF(D26&gt;3,DATA!Y141,IF(D26&gt;1,DATA!Y140,DATA!Y139))))</f>
        <v> </v>
      </c>
      <c r="G29" s="53"/>
      <c r="H29" s="42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43"/>
      <c r="T29" s="43"/>
      <c r="U29" s="43"/>
      <c r="V29" s="43"/>
      <c r="W29" s="43"/>
      <c r="X29" s="43"/>
      <c r="Y29" s="43"/>
      <c r="Z29" s="43"/>
    </row>
    <row r="30" ht="14.25" customHeight="1">
      <c r="A30" s="53"/>
      <c r="B30" s="54" t="s">
        <v>121</v>
      </c>
      <c r="C30" s="54" t="s">
        <v>445</v>
      </c>
      <c r="D30" s="55">
        <f>HLOOKUP('URAIAN PAPIKOSTIK'!A1,DATA!$A3:$IV114,96,0)</f>
        <v>3</v>
      </c>
      <c r="E30" s="56" t="s">
        <v>446</v>
      </c>
      <c r="F30" s="57" t="str">
        <f>IF(D30&gt;7,DATA!V146,(IF(D30&gt;5,DATA!V145,IF(D30&gt;3,DATA!V144,DATA!V143))))</f>
        <v>Tipe pelaksana, praktis - pragmatis, mengandalkan pengalaman </v>
      </c>
      <c r="G30" s="53"/>
      <c r="H30" s="42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43"/>
      <c r="T30" s="43"/>
      <c r="U30" s="43"/>
      <c r="V30" s="43"/>
      <c r="W30" s="43"/>
      <c r="X30" s="43"/>
      <c r="Y30" s="43"/>
      <c r="Z30" s="43"/>
    </row>
    <row r="31" ht="14.25" customHeight="1">
      <c r="A31" s="53"/>
      <c r="B31" s="54"/>
      <c r="C31" s="54"/>
      <c r="D31" s="55"/>
      <c r="E31" s="58"/>
      <c r="F31" s="57" t="str">
        <f>IF(D30&gt;7,DATA!W146,(IF(D30&gt;5,DATA!W145,IF(D30&gt;3,DATA!W144,DATA!W143))))</f>
        <v>masa lalu dan intuisi. Bekerja tanpa perencanaan, mengandalkan</v>
      </c>
      <c r="G31" s="53"/>
      <c r="H31" s="42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43"/>
      <c r="T31" s="43"/>
      <c r="U31" s="43"/>
      <c r="V31" s="43"/>
      <c r="W31" s="43"/>
      <c r="X31" s="43"/>
      <c r="Y31" s="43"/>
      <c r="Z31" s="43"/>
    </row>
    <row r="32" ht="14.25" customHeight="1">
      <c r="A32" s="53"/>
      <c r="B32" s="54"/>
      <c r="C32" s="54"/>
      <c r="D32" s="55"/>
      <c r="E32" s="58"/>
      <c r="F32" s="57" t="str">
        <f>IF(D30&gt;7,DATA!X146,(IF(D30&gt;5,DATA!X145,IF(D30&gt;3,DATA!X144,DATA!X143))))</f>
        <v>perasaan.</v>
      </c>
      <c r="G32" s="53"/>
      <c r="H32" s="42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43"/>
      <c r="T32" s="43"/>
      <c r="U32" s="43"/>
      <c r="V32" s="43"/>
      <c r="W32" s="43"/>
      <c r="X32" s="43"/>
      <c r="Y32" s="43"/>
      <c r="Z32" s="43"/>
    </row>
    <row r="33" ht="14.25" customHeight="1">
      <c r="A33" s="53"/>
      <c r="B33" s="54"/>
      <c r="C33" s="54"/>
      <c r="D33" s="55"/>
      <c r="E33" s="58"/>
      <c r="F33" s="57" t="str">
        <f>IF(D30&gt;7,DATA!Y146,(IF(D30&gt;5,DATA!Y145,IF(D30&gt;3,DATA!Y144,DATA!Y143))))</f>
        <v> </v>
      </c>
      <c r="G33" s="53"/>
      <c r="H33" s="42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43"/>
      <c r="T33" s="43"/>
      <c r="U33" s="43"/>
      <c r="V33" s="43"/>
      <c r="W33" s="43"/>
      <c r="X33" s="43"/>
      <c r="Y33" s="43"/>
      <c r="Z33" s="43"/>
    </row>
    <row r="34" ht="14.25" customHeight="1">
      <c r="A34" s="53"/>
      <c r="B34" s="54" t="s">
        <v>15</v>
      </c>
      <c r="C34" s="54" t="s">
        <v>445</v>
      </c>
      <c r="D34" s="55">
        <f>HLOOKUP('URAIAN PAPIKOSTIK'!A1,DATA!$A3:$IV114,99,0)</f>
        <v>6</v>
      </c>
      <c r="E34" s="56" t="s">
        <v>446</v>
      </c>
      <c r="F34" s="57" t="str">
        <f>IF(D34&lt;4,DATA!V147,(IF(D34&gt;6,DATA!V149,DATA!V148)))</f>
        <v>Cukup aktif dalam segi mental, dapat menyesuaikan tempo kerjanya</v>
      </c>
      <c r="G34" s="53"/>
      <c r="H34" s="42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43"/>
      <c r="T34" s="43"/>
      <c r="U34" s="43"/>
      <c r="V34" s="43"/>
      <c r="W34" s="43"/>
      <c r="X34" s="43"/>
      <c r="Y34" s="43"/>
      <c r="Z34" s="43"/>
    </row>
    <row r="35" ht="14.25" customHeight="1">
      <c r="A35" s="53"/>
      <c r="B35" s="54"/>
      <c r="C35" s="54"/>
      <c r="D35" s="55"/>
      <c r="E35" s="58"/>
      <c r="F35" s="57" t="str">
        <f>IF(D34&lt;4,DATA!W147,(IF(D34&gt;6,DATA!W149,DATA!W148)))</f>
        <v> dengan tuntutan pekerjaan / lingkungan.</v>
      </c>
      <c r="G35" s="53"/>
      <c r="H35" s="42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43"/>
      <c r="T35" s="43"/>
      <c r="U35" s="43"/>
      <c r="V35" s="43"/>
      <c r="W35" s="43"/>
      <c r="X35" s="43"/>
      <c r="Y35" s="43"/>
      <c r="Z35" s="43"/>
    </row>
    <row r="36" ht="14.25" customHeight="1">
      <c r="A36" s="53"/>
      <c r="B36" s="54"/>
      <c r="C36" s="54"/>
      <c r="D36" s="55"/>
      <c r="E36" s="58"/>
      <c r="F36" s="57" t="str">
        <f>IF(D34&lt;4,DATA!X147,(IF(D34&gt;6,DATA!X149,DATA!X148)))</f>
        <v> </v>
      </c>
      <c r="G36" s="53"/>
      <c r="H36" s="42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43"/>
      <c r="T36" s="43"/>
      <c r="U36" s="43"/>
      <c r="V36" s="43"/>
      <c r="W36" s="43"/>
      <c r="X36" s="43"/>
      <c r="Y36" s="43"/>
      <c r="Z36" s="43"/>
    </row>
    <row r="37" ht="14.25" customHeight="1">
      <c r="A37" s="53"/>
      <c r="B37" s="54"/>
      <c r="C37" s="54"/>
      <c r="D37" s="55"/>
      <c r="E37" s="58"/>
      <c r="F37" s="57" t="str">
        <f>IF(D34&lt;4,DATA!Y147,(IF(D34&gt;6,DATA!Y149,DATA!Y148)))</f>
        <v> </v>
      </c>
      <c r="G37" s="53"/>
      <c r="H37" s="42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43"/>
      <c r="T37" s="43"/>
      <c r="U37" s="43"/>
      <c r="V37" s="43"/>
      <c r="W37" s="43"/>
      <c r="X37" s="43"/>
      <c r="Y37" s="43"/>
      <c r="Z37" s="43"/>
    </row>
    <row r="38" ht="14.25" customHeight="1">
      <c r="A38" s="53"/>
      <c r="B38" s="54" t="s">
        <v>123</v>
      </c>
      <c r="C38" s="54" t="s">
        <v>445</v>
      </c>
      <c r="D38" s="55">
        <f>HLOOKUP('URAIAN PAPIKOSTIK'!A1,DATA!$A3:$IV114,98,0)</f>
        <v>5</v>
      </c>
      <c r="E38" s="56" t="s">
        <v>446</v>
      </c>
      <c r="F38" s="57" t="str">
        <f>IF(D38&lt;3,DATA!V150,(IF(D38&gt;6,DATA!V152,DATA!V151)))</f>
        <v>Dapat bekerja di belakang meja dan senang jika sesekali harus</v>
      </c>
      <c r="G38" s="53"/>
      <c r="H38" s="42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43"/>
      <c r="T38" s="43"/>
      <c r="U38" s="43"/>
      <c r="V38" s="43"/>
      <c r="W38" s="43"/>
      <c r="X38" s="43"/>
      <c r="Y38" s="43"/>
      <c r="Z38" s="43"/>
    </row>
    <row r="39" ht="14.25" customHeight="1">
      <c r="A39" s="53"/>
      <c r="B39" s="54"/>
      <c r="C39" s="54"/>
      <c r="D39" s="55"/>
      <c r="E39" s="58"/>
      <c r="F39" s="57" t="str">
        <f>IF(D38&lt;3,DATA!W150,(IF(D38&gt;6,DATA!W152,DATA!W151)))</f>
        <v>terjun ke lapangan atau melaksanakan tugas-tugas yang bersifat</v>
      </c>
      <c r="G39" s="53"/>
      <c r="H39" s="42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43"/>
      <c r="T39" s="43"/>
      <c r="U39" s="43"/>
      <c r="V39" s="43"/>
      <c r="W39" s="43"/>
      <c r="X39" s="43"/>
      <c r="Y39" s="43"/>
      <c r="Z39" s="43"/>
    </row>
    <row r="40" ht="14.25" customHeight="1">
      <c r="A40" s="53"/>
      <c r="B40" s="54"/>
      <c r="C40" s="54"/>
      <c r="D40" s="55"/>
      <c r="E40" s="58"/>
      <c r="F40" s="57" t="str">
        <f>IF(D38&lt;3,DATA!X150,(IF(D38&gt;6,DATA!X152,DATA!X151)))</f>
        <v>mobile.</v>
      </c>
      <c r="G40" s="53"/>
      <c r="H40" s="42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43"/>
      <c r="T40" s="43"/>
      <c r="U40" s="43"/>
      <c r="V40" s="43"/>
      <c r="W40" s="43"/>
      <c r="X40" s="43"/>
      <c r="Y40" s="43"/>
      <c r="Z40" s="43"/>
    </row>
    <row r="41" ht="14.25" customHeight="1">
      <c r="A41" s="53"/>
      <c r="B41" s="54"/>
      <c r="C41" s="54"/>
      <c r="D41" s="55"/>
      <c r="E41" s="58"/>
      <c r="F41" s="57" t="str">
        <f>IF(D38&lt;3,DATA!Y150,(IF(D38&gt;6,DATA!Y152,DATA!Y151)))</f>
        <v> </v>
      </c>
      <c r="G41" s="53"/>
      <c r="H41" s="42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43"/>
      <c r="T41" s="43"/>
      <c r="U41" s="43"/>
      <c r="V41" s="43"/>
      <c r="W41" s="43"/>
      <c r="X41" s="43"/>
      <c r="Y41" s="43"/>
      <c r="Z41" s="43"/>
    </row>
    <row r="42" ht="14.25" customHeight="1">
      <c r="A42" s="53"/>
      <c r="B42" s="54" t="s">
        <v>127</v>
      </c>
      <c r="C42" s="54" t="s">
        <v>445</v>
      </c>
      <c r="D42" s="55">
        <f>HLOOKUP('URAIAN PAPIKOSTIK'!A1,DATA!$A3:$IV114,103,0)</f>
        <v>6</v>
      </c>
      <c r="E42" s="56" t="s">
        <v>446</v>
      </c>
      <c r="F42" s="57" t="str">
        <f>IF(D42&gt;7,DATA!V156,(IF(D42&gt;5,DATA!V155,IF(D42&gt;3,DATA!V154,DATA!V153))))</f>
        <v>Membutuhkan uraian rinci mengenai tugas, dan batasan tanggung </v>
      </c>
      <c r="G42" s="53"/>
      <c r="H42" s="42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43"/>
      <c r="T42" s="43"/>
      <c r="U42" s="43"/>
      <c r="V42" s="43"/>
      <c r="W42" s="43"/>
      <c r="X42" s="43"/>
      <c r="Y42" s="43"/>
      <c r="Z42" s="43"/>
    </row>
    <row r="43" ht="14.25" customHeight="1">
      <c r="A43" s="53"/>
      <c r="B43" s="54"/>
      <c r="C43" s="54"/>
      <c r="D43" s="55"/>
      <c r="E43" s="58"/>
      <c r="F43" s="57" t="str">
        <f>IF(D42&gt;7,DATA!W156,(IF(D42&gt;5,DATA!W155,IF(D42&gt;3,DATA!W154,DATA!W153))))</f>
        <v>jawab serta wewenang.</v>
      </c>
      <c r="G43" s="53"/>
      <c r="H43" s="42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43"/>
      <c r="T43" s="43"/>
      <c r="U43" s="43"/>
      <c r="V43" s="43"/>
      <c r="W43" s="43"/>
      <c r="X43" s="43"/>
      <c r="Y43" s="43"/>
      <c r="Z43" s="43"/>
    </row>
    <row r="44" ht="14.25" customHeight="1">
      <c r="A44" s="53"/>
      <c r="B44" s="54"/>
      <c r="C44" s="54"/>
      <c r="D44" s="55"/>
      <c r="E44" s="58"/>
      <c r="F44" s="57" t="str">
        <f>IF(D42&gt;7,DATA!X156,(IF(D42&gt;5,DATA!X155,IF(D42&gt;3,DATA!X154,DATA!X153))))</f>
        <v> </v>
      </c>
      <c r="G44" s="53"/>
      <c r="H44" s="42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43"/>
      <c r="T44" s="43"/>
      <c r="U44" s="43"/>
      <c r="V44" s="43"/>
      <c r="W44" s="43"/>
      <c r="X44" s="43"/>
      <c r="Y44" s="43"/>
      <c r="Z44" s="43"/>
    </row>
    <row r="45" ht="14.25" customHeight="1">
      <c r="A45" s="53"/>
      <c r="B45" s="54"/>
      <c r="C45" s="54"/>
      <c r="D45" s="55"/>
      <c r="E45" s="58"/>
      <c r="F45" s="57" t="str">
        <f>IF(D42&gt;7,DATA!Y156,(IF(D42&gt;5,DATA!Y155,IF(D42&gt;3,DATA!Y154,DATA!Y153))))</f>
        <v> </v>
      </c>
      <c r="G45" s="53"/>
      <c r="H45" s="42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43"/>
      <c r="T45" s="43"/>
      <c r="U45" s="43"/>
      <c r="V45" s="43"/>
      <c r="W45" s="43"/>
      <c r="X45" s="43"/>
      <c r="Y45" s="43"/>
      <c r="Z45" s="43"/>
    </row>
    <row r="46" ht="14.25" customHeight="1">
      <c r="A46" s="53"/>
      <c r="B46" s="54" t="s">
        <v>128</v>
      </c>
      <c r="C46" s="54" t="s">
        <v>445</v>
      </c>
      <c r="D46" s="55">
        <f>HLOOKUP('URAIAN PAPIKOSTIK'!A1,DATA!$A3:$IV114,104,0)</f>
        <v>5</v>
      </c>
      <c r="E46" s="56" t="s">
        <v>446</v>
      </c>
      <c r="F46" s="57" t="str">
        <f>IF(D46&gt;7,DATA!V160,(IF(D46=7,DATA!V159,IF(D46&gt;3,DATA!V158,DATA!V157))))</f>
        <v>Loyal pada Perusahaan.</v>
      </c>
      <c r="G46" s="53"/>
      <c r="H46" s="42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43"/>
      <c r="T46" s="43"/>
      <c r="U46" s="43"/>
      <c r="V46" s="43"/>
      <c r="W46" s="43"/>
      <c r="X46" s="43"/>
      <c r="Y46" s="43"/>
      <c r="Z46" s="43"/>
    </row>
    <row r="47" ht="14.25" customHeight="1">
      <c r="A47" s="53"/>
      <c r="B47" s="54"/>
      <c r="C47" s="54"/>
      <c r="D47" s="55"/>
      <c r="E47" s="58"/>
      <c r="F47" s="57" t="str">
        <f>IF(D46&gt;7,DATA!W160,(IF(D46=7,DATA!W159,IF(D46&gt;3,DATA!W158,DATA!W157))))</f>
        <v> </v>
      </c>
      <c r="G47" s="53"/>
      <c r="H47" s="42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43"/>
      <c r="T47" s="43"/>
      <c r="U47" s="43"/>
      <c r="V47" s="43"/>
      <c r="W47" s="43"/>
      <c r="X47" s="43"/>
      <c r="Y47" s="43"/>
      <c r="Z47" s="43"/>
    </row>
    <row r="48" ht="14.25" customHeight="1">
      <c r="A48" s="53"/>
      <c r="B48" s="54"/>
      <c r="C48" s="54"/>
      <c r="D48" s="55"/>
      <c r="E48" s="58"/>
      <c r="F48" s="57" t="str">
        <f>IF(D46&gt;7,DATA!X160,(IF(D46=7,DATA!X159,IF(D46&gt;3,DATA!X158,DATA!X157))))</f>
        <v> </v>
      </c>
      <c r="G48" s="53"/>
      <c r="H48" s="42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43"/>
      <c r="T48" s="43"/>
      <c r="U48" s="43"/>
      <c r="V48" s="43"/>
      <c r="W48" s="43"/>
      <c r="X48" s="43"/>
      <c r="Y48" s="43"/>
      <c r="Z48" s="43"/>
    </row>
    <row r="49" ht="14.25" customHeight="1">
      <c r="A49" s="53"/>
      <c r="B49" s="54"/>
      <c r="C49" s="54"/>
      <c r="D49" s="55"/>
      <c r="E49" s="58"/>
      <c r="F49" s="57" t="str">
        <f>IF(D46&gt;7,DATA!Y160,(IF(D46=7,DATA!Y159,IF(D46&gt;3,DATA!Y158,DATA!Y157))))</f>
        <v> </v>
      </c>
      <c r="G49" s="53"/>
      <c r="H49" s="42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43"/>
      <c r="T49" s="43"/>
      <c r="U49" s="43"/>
      <c r="V49" s="43"/>
      <c r="W49" s="43"/>
      <c r="X49" s="43"/>
      <c r="Y49" s="43"/>
      <c r="Z49" s="43"/>
    </row>
    <row r="50" ht="14.25" customHeight="1">
      <c r="A50" s="53"/>
      <c r="B50" s="54" t="s">
        <v>125</v>
      </c>
      <c r="C50" s="54" t="s">
        <v>445</v>
      </c>
      <c r="D50" s="55">
        <f>HLOOKUP('URAIAN PAPIKOSTIK'!A1,DATA!$A3:$IV114,101,0)</f>
        <v>8</v>
      </c>
      <c r="E50" s="56" t="s">
        <v>446</v>
      </c>
      <c r="F50" s="57" t="str">
        <f>IF(D50&gt;7,DATA!V166,(IF(D50&gt;5,DATA!V165,(IF(D50=5,DATA!V164,IF(D50=4,DATA!V163,IF(D50&gt;1,DATA!V162,DATA!V161)))))))</f>
        <v>Sangat percaya diri utk berperan sbg atasan &amp; sangat mengharapkan</v>
      </c>
      <c r="G50" s="53"/>
      <c r="H50" s="42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43"/>
      <c r="T50" s="43"/>
      <c r="U50" s="43"/>
      <c r="V50" s="43"/>
      <c r="W50" s="43"/>
      <c r="X50" s="43"/>
      <c r="Y50" s="43"/>
      <c r="Z50" s="43"/>
    </row>
    <row r="51" ht="14.25" customHeight="1">
      <c r="A51" s="53"/>
      <c r="B51" s="54"/>
      <c r="C51" s="54"/>
      <c r="D51" s="55"/>
      <c r="E51" s="58"/>
      <c r="F51" s="57" t="str">
        <f>IF(D50&gt;7,DATA!W166,(IF(D50&gt;5,DATA!W165,(IF(D50=5,DATA!W164,IF(D50=4,DATA!W163,IF(D50&gt;1,DATA!W162,DATA!W161)))))))</f>
        <v>posisi tersebut. Lebih mementingkan citra &amp; status kepemimpinannya</v>
      </c>
      <c r="G51" s="53"/>
      <c r="H51" s="42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43"/>
      <c r="T51" s="43"/>
      <c r="U51" s="43"/>
      <c r="V51" s="43"/>
      <c r="W51" s="43"/>
      <c r="X51" s="43"/>
      <c r="Y51" s="43"/>
      <c r="Z51" s="43"/>
    </row>
    <row r="52" ht="14.25" customHeight="1">
      <c r="A52" s="53"/>
      <c r="B52" s="54"/>
      <c r="C52" s="54"/>
      <c r="D52" s="55"/>
      <c r="E52" s="58"/>
      <c r="F52" s="57" t="str">
        <f>IF(D50&gt;7,DATA!X166,(IF(D50&gt;5,DATA!X165,(IF(D50=5,DATA!X164,IF(D50=4,DATA!X163,IF(D50&gt;1,DATA!X162,DATA!X161)))))))</f>
        <v>dari pada efektifitas kelompok, mungkin akan tampil angkuh atau</v>
      </c>
      <c r="G52" s="53"/>
      <c r="H52" s="42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43"/>
      <c r="T52" s="43"/>
      <c r="U52" s="43"/>
      <c r="V52" s="43"/>
      <c r="W52" s="43"/>
      <c r="X52" s="43"/>
      <c r="Y52" s="43"/>
      <c r="Z52" s="43"/>
    </row>
    <row r="53" ht="14.25" customHeight="1">
      <c r="A53" s="53"/>
      <c r="B53" s="54"/>
      <c r="C53" s="54"/>
      <c r="D53" s="55"/>
      <c r="E53" s="58"/>
      <c r="F53" s="57" t="str">
        <f>IF(D50&gt;7,DATA!Y166,(IF(D50&gt;5,DATA!Y165,(IF(D50=5,DATA!Y164,IF(D50=4,DATA!Y163,IF(D50&gt;1,DATA!Y162,DATA!Y161)))))))</f>
        <v>terlalu percaya diri.</v>
      </c>
      <c r="G53" s="53"/>
      <c r="H53" s="42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43"/>
      <c r="T53" s="43"/>
      <c r="U53" s="43"/>
      <c r="V53" s="43"/>
      <c r="W53" s="43"/>
      <c r="X53" s="43"/>
      <c r="Y53" s="43"/>
      <c r="Z53" s="43"/>
    </row>
    <row r="54" ht="14.25" customHeight="1">
      <c r="A54" s="53"/>
      <c r="B54" s="54" t="s">
        <v>134</v>
      </c>
      <c r="C54" s="54" t="s">
        <v>445</v>
      </c>
      <c r="D54" s="55">
        <f>HLOOKUP('URAIAN PAPIKOSTIK'!A1,DATA!$A3:$IV114,110,0)</f>
        <v>8</v>
      </c>
      <c r="E54" s="56" t="s">
        <v>446</v>
      </c>
      <c r="F54" s="57" t="str">
        <f>IF(D54&gt;7,DATA!V172,(IF(D54&gt;5,DATA!V171,(IF(D54=5,DATA!V170,IF(D54=4,DATA!V169,IF(D54&gt;1,DATA!V168,DATA!V167)))))))</f>
        <v>Sangat dominan, sangat mempengaruhi &amp; mengawasi org lain, bertanggung</v>
      </c>
      <c r="G54" s="53"/>
      <c r="H54" s="42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43"/>
      <c r="T54" s="43"/>
      <c r="U54" s="43"/>
      <c r="V54" s="43"/>
      <c r="W54" s="43"/>
      <c r="X54" s="43"/>
      <c r="Y54" s="43"/>
      <c r="Z54" s="43"/>
    </row>
    <row r="55" ht="14.25" customHeight="1">
      <c r="A55" s="53"/>
      <c r="B55" s="54"/>
      <c r="C55" s="54"/>
      <c r="D55" s="55"/>
      <c r="E55" s="58"/>
      <c r="F55" s="57" t="str">
        <f>IF(D54&gt;7,DATA!W172,(IF(D54&gt;5,DATA!W171,(IF(D54=5,DATA!W170,IF(D54=4,DATA!W169,IF(D54&gt;1,DATA!W168,DATA!W167)))))))</f>
        <v>jawab atas tindakan &amp; hasil kerja bawahan. Posesif, tdk ingin berada di </v>
      </c>
      <c r="G55" s="53"/>
      <c r="H55" s="42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43"/>
      <c r="T55" s="43"/>
      <c r="U55" s="43"/>
      <c r="V55" s="43"/>
      <c r="W55" s="43"/>
      <c r="X55" s="43"/>
      <c r="Y55" s="43"/>
      <c r="Z55" s="43"/>
    </row>
    <row r="56" ht="14.25" customHeight="1">
      <c r="A56" s="53"/>
      <c r="B56" s="54"/>
      <c r="C56" s="54"/>
      <c r="D56" s="55"/>
      <c r="E56" s="58"/>
      <c r="F56" s="57" t="str">
        <f>IF(D54&gt;7,DATA!X172,(IF(D54&gt;5,DATA!X171,(IF(D54=5,DATA!X170,IF(D54=4,DATA!X169,IF(D54&gt;1,DATA!X168,DATA!X167)))))))</f>
        <v>bawah pimpinan org lain, cemas bila tdk berada di posisi pemimpin, </v>
      </c>
      <c r="G56" s="53"/>
      <c r="H56" s="42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43"/>
      <c r="T56" s="43"/>
      <c r="U56" s="43"/>
      <c r="V56" s="43"/>
      <c r="W56" s="43"/>
      <c r="X56" s="43"/>
      <c r="Y56" s="43"/>
      <c r="Z56" s="43"/>
    </row>
    <row r="57" ht="14.25" customHeight="1">
      <c r="A57" s="53"/>
      <c r="B57" s="54"/>
      <c r="C57" s="54"/>
      <c r="D57" s="55"/>
      <c r="E57" s="58"/>
      <c r="F57" s="57" t="str">
        <f>IF(D54&gt;7,DATA!Y172,(IF(D54&gt;5,DATA!Y171,(IF(D54=5,DATA!Y170,IF(D54=4,DATA!Y169,IF(D54&gt;1,DATA!Y168,DATA!Y167)))))))</f>
        <v>mungkin sulit utk bekerja sama dgn rekan yg sejajar kedudukannya.</v>
      </c>
      <c r="G57" s="53"/>
      <c r="H57" s="42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43"/>
      <c r="T57" s="43"/>
      <c r="U57" s="43"/>
      <c r="V57" s="43"/>
      <c r="W57" s="43"/>
      <c r="X57" s="43"/>
      <c r="Y57" s="43"/>
      <c r="Z57" s="43"/>
    </row>
    <row r="58" ht="14.25" customHeight="1">
      <c r="A58" s="53"/>
      <c r="B58" s="54" t="s">
        <v>124</v>
      </c>
      <c r="C58" s="54" t="s">
        <v>445</v>
      </c>
      <c r="D58" s="55">
        <f>HLOOKUP('URAIAN PAPIKOSTIK'!A1,DATA!$A3:$IV114,100,0)</f>
        <v>9</v>
      </c>
      <c r="E58" s="56" t="s">
        <v>446</v>
      </c>
      <c r="F58" s="57" t="str">
        <f>IF(D58&gt;7,DATA!V177,(IF(D58&gt;5,DATA!V176,(IF(D58&gt;3,DATA!V175,(IF(D58&gt;1,DATA!V174,DATA!V173)))))))</f>
        <v>Sangat yakin dl mengambil keputusan, cepat tanggap thd situasi, berani</v>
      </c>
      <c r="G58" s="53"/>
      <c r="H58" s="42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43"/>
      <c r="T58" s="43"/>
      <c r="U58" s="43"/>
      <c r="V58" s="43"/>
      <c r="W58" s="43"/>
      <c r="X58" s="43"/>
      <c r="Y58" s="43"/>
      <c r="Z58" s="43"/>
    </row>
    <row r="59" ht="14.25" customHeight="1">
      <c r="A59" s="53"/>
      <c r="B59" s="54"/>
      <c r="C59" s="54"/>
      <c r="D59" s="55"/>
      <c r="E59" s="58"/>
      <c r="F59" s="57" t="str">
        <f>IF(D58&gt;7,DATA!W177,(IF(D58&gt;5,DATA!W176,(IF(D58&gt;3,DATA!W175,(IF(D58&gt;1,DATA!W174,DATA!W173)))))))</f>
        <v>mengambil resiko, mau memanfaatkan kesempatan. Impulsif, dpt mem-</v>
      </c>
      <c r="G59" s="53"/>
      <c r="H59" s="42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43"/>
      <c r="T59" s="43"/>
      <c r="U59" s="43"/>
      <c r="V59" s="43"/>
      <c r="W59" s="43"/>
      <c r="X59" s="43"/>
      <c r="Y59" s="43"/>
      <c r="Z59" s="43"/>
    </row>
    <row r="60" ht="14.25" customHeight="1">
      <c r="A60" s="53"/>
      <c r="B60" s="54"/>
      <c r="C60" s="54"/>
      <c r="D60" s="55"/>
      <c r="E60" s="58"/>
      <c r="F60" s="57" t="str">
        <f>IF(D58&gt;7,DATA!X177,(IF(D58&gt;5,DATA!X176,(IF(D58&gt;3,DATA!X175,(IF(D58&gt;1,DATA!X174,DATA!X173)))))))</f>
        <v>buat keputusan yg tdk praktis, cenderung lebih mementingkan kecepatan</v>
      </c>
      <c r="G60" s="53"/>
      <c r="H60" s="42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43"/>
      <c r="T60" s="43"/>
      <c r="U60" s="43"/>
      <c r="V60" s="43"/>
      <c r="W60" s="43"/>
      <c r="X60" s="43"/>
      <c r="Y60" s="43"/>
      <c r="Z60" s="43"/>
    </row>
    <row r="61" ht="14.25" customHeight="1">
      <c r="A61" s="53"/>
      <c r="B61" s="54"/>
      <c r="C61" s="54"/>
      <c r="D61" s="55"/>
      <c r="E61" s="58"/>
      <c r="F61" s="57" t="str">
        <f>IF(D58&gt;7,DATA!Y177,(IF(D58&gt;5,DATA!Y176,(IF(D58&gt;3,DATA!Y175,(IF(D58&gt;1,DATA!Y174,DATA!Y173)))))))</f>
        <v>daripada akurasi, tdk sabar, cenderung meloncat pd keputusan.</v>
      </c>
      <c r="G61" s="53"/>
      <c r="H61" s="42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43"/>
      <c r="T61" s="43"/>
      <c r="U61" s="43"/>
      <c r="V61" s="43"/>
      <c r="W61" s="43"/>
      <c r="X61" s="43"/>
      <c r="Y61" s="43"/>
      <c r="Z61" s="43"/>
    </row>
    <row r="62" ht="14.25" customHeight="1">
      <c r="A62" s="53"/>
      <c r="B62" s="54" t="s">
        <v>122</v>
      </c>
      <c r="C62" s="54" t="s">
        <v>445</v>
      </c>
      <c r="D62" s="55">
        <f>HLOOKUP('URAIAN PAPIKOSTIK'!A1,DATA!$A3:$IV114,97,0)</f>
        <v>4</v>
      </c>
      <c r="E62" s="56" t="s">
        <v>446</v>
      </c>
      <c r="F62" s="57" t="str">
        <f>IF(D62&gt;4,DATA!V180,(IF(D62&gt;2,DATA!V179,DATA!V178)))</f>
        <v>Kurang percaya diri &amp; kurang aktif dlm menjalin hubungan sosial.</v>
      </c>
      <c r="G62" s="53"/>
      <c r="H62" s="42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43"/>
      <c r="T62" s="43"/>
      <c r="U62" s="43"/>
      <c r="V62" s="43"/>
      <c r="W62" s="43"/>
      <c r="X62" s="43"/>
      <c r="Y62" s="43"/>
      <c r="Z62" s="43"/>
    </row>
    <row r="63" ht="14.25" customHeight="1">
      <c r="A63" s="53"/>
      <c r="B63" s="54"/>
      <c r="C63" s="54"/>
      <c r="D63" s="55"/>
      <c r="E63" s="58"/>
      <c r="F63" s="57" t="str">
        <f>IF(D62&gt;4,DATA!W180,(IF(D62&gt;2,DATA!W179,DATA!W178)))</f>
        <v> </v>
      </c>
      <c r="G63" s="53"/>
      <c r="H63" s="42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43"/>
      <c r="T63" s="43"/>
      <c r="U63" s="43"/>
      <c r="V63" s="43"/>
      <c r="W63" s="43"/>
      <c r="X63" s="43"/>
      <c r="Y63" s="43"/>
      <c r="Z63" s="43"/>
    </row>
    <row r="64" ht="14.25" customHeight="1">
      <c r="A64" s="53"/>
      <c r="B64" s="54"/>
      <c r="C64" s="54"/>
      <c r="D64" s="55"/>
      <c r="E64" s="58"/>
      <c r="F64" s="57" t="str">
        <f>IF(D62&gt;4,DATA!X180,(IF(D62&gt;2,DATA!X179,DATA!X178)))</f>
        <v> </v>
      </c>
      <c r="G64" s="53"/>
      <c r="H64" s="42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43"/>
      <c r="T64" s="43"/>
      <c r="U64" s="43"/>
      <c r="V64" s="43"/>
      <c r="W64" s="43"/>
      <c r="X64" s="43"/>
      <c r="Y64" s="43"/>
      <c r="Z64" s="43"/>
    </row>
    <row r="65" ht="14.25" customHeight="1">
      <c r="A65" s="53"/>
      <c r="B65" s="54"/>
      <c r="C65" s="54"/>
      <c r="D65" s="55"/>
      <c r="E65" s="58"/>
      <c r="F65" s="57" t="str">
        <f>IF(D62&gt;4,DATA!Y180,(IF(D62&gt;2,DATA!Y179,DATA!Y178)))</f>
        <v> </v>
      </c>
      <c r="G65" s="53"/>
      <c r="H65" s="42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43"/>
      <c r="T65" s="43"/>
      <c r="U65" s="43"/>
      <c r="V65" s="43"/>
      <c r="W65" s="43"/>
      <c r="X65" s="43"/>
      <c r="Y65" s="43"/>
      <c r="Z65" s="43"/>
    </row>
    <row r="66" ht="14.25" customHeight="1">
      <c r="A66" s="53"/>
      <c r="B66" s="54" t="s">
        <v>132</v>
      </c>
      <c r="C66" s="54" t="s">
        <v>445</v>
      </c>
      <c r="D66" s="55">
        <f>HLOOKUP('URAIAN PAPIKOSTIK'!A1,DATA!$A3:$IV114,108,0)</f>
        <v>1</v>
      </c>
      <c r="E66" s="56" t="s">
        <v>446</v>
      </c>
      <c r="F66" s="57" t="str">
        <f>IF(D66&gt;5,DATA!V183,(IF(D66&gt;2,DATA!V182,DATA!V181)))</f>
        <v>Mandiri ( dari segi emosi ) , tdk mudah dipengaruhi oleh tekanan</v>
      </c>
      <c r="G66" s="53"/>
      <c r="H66" s="42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43"/>
      <c r="T66" s="43"/>
      <c r="U66" s="43"/>
      <c r="V66" s="43"/>
      <c r="W66" s="43"/>
      <c r="X66" s="43"/>
      <c r="Y66" s="43"/>
      <c r="Z66" s="43"/>
    </row>
    <row r="67" ht="14.25" customHeight="1">
      <c r="A67" s="53"/>
      <c r="B67" s="57"/>
      <c r="C67" s="54"/>
      <c r="D67" s="55"/>
      <c r="E67" s="58"/>
      <c r="F67" s="57" t="str">
        <f>IF(D66&gt;5,DATA!W183,(IF(D66&gt;2,DATA!W182,DATA!W181)))</f>
        <v>kelompok. Penyendiri, kurang peka akan sikap &amp; kebutuhan kelom-</v>
      </c>
      <c r="G67" s="53"/>
      <c r="H67" s="42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43"/>
      <c r="T67" s="43"/>
      <c r="U67" s="43"/>
      <c r="V67" s="43"/>
      <c r="W67" s="43"/>
      <c r="X67" s="43"/>
      <c r="Y67" s="43"/>
      <c r="Z67" s="43"/>
    </row>
    <row r="68" ht="14.25" customHeight="1">
      <c r="A68" s="53"/>
      <c r="B68" s="54"/>
      <c r="C68" s="54"/>
      <c r="D68" s="55"/>
      <c r="E68" s="58"/>
      <c r="F68" s="57" t="str">
        <f>IF(D66&gt;5,DATA!X183,(IF(D66&gt;2,DATA!X182,DATA!X181)))</f>
        <v>pok, mungkin sulit menyesuaikan diri.</v>
      </c>
      <c r="G68" s="53"/>
      <c r="H68" s="42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43"/>
      <c r="T68" s="43"/>
      <c r="U68" s="43"/>
      <c r="V68" s="43"/>
      <c r="W68" s="43"/>
      <c r="X68" s="43"/>
      <c r="Y68" s="43"/>
      <c r="Z68" s="43"/>
    </row>
    <row r="69" ht="14.25" customHeight="1">
      <c r="A69" s="53"/>
      <c r="B69" s="54"/>
      <c r="C69" s="54"/>
      <c r="D69" s="55"/>
      <c r="E69" s="58"/>
      <c r="F69" s="57" t="str">
        <f>IF(D66&gt;5,DATA!Y183,(IF(D66&gt;2,DATA!Y182,DATA!Y181)))</f>
        <v> </v>
      </c>
      <c r="G69" s="53"/>
      <c r="H69" s="42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43"/>
      <c r="T69" s="43"/>
      <c r="U69" s="43"/>
      <c r="V69" s="43"/>
      <c r="W69" s="43"/>
      <c r="X69" s="43"/>
      <c r="Y69" s="43"/>
      <c r="Z69" s="43"/>
    </row>
    <row r="70" ht="14.25" customHeight="1">
      <c r="A70" s="53"/>
      <c r="B70" s="54" t="s">
        <v>131</v>
      </c>
      <c r="C70" s="54" t="s">
        <v>445</v>
      </c>
      <c r="D70" s="55">
        <f>HLOOKUP('URAIAN PAPIKOSTIK'!A1,DATA!$A3:$IV114,107,0)</f>
        <v>2</v>
      </c>
      <c r="E70" s="56" t="s">
        <v>446</v>
      </c>
      <c r="F70" s="57" t="str">
        <f>IF(D70&gt;5,DATA!V186,(IF(D70&gt;2,DATA!V185,DATA!V184)))</f>
        <v>Menjaga jarak, lebih memperhatikan hal - hal kedinasan, tdk mudah</v>
      </c>
      <c r="G70" s="53"/>
      <c r="H70" s="42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43"/>
      <c r="T70" s="43"/>
      <c r="U70" s="43"/>
      <c r="V70" s="43"/>
      <c r="W70" s="43"/>
      <c r="X70" s="43"/>
      <c r="Y70" s="43"/>
      <c r="Z70" s="43"/>
    </row>
    <row r="71" ht="14.25" customHeight="1">
      <c r="A71" s="53"/>
      <c r="B71" s="54"/>
      <c r="C71" s="54"/>
      <c r="D71" s="55"/>
      <c r="E71" s="58"/>
      <c r="F71" s="57" t="str">
        <f>IF(D70&gt;5,DATA!W186,(IF(D70&gt;2,DATA!W185,DATA!W184)))</f>
        <v>dipengaruhi oleh individu tertentu, objektif &amp; analitis. Tampil dingin,</v>
      </c>
      <c r="G71" s="53"/>
      <c r="H71" s="42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43"/>
      <c r="T71" s="43"/>
      <c r="U71" s="43"/>
      <c r="V71" s="43"/>
      <c r="W71" s="43"/>
      <c r="X71" s="43"/>
      <c r="Y71" s="43"/>
      <c r="Z71" s="43"/>
    </row>
    <row r="72" ht="14.25" customHeight="1">
      <c r="A72" s="53"/>
      <c r="B72" s="54"/>
      <c r="C72" s="54"/>
      <c r="D72" s="55"/>
      <c r="E72" s="58"/>
      <c r="F72" s="57" t="str">
        <f>IF(D70&gt;5,DATA!X186,(IF(D70&gt;2,DATA!X185,DATA!X184)))</f>
        <v>tdk acuh, tdk ramah, suka berahasia, mungkin tdk sadar akan pe-</v>
      </c>
      <c r="G72" s="53"/>
      <c r="H72" s="42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43"/>
      <c r="T72" s="43"/>
      <c r="U72" s="43"/>
      <c r="V72" s="43"/>
      <c r="W72" s="43"/>
      <c r="X72" s="43"/>
      <c r="Y72" s="43"/>
      <c r="Z72" s="43"/>
    </row>
    <row r="73" ht="14.25" customHeight="1">
      <c r="A73" s="53"/>
      <c r="B73" s="54"/>
      <c r="C73" s="54"/>
      <c r="D73" s="55"/>
      <c r="E73" s="58"/>
      <c r="F73" s="57" t="str">
        <f>IF(D70&gt;5,DATA!Y186,(IF(D70&gt;2,DATA!Y185,DATA!Y184)))</f>
        <v>rasaan org lain, &amp; mungkin sulit menyesuaikan diri.</v>
      </c>
      <c r="G73" s="53"/>
      <c r="H73" s="42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43"/>
      <c r="T73" s="43"/>
      <c r="U73" s="43"/>
      <c r="V73" s="43"/>
      <c r="W73" s="43"/>
      <c r="X73" s="43"/>
      <c r="Y73" s="43"/>
      <c r="Z73" s="43"/>
    </row>
    <row r="74" ht="14.25" customHeight="1">
      <c r="A74" s="53"/>
      <c r="B74" s="54" t="s">
        <v>133</v>
      </c>
      <c r="C74" s="54" t="s">
        <v>445</v>
      </c>
      <c r="D74" s="55">
        <f>HLOOKUP('URAIAN PAPIKOSTIK'!A1,DATA!$A3:$IV114,109,0)</f>
        <v>7</v>
      </c>
      <c r="E74" s="56" t="s">
        <v>446</v>
      </c>
      <c r="F74" s="57" t="str">
        <f>IF(D74&gt;5,DATA!V190,(IF(D74&gt;3,DATA!V189,IF(D74&gt;1,DATA!V188,DATA!V187))))</f>
        <v>Bangga akan diri dan gayanya sendiri, senang menjadi pusat perha-</v>
      </c>
      <c r="G74" s="53"/>
      <c r="H74" s="42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43"/>
      <c r="T74" s="43"/>
      <c r="U74" s="43"/>
      <c r="V74" s="43"/>
      <c r="W74" s="43"/>
      <c r="X74" s="43"/>
      <c r="Y74" s="43"/>
      <c r="Z74" s="43"/>
    </row>
    <row r="75" ht="14.25" customHeight="1">
      <c r="A75" s="53"/>
      <c r="B75" s="54"/>
      <c r="C75" s="54"/>
      <c r="D75" s="55"/>
      <c r="E75" s="58"/>
      <c r="F75" s="57" t="str">
        <f>IF(D74&gt;5,DATA!W190,(IF(D74&gt;3,DATA!W189,IF(D74&gt;1,DATA!W188,DATA!W187))))</f>
        <v>tian, mengharapkan penghargaan dari lingkungan. Mencari-cari</v>
      </c>
      <c r="G75" s="53"/>
      <c r="H75" s="42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43"/>
      <c r="T75" s="43"/>
      <c r="U75" s="43"/>
      <c r="V75" s="43"/>
      <c r="W75" s="43"/>
      <c r="X75" s="43"/>
      <c r="Y75" s="43"/>
      <c r="Z75" s="43"/>
    </row>
    <row r="76" ht="14.25" customHeight="1">
      <c r="A76" s="53"/>
      <c r="B76" s="54"/>
      <c r="C76" s="54"/>
      <c r="D76" s="55"/>
      <c r="E76" s="58"/>
      <c r="F76" s="57" t="str">
        <f>IF(D74&gt;5,DATA!X190,(IF(D74&gt;3,DATA!X189,IF(D74&gt;1,DATA!X188,DATA!X187))))</f>
        <v>perhatian dan suka menyombongkan diri.</v>
      </c>
      <c r="G76" s="53"/>
      <c r="H76" s="42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43"/>
      <c r="T76" s="43"/>
      <c r="U76" s="43"/>
      <c r="V76" s="43"/>
      <c r="W76" s="43"/>
      <c r="X76" s="43"/>
      <c r="Y76" s="43"/>
      <c r="Z76" s="43"/>
    </row>
    <row r="77" ht="14.25" customHeight="1">
      <c r="A77" s="53"/>
      <c r="B77" s="54"/>
      <c r="C77" s="54"/>
      <c r="D77" s="55"/>
      <c r="E77" s="58"/>
      <c r="F77" s="57" t="str">
        <f>IF(D74&gt;5,DATA!Y190,(IF(D74&gt;3,DATA!Y189,IF(D74&gt;1,DATA!Y188,DATA!Y187))))</f>
        <v> </v>
      </c>
      <c r="G77" s="53"/>
      <c r="H77" s="42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43"/>
      <c r="T77" s="43"/>
      <c r="U77" s="43"/>
      <c r="V77" s="43"/>
      <c r="W77" s="43"/>
      <c r="X77" s="43"/>
      <c r="Y77" s="43"/>
      <c r="Z77" s="43"/>
    </row>
    <row r="78" ht="14.25" customHeight="1">
      <c r="A78" s="53"/>
      <c r="B78" s="54" t="s">
        <v>118</v>
      </c>
      <c r="C78" s="54" t="s">
        <v>445</v>
      </c>
      <c r="D78" s="55">
        <f>HLOOKUP('URAIAN PAPIKOSTIK'!A1,DATA!$A3:$IV114,93,0)</f>
        <v>0</v>
      </c>
      <c r="E78" s="56" t="s">
        <v>446</v>
      </c>
      <c r="F78" s="57" t="str">
        <f>IF(D78&gt;6,DATA!V194,(IF(D78&gt;3,DATA!V193,IF(D78&gt;1,DATA!V192,DATA!V191))))</f>
        <v>Sangat terbuka, terus terang, mudah terbaca (dari air muka, tindakan,</v>
      </c>
      <c r="G78" s="53"/>
      <c r="H78" s="42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43"/>
      <c r="T78" s="43"/>
      <c r="U78" s="43"/>
      <c r="V78" s="43"/>
      <c r="W78" s="43"/>
      <c r="X78" s="43"/>
      <c r="Y78" s="43"/>
      <c r="Z78" s="43"/>
    </row>
    <row r="79" ht="14.25" customHeight="1">
      <c r="A79" s="53"/>
      <c r="B79" s="54"/>
      <c r="C79" s="54"/>
      <c r="D79" s="55"/>
      <c r="E79" s="58"/>
      <c r="F79" s="57" t="str">
        <f>IF(D78&gt;6,DATA!W194,(IF(D78&gt;3,DATA!W193,IF(D78&gt;1,DATA!W192,DATA!W191))))</f>
        <v>perkataan, sikap). Tidak dapat mengendalikan emosi, cepat </v>
      </c>
      <c r="G79" s="53"/>
      <c r="H79" s="42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43"/>
      <c r="T79" s="43"/>
      <c r="U79" s="43"/>
      <c r="V79" s="43"/>
      <c r="W79" s="43"/>
      <c r="X79" s="43"/>
      <c r="Y79" s="43"/>
      <c r="Z79" s="43"/>
    </row>
    <row r="80" ht="14.25" customHeight="1">
      <c r="A80" s="53"/>
      <c r="B80" s="54"/>
      <c r="C80" s="54"/>
      <c r="D80" s="55"/>
      <c r="E80" s="58"/>
      <c r="F80" s="57" t="str">
        <f>IF(D78&gt;6,DATA!X194,(IF(D78&gt;3,DATA!X193,IF(D78&gt;1,DATA!X192,DATA!X191))))</f>
        <v>bereaksi, kurang mengindahkan/tidak mempunyai 'nilai' yg meng-</v>
      </c>
      <c r="G80" s="53"/>
      <c r="H80" s="42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43"/>
      <c r="T80" s="43"/>
      <c r="U80" s="43"/>
      <c r="V80" s="43"/>
      <c r="W80" s="43"/>
      <c r="X80" s="43"/>
      <c r="Y80" s="43"/>
      <c r="Z80" s="43"/>
    </row>
    <row r="81" ht="14.25" customHeight="1">
      <c r="A81" s="53"/>
      <c r="B81" s="54"/>
      <c r="C81" s="54"/>
      <c r="D81" s="55"/>
      <c r="E81" s="58"/>
      <c r="F81" s="57" t="str">
        <f>IF(D78&gt;6,DATA!Y194,(IF(D78&gt;3,DATA!Y193,IF(D78&gt;1,DATA!Y192,DATA!Y191))))</f>
        <v>haruskannya menahan emosi.</v>
      </c>
      <c r="G81" s="53"/>
      <c r="H81" s="42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43"/>
      <c r="T81" s="43"/>
      <c r="U81" s="43"/>
      <c r="V81" s="43"/>
      <c r="W81" s="43"/>
      <c r="X81" s="43"/>
      <c r="Y81" s="43"/>
      <c r="Z81" s="43"/>
    </row>
    <row r="82" ht="14.25" customHeight="1">
      <c r="A82" s="53"/>
      <c r="B82" s="54" t="s">
        <v>129</v>
      </c>
      <c r="C82" s="54" t="s">
        <v>445</v>
      </c>
      <c r="D82" s="55">
        <f>HLOOKUP('URAIAN PAPIKOSTIK'!A1,DATA!$A3:$IV114,105,0)</f>
        <v>4</v>
      </c>
      <c r="E82" s="56" t="s">
        <v>446</v>
      </c>
      <c r="F82" s="57" t="str">
        <f>IF(D82&gt;7,DATA!V199,(IF(D82&gt;5,DATA!V198,(IF(D82&gt;3,DATA!V197,(IF(D82&gt;1,DATA!V196,DATA!V195)))))))</f>
        <v>Tidak mencari atau menghindari konflik, mau mendengarkan pan-</v>
      </c>
      <c r="G82" s="53"/>
      <c r="H82" s="42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43"/>
      <c r="T82" s="43"/>
      <c r="U82" s="43"/>
      <c r="V82" s="43"/>
      <c r="W82" s="43"/>
      <c r="X82" s="43"/>
      <c r="Y82" s="43"/>
      <c r="Z82" s="43"/>
    </row>
    <row r="83" ht="14.25" customHeight="1">
      <c r="A83" s="53"/>
      <c r="B83" s="54"/>
      <c r="C83" s="54"/>
      <c r="D83" s="55"/>
      <c r="E83" s="58"/>
      <c r="F83" s="57" t="str">
        <f>IF(D82&gt;7,DATA!W199,(IF(D82&gt;5,DATA!W198,(IF(D82&gt;3,DATA!W197,(IF(D82&gt;1,DATA!W196,DATA!W195)))))))</f>
        <v>dangan orang lain tetapi dapat menjadi keras kepala saat memper-</v>
      </c>
      <c r="G83" s="53"/>
      <c r="H83" s="42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43"/>
      <c r="T83" s="43"/>
      <c r="U83" s="43"/>
      <c r="V83" s="43"/>
      <c r="W83" s="43"/>
      <c r="X83" s="43"/>
      <c r="Y83" s="43"/>
      <c r="Z83" s="43"/>
    </row>
    <row r="84" ht="14.25" customHeight="1">
      <c r="A84" s="53"/>
      <c r="B84" s="54"/>
      <c r="C84" s="54"/>
      <c r="D84" s="55"/>
      <c r="E84" s="58"/>
      <c r="F84" s="57" t="str">
        <f>IF(D82&gt;7,DATA!X199,(IF(D82&gt;5,DATA!X198,(IF(D82&gt;3,DATA!X197,(IF(D82&gt;1,DATA!X196,DATA!X195)))))))</f>
        <v>tahankan pandangannya.</v>
      </c>
      <c r="G84" s="53"/>
      <c r="H84" s="42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43"/>
      <c r="T84" s="43"/>
      <c r="U84" s="43"/>
      <c r="V84" s="43"/>
      <c r="W84" s="43"/>
      <c r="X84" s="43"/>
      <c r="Y84" s="43"/>
      <c r="Z84" s="43"/>
    </row>
    <row r="85" ht="14.25" customHeight="1">
      <c r="A85" s="53"/>
      <c r="B85" s="54"/>
      <c r="C85" s="54"/>
      <c r="D85" s="55"/>
      <c r="E85" s="58"/>
      <c r="F85" s="57" t="str">
        <f>IF(D82&gt;7,DATA!Y199,(IF(D82&gt;5,DATA!Y198,(IF(D82&gt;3,DATA!Y197,(IF(D82&gt;1,DATA!Y196,DATA!Y195)))))))</f>
        <v> </v>
      </c>
      <c r="G85" s="53"/>
      <c r="H85" s="42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43"/>
      <c r="T85" s="43"/>
      <c r="U85" s="43"/>
      <c r="V85" s="43"/>
      <c r="W85" s="43"/>
      <c r="X85" s="43"/>
      <c r="Y85" s="43"/>
      <c r="Z85" s="43"/>
    </row>
    <row r="86" ht="14.25" customHeight="1">
      <c r="A86" s="53"/>
      <c r="B86" s="54" t="s">
        <v>130</v>
      </c>
      <c r="C86" s="54" t="s">
        <v>445</v>
      </c>
      <c r="D86" s="55">
        <f>HLOOKUP('URAIAN PAPIKOSTIK'!A1,DATA!$A3:$IV114,106,0)</f>
        <v>3</v>
      </c>
      <c r="E86" s="56" t="s">
        <v>446</v>
      </c>
      <c r="F86" s="57" t="str">
        <f>IF(D86&gt;7,DATA!V204,(IF(D86&gt;5,DATA!V203,(IF(D86&gt;3,DATA!V202,(IF(D86&gt;1,DATA!V201,DATA!V200)))))))</f>
        <v>Enggan berubah, tidak siap untuk beradaptasi, hanya mau menerima</v>
      </c>
      <c r="G86" s="53"/>
      <c r="H86" s="42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43"/>
      <c r="T86" s="43"/>
      <c r="U86" s="43"/>
      <c r="V86" s="43"/>
      <c r="W86" s="43"/>
      <c r="X86" s="43"/>
      <c r="Y86" s="43"/>
      <c r="Z86" s="43"/>
    </row>
    <row r="87" ht="14.25" customHeight="1">
      <c r="A87" s="59" t="s">
        <v>442</v>
      </c>
      <c r="B87" s="54"/>
      <c r="C87" s="54"/>
      <c r="D87" s="55"/>
      <c r="E87" s="60"/>
      <c r="F87" s="53" t="str">
        <f>IF(D86&gt;7,DATA!W204,(IF(D86&gt;5,DATA!W203,(IF(D86&gt;3,DATA!W202,(IF(D86&gt;1,DATA!W201,DATA!W200)))))))</f>
        <v>perubahan jika alasannya jelas dan meyakinkan. </v>
      </c>
      <c r="G87" s="53"/>
      <c r="H87" s="42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43"/>
      <c r="T87" s="43"/>
      <c r="U87" s="43"/>
      <c r="V87" s="43"/>
      <c r="W87" s="43"/>
      <c r="X87" s="43"/>
      <c r="Y87" s="43"/>
      <c r="Z87" s="43"/>
    </row>
    <row r="88" ht="18.0" hidden="1" customHeight="1">
      <c r="A88" s="53"/>
      <c r="B88" s="61"/>
      <c r="C88" s="61"/>
      <c r="D88" s="62"/>
      <c r="E88" s="42"/>
      <c r="F88" s="53" t="str">
        <f>IF(D86&gt;7,DATA!X204,(IF(D86&gt;5,DATA!X203,(IF(D86&gt;3,DATA!X202,(IF(D86&gt;1,DATA!X201,DATA!X200)))))))</f>
        <v> </v>
      </c>
      <c r="G88" s="53"/>
      <c r="H88" s="42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43"/>
      <c r="T88" s="43"/>
      <c r="U88" s="43"/>
      <c r="V88" s="43"/>
      <c r="W88" s="43"/>
      <c r="X88" s="43"/>
      <c r="Y88" s="43"/>
      <c r="Z88" s="43"/>
    </row>
    <row r="89" ht="18.0" hidden="1" customHeight="1">
      <c r="A89" s="53"/>
      <c r="B89" s="61"/>
      <c r="C89" s="61"/>
      <c r="D89" s="62"/>
      <c r="E89" s="42"/>
      <c r="F89" s="53" t="str">
        <f>IF(D86&gt;7,DATA!Y204,(IF(D86&gt;5,DATA!Y203,(IF(D86&gt;3,DATA!Y202,(IF(D86&gt;1,DATA!Y201,DATA!Y200)))))))</f>
        <v> </v>
      </c>
      <c r="G89" s="53"/>
      <c r="H89" s="42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43"/>
      <c r="T89" s="43"/>
      <c r="U89" s="43"/>
      <c r="V89" s="43"/>
      <c r="W89" s="43"/>
      <c r="X89" s="43"/>
      <c r="Y89" s="43"/>
      <c r="Z89" s="43"/>
    </row>
    <row r="90" ht="18.0" hidden="1" customHeight="1">
      <c r="A90" s="53"/>
      <c r="B90" s="61"/>
      <c r="C90" s="61"/>
      <c r="D90" s="61"/>
      <c r="E90" s="42"/>
      <c r="F90" s="42"/>
      <c r="G90" s="42"/>
      <c r="H90" s="42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43"/>
      <c r="T90" s="43"/>
      <c r="U90" s="43"/>
      <c r="V90" s="43"/>
      <c r="W90" s="43"/>
      <c r="X90" s="43"/>
      <c r="Y90" s="43"/>
      <c r="Z90" s="43"/>
    </row>
    <row r="91" ht="19.5" hidden="1" customHeight="1">
      <c r="A91" s="53"/>
      <c r="B91" s="61"/>
      <c r="C91" s="61"/>
      <c r="D91" s="61"/>
      <c r="E91" s="42"/>
      <c r="F91" s="42"/>
      <c r="G91" s="42"/>
      <c r="H91" s="42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43"/>
      <c r="T91" s="43"/>
      <c r="U91" s="43"/>
      <c r="V91" s="43"/>
      <c r="W91" s="43"/>
      <c r="X91" s="43"/>
      <c r="Y91" s="43"/>
      <c r="Z91" s="43"/>
    </row>
    <row r="92" ht="19.5" hidden="1" customHeight="1">
      <c r="A92" s="53"/>
      <c r="B92" s="61"/>
      <c r="C92" s="61"/>
      <c r="D92" s="61"/>
      <c r="E92" s="42"/>
      <c r="F92" s="42"/>
      <c r="G92" s="42"/>
      <c r="H92" s="42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43"/>
      <c r="T92" s="43"/>
      <c r="U92" s="43"/>
      <c r="V92" s="43"/>
      <c r="W92" s="43"/>
      <c r="X92" s="43"/>
      <c r="Y92" s="43"/>
      <c r="Z92" s="43"/>
    </row>
    <row r="93" ht="19.5" hidden="1" customHeight="1">
      <c r="A93" s="53"/>
      <c r="B93" s="61"/>
      <c r="C93" s="61"/>
      <c r="D93" s="61"/>
      <c r="E93" s="42"/>
      <c r="F93" s="42"/>
      <c r="G93" s="42"/>
      <c r="H93" s="42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43"/>
      <c r="T93" s="43"/>
      <c r="U93" s="43"/>
      <c r="V93" s="43"/>
      <c r="W93" s="43"/>
      <c r="X93" s="43"/>
      <c r="Y93" s="43"/>
      <c r="Z93" s="43"/>
    </row>
    <row r="94" ht="19.5" hidden="1" customHeight="1">
      <c r="A94" s="53"/>
      <c r="B94" s="61"/>
      <c r="C94" s="61"/>
      <c r="D94" s="61"/>
      <c r="E94" s="42"/>
      <c r="F94" s="42"/>
      <c r="G94" s="42"/>
      <c r="H94" s="42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43"/>
      <c r="T94" s="43"/>
      <c r="U94" s="43"/>
      <c r="V94" s="43"/>
      <c r="W94" s="43"/>
      <c r="X94" s="43"/>
      <c r="Y94" s="43"/>
      <c r="Z94" s="43"/>
    </row>
    <row r="95" ht="19.5" hidden="1" customHeight="1">
      <c r="A95" s="53"/>
      <c r="B95" s="61"/>
      <c r="C95" s="61"/>
      <c r="D95" s="61"/>
      <c r="E95" s="42"/>
      <c r="F95" s="42"/>
      <c r="G95" s="42"/>
      <c r="H95" s="42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43"/>
      <c r="T95" s="43"/>
      <c r="U95" s="43"/>
      <c r="V95" s="43"/>
      <c r="W95" s="43"/>
      <c r="X95" s="43"/>
      <c r="Y95" s="43"/>
      <c r="Z95" s="43"/>
    </row>
    <row r="96" ht="19.5" hidden="1" customHeight="1">
      <c r="A96" s="53"/>
      <c r="B96" s="61"/>
      <c r="C96" s="61"/>
      <c r="D96" s="61"/>
      <c r="E96" s="42"/>
      <c r="F96" s="42"/>
      <c r="G96" s="42"/>
      <c r="H96" s="42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43"/>
      <c r="T96" s="43"/>
      <c r="U96" s="43"/>
      <c r="V96" s="43"/>
      <c r="W96" s="43"/>
      <c r="X96" s="43"/>
      <c r="Y96" s="43"/>
      <c r="Z96" s="43"/>
    </row>
    <row r="97" ht="19.5" hidden="1" customHeight="1">
      <c r="A97" s="53"/>
      <c r="B97" s="61"/>
      <c r="C97" s="61"/>
      <c r="D97" s="61"/>
      <c r="E97" s="42"/>
      <c r="F97" s="42"/>
      <c r="G97" s="42"/>
      <c r="H97" s="42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43"/>
      <c r="T97" s="43"/>
      <c r="U97" s="43"/>
      <c r="V97" s="43"/>
      <c r="W97" s="43"/>
      <c r="X97" s="43"/>
      <c r="Y97" s="43"/>
      <c r="Z97" s="43"/>
    </row>
    <row r="98" ht="19.5" hidden="1" customHeight="1">
      <c r="A98" s="53"/>
      <c r="B98" s="61"/>
      <c r="C98" s="61"/>
      <c r="D98" s="61"/>
      <c r="E98" s="42"/>
      <c r="F98" s="42"/>
      <c r="G98" s="42"/>
      <c r="H98" s="42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43"/>
      <c r="T98" s="43"/>
      <c r="U98" s="43"/>
      <c r="V98" s="43"/>
      <c r="W98" s="43"/>
      <c r="X98" s="43"/>
      <c r="Y98" s="43"/>
      <c r="Z98" s="43"/>
    </row>
    <row r="99" ht="19.5" hidden="1" customHeight="1">
      <c r="A99" s="53"/>
      <c r="B99" s="61"/>
      <c r="C99" s="61"/>
      <c r="D99" s="61"/>
      <c r="E99" s="42"/>
      <c r="F99" s="42"/>
      <c r="G99" s="42"/>
      <c r="H99" s="42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43"/>
      <c r="T99" s="43"/>
      <c r="U99" s="43"/>
      <c r="V99" s="43"/>
      <c r="W99" s="43"/>
      <c r="X99" s="43"/>
      <c r="Y99" s="43"/>
      <c r="Z99" s="43"/>
    </row>
    <row r="100" ht="19.5" hidden="1" customHeight="1">
      <c r="A100" s="53"/>
      <c r="B100" s="61"/>
      <c r="C100" s="61"/>
      <c r="D100" s="61"/>
      <c r="E100" s="42"/>
      <c r="F100" s="42"/>
      <c r="G100" s="42"/>
      <c r="H100" s="42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43"/>
      <c r="T100" s="43"/>
      <c r="U100" s="43"/>
      <c r="V100" s="43"/>
      <c r="W100" s="43"/>
      <c r="X100" s="43"/>
      <c r="Y100" s="43"/>
      <c r="Z100" s="43"/>
    </row>
    <row r="101" ht="19.5" hidden="1" customHeight="1">
      <c r="A101" s="53"/>
      <c r="B101" s="61"/>
      <c r="C101" s="61"/>
      <c r="D101" s="61"/>
      <c r="E101" s="42"/>
      <c r="F101" s="42"/>
      <c r="G101" s="42"/>
      <c r="H101" s="42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43"/>
      <c r="T101" s="43"/>
      <c r="U101" s="43"/>
      <c r="V101" s="43"/>
      <c r="W101" s="43"/>
      <c r="X101" s="43"/>
      <c r="Y101" s="43"/>
      <c r="Z101" s="43"/>
    </row>
    <row r="102" ht="19.5" hidden="1" customHeight="1">
      <c r="A102" s="53"/>
      <c r="B102" s="61"/>
      <c r="C102" s="61"/>
      <c r="D102" s="61"/>
      <c r="E102" s="42"/>
      <c r="F102" s="42"/>
      <c r="G102" s="42"/>
      <c r="H102" s="42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43"/>
      <c r="T102" s="43"/>
      <c r="U102" s="43"/>
      <c r="V102" s="43"/>
      <c r="W102" s="43"/>
      <c r="X102" s="43"/>
      <c r="Y102" s="43"/>
      <c r="Z102" s="43"/>
    </row>
    <row r="103" ht="19.5" hidden="1" customHeight="1">
      <c r="A103" s="53"/>
      <c r="B103" s="61"/>
      <c r="C103" s="61"/>
      <c r="D103" s="61"/>
      <c r="E103" s="42"/>
      <c r="F103" s="42"/>
      <c r="G103" s="42"/>
      <c r="H103" s="42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43"/>
      <c r="T103" s="43"/>
      <c r="U103" s="43"/>
      <c r="V103" s="43"/>
      <c r="W103" s="43"/>
      <c r="X103" s="43"/>
      <c r="Y103" s="43"/>
      <c r="Z103" s="43"/>
    </row>
    <row r="104" ht="19.5" hidden="1" customHeight="1">
      <c r="A104" s="53"/>
      <c r="B104" s="61"/>
      <c r="C104" s="61"/>
      <c r="D104" s="61"/>
      <c r="E104" s="42"/>
      <c r="F104" s="42"/>
      <c r="G104" s="42"/>
      <c r="H104" s="42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43"/>
      <c r="T104" s="43"/>
      <c r="U104" s="43"/>
      <c r="V104" s="43"/>
      <c r="W104" s="43"/>
      <c r="X104" s="43"/>
      <c r="Y104" s="43"/>
      <c r="Z104" s="43"/>
    </row>
    <row r="105" ht="19.5" hidden="1" customHeight="1">
      <c r="A105" s="53"/>
      <c r="B105" s="61"/>
      <c r="C105" s="61"/>
      <c r="D105" s="61"/>
      <c r="E105" s="42"/>
      <c r="F105" s="42"/>
      <c r="G105" s="42"/>
      <c r="H105" s="42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43"/>
      <c r="T105" s="43"/>
      <c r="U105" s="43"/>
      <c r="V105" s="43"/>
      <c r="W105" s="43"/>
      <c r="X105" s="43"/>
      <c r="Y105" s="43"/>
      <c r="Z105" s="43"/>
    </row>
    <row r="106" ht="19.5" hidden="1" customHeight="1">
      <c r="A106" s="53"/>
      <c r="B106" s="61"/>
      <c r="C106" s="61"/>
      <c r="D106" s="61"/>
      <c r="E106" s="42"/>
      <c r="F106" s="42"/>
      <c r="G106" s="42"/>
      <c r="H106" s="42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43"/>
      <c r="T106" s="43"/>
      <c r="U106" s="43"/>
      <c r="V106" s="43"/>
      <c r="W106" s="43"/>
      <c r="X106" s="43"/>
      <c r="Y106" s="43"/>
      <c r="Z106" s="43"/>
    </row>
    <row r="107" ht="19.5" hidden="1" customHeight="1">
      <c r="A107" s="53"/>
      <c r="B107" s="61"/>
      <c r="C107" s="61"/>
      <c r="D107" s="61"/>
      <c r="E107" s="42"/>
      <c r="F107" s="42"/>
      <c r="G107" s="42"/>
      <c r="H107" s="42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43"/>
      <c r="T107" s="43"/>
      <c r="U107" s="43"/>
      <c r="V107" s="43"/>
      <c r="W107" s="43"/>
      <c r="X107" s="43"/>
      <c r="Y107" s="43"/>
      <c r="Z107" s="43"/>
    </row>
    <row r="108" ht="19.5" hidden="1" customHeight="1">
      <c r="A108" s="53"/>
      <c r="B108" s="61"/>
      <c r="C108" s="61"/>
      <c r="D108" s="61"/>
      <c r="E108" s="42"/>
      <c r="F108" s="42"/>
      <c r="G108" s="42"/>
      <c r="H108" s="42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43"/>
      <c r="T108" s="43"/>
      <c r="U108" s="43"/>
      <c r="V108" s="43"/>
      <c r="W108" s="43"/>
      <c r="X108" s="43"/>
      <c r="Y108" s="43"/>
      <c r="Z108" s="43"/>
    </row>
    <row r="109" ht="19.5" hidden="1" customHeight="1">
      <c r="A109" s="53"/>
      <c r="B109" s="61"/>
      <c r="C109" s="61"/>
      <c r="D109" s="61"/>
      <c r="E109" s="42"/>
      <c r="F109" s="42"/>
      <c r="G109" s="42"/>
      <c r="H109" s="42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43"/>
      <c r="T109" s="43"/>
      <c r="U109" s="43"/>
      <c r="V109" s="43"/>
      <c r="W109" s="43"/>
      <c r="X109" s="43"/>
      <c r="Y109" s="43"/>
      <c r="Z109" s="43"/>
    </row>
    <row r="110" ht="19.5" hidden="1" customHeight="1">
      <c r="A110" s="53"/>
      <c r="B110" s="61"/>
      <c r="C110" s="61"/>
      <c r="D110" s="61"/>
      <c r="E110" s="42"/>
      <c r="F110" s="42"/>
      <c r="G110" s="42"/>
      <c r="H110" s="42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43"/>
      <c r="T110" s="43"/>
      <c r="U110" s="43"/>
      <c r="V110" s="43"/>
      <c r="W110" s="43"/>
      <c r="X110" s="43"/>
      <c r="Y110" s="43"/>
      <c r="Z110" s="43"/>
    </row>
    <row r="111" ht="19.5" hidden="1" customHeight="1">
      <c r="A111" s="53"/>
      <c r="B111" s="61"/>
      <c r="C111" s="61"/>
      <c r="D111" s="61"/>
      <c r="E111" s="42"/>
      <c r="F111" s="42"/>
      <c r="G111" s="42"/>
      <c r="H111" s="42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43"/>
      <c r="T111" s="43"/>
      <c r="U111" s="43"/>
      <c r="V111" s="43"/>
      <c r="W111" s="43"/>
      <c r="X111" s="43"/>
      <c r="Y111" s="43"/>
      <c r="Z111" s="43"/>
    </row>
    <row r="112" ht="19.5" hidden="1" customHeight="1">
      <c r="A112" s="53"/>
      <c r="B112" s="61"/>
      <c r="C112" s="61"/>
      <c r="D112" s="61"/>
      <c r="E112" s="42"/>
      <c r="F112" s="42"/>
      <c r="G112" s="42"/>
      <c r="H112" s="42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43"/>
      <c r="T112" s="43"/>
      <c r="U112" s="43"/>
      <c r="V112" s="43"/>
      <c r="W112" s="43"/>
      <c r="X112" s="43"/>
      <c r="Y112" s="43"/>
      <c r="Z112" s="43"/>
    </row>
    <row r="113" ht="19.5" hidden="1" customHeight="1">
      <c r="A113" s="53"/>
      <c r="B113" s="61"/>
      <c r="C113" s="61"/>
      <c r="D113" s="61"/>
      <c r="E113" s="42"/>
      <c r="F113" s="42"/>
      <c r="G113" s="42"/>
      <c r="H113" s="42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43"/>
      <c r="T113" s="43"/>
      <c r="U113" s="43"/>
      <c r="V113" s="43"/>
      <c r="W113" s="43"/>
      <c r="X113" s="43"/>
      <c r="Y113" s="43"/>
      <c r="Z113" s="43"/>
    </row>
    <row r="114" ht="19.5" hidden="1" customHeight="1">
      <c r="A114" s="53"/>
      <c r="B114" s="61"/>
      <c r="C114" s="61"/>
      <c r="D114" s="61"/>
      <c r="E114" s="42"/>
      <c r="F114" s="42"/>
      <c r="G114" s="42"/>
      <c r="H114" s="42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43"/>
      <c r="T114" s="43"/>
      <c r="U114" s="43"/>
      <c r="V114" s="43"/>
      <c r="W114" s="43"/>
      <c r="X114" s="43"/>
      <c r="Y114" s="43"/>
      <c r="Z114" s="43"/>
    </row>
    <row r="115" ht="19.5" hidden="1" customHeight="1">
      <c r="A115" s="53"/>
      <c r="B115" s="61"/>
      <c r="C115" s="61"/>
      <c r="D115" s="61"/>
      <c r="E115" s="42"/>
      <c r="F115" s="42"/>
      <c r="G115" s="42"/>
      <c r="H115" s="42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43"/>
      <c r="T115" s="43"/>
      <c r="U115" s="43"/>
      <c r="V115" s="43"/>
      <c r="W115" s="43"/>
      <c r="X115" s="43"/>
      <c r="Y115" s="43"/>
      <c r="Z115" s="43"/>
    </row>
    <row r="116" ht="19.5" hidden="1" customHeight="1">
      <c r="A116" s="53"/>
      <c r="B116" s="61"/>
      <c r="C116" s="61"/>
      <c r="D116" s="61"/>
      <c r="E116" s="42"/>
      <c r="F116" s="42"/>
      <c r="G116" s="42"/>
      <c r="H116" s="42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43"/>
      <c r="T116" s="43"/>
      <c r="U116" s="43"/>
      <c r="V116" s="43"/>
      <c r="W116" s="43"/>
      <c r="X116" s="43"/>
      <c r="Y116" s="43"/>
      <c r="Z116" s="43"/>
    </row>
    <row r="117" ht="19.5" hidden="1" customHeight="1">
      <c r="A117" s="53"/>
      <c r="B117" s="61"/>
      <c r="C117" s="61"/>
      <c r="D117" s="61"/>
      <c r="E117" s="42"/>
      <c r="F117" s="42"/>
      <c r="G117" s="42"/>
      <c r="H117" s="42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43"/>
      <c r="T117" s="43"/>
      <c r="U117" s="43"/>
      <c r="V117" s="43"/>
      <c r="W117" s="43"/>
      <c r="X117" s="43"/>
      <c r="Y117" s="43"/>
      <c r="Z117" s="43"/>
    </row>
    <row r="118" ht="19.5" hidden="1" customHeight="1">
      <c r="A118" s="53"/>
      <c r="B118" s="61"/>
      <c r="C118" s="61"/>
      <c r="D118" s="61"/>
      <c r="E118" s="42"/>
      <c r="F118" s="42"/>
      <c r="G118" s="42"/>
      <c r="H118" s="42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43"/>
      <c r="T118" s="43"/>
      <c r="U118" s="43"/>
      <c r="V118" s="43"/>
      <c r="W118" s="43"/>
      <c r="X118" s="43"/>
      <c r="Y118" s="43"/>
      <c r="Z118" s="43"/>
    </row>
    <row r="119" ht="19.5" hidden="1" customHeight="1">
      <c r="A119" s="53"/>
      <c r="B119" s="61"/>
      <c r="C119" s="61"/>
      <c r="D119" s="61"/>
      <c r="E119" s="42"/>
      <c r="F119" s="42"/>
      <c r="G119" s="42"/>
      <c r="H119" s="42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43"/>
      <c r="T119" s="43"/>
      <c r="U119" s="43"/>
      <c r="V119" s="43"/>
      <c r="W119" s="43"/>
      <c r="X119" s="43"/>
      <c r="Y119" s="43"/>
      <c r="Z119" s="43"/>
    </row>
    <row r="120" ht="19.5" hidden="1" customHeight="1">
      <c r="A120" s="53"/>
      <c r="B120" s="61"/>
      <c r="C120" s="61"/>
      <c r="D120" s="61"/>
      <c r="E120" s="42"/>
      <c r="F120" s="42"/>
      <c r="G120" s="42"/>
      <c r="H120" s="42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43"/>
      <c r="T120" s="43"/>
      <c r="U120" s="43"/>
      <c r="V120" s="43"/>
      <c r="W120" s="43"/>
      <c r="X120" s="43"/>
      <c r="Y120" s="43"/>
      <c r="Z120" s="43"/>
    </row>
    <row r="121" ht="19.5" hidden="1" customHeight="1">
      <c r="A121" s="53"/>
      <c r="B121" s="61"/>
      <c r="C121" s="61"/>
      <c r="D121" s="61"/>
      <c r="E121" s="42"/>
      <c r="F121" s="42"/>
      <c r="G121" s="42"/>
      <c r="H121" s="42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43"/>
      <c r="T121" s="43"/>
      <c r="U121" s="43"/>
      <c r="V121" s="43"/>
      <c r="W121" s="43"/>
      <c r="X121" s="43"/>
      <c r="Y121" s="43"/>
      <c r="Z121" s="43"/>
    </row>
    <row r="122" ht="19.5" hidden="1" customHeight="1">
      <c r="A122" s="53"/>
      <c r="B122" s="61"/>
      <c r="C122" s="61"/>
      <c r="D122" s="61"/>
      <c r="E122" s="42"/>
      <c r="F122" s="42"/>
      <c r="G122" s="42"/>
      <c r="H122" s="42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43"/>
      <c r="T122" s="43"/>
      <c r="U122" s="43"/>
      <c r="V122" s="43"/>
      <c r="W122" s="43"/>
      <c r="X122" s="43"/>
      <c r="Y122" s="43"/>
      <c r="Z122" s="43"/>
    </row>
    <row r="123" ht="19.5" hidden="1" customHeight="1">
      <c r="A123" s="53"/>
      <c r="B123" s="53"/>
      <c r="C123" s="53"/>
      <c r="D123" s="53"/>
      <c r="E123" s="42"/>
      <c r="F123" s="42"/>
      <c r="G123" s="42"/>
      <c r="H123" s="42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43"/>
      <c r="T123" s="43"/>
      <c r="U123" s="43"/>
      <c r="V123" s="43"/>
      <c r="W123" s="43"/>
      <c r="X123" s="43"/>
      <c r="Y123" s="43"/>
      <c r="Z123" s="43"/>
    </row>
    <row r="124" ht="19.5" hidden="1" customHeight="1">
      <c r="A124" s="53"/>
      <c r="B124" s="53"/>
      <c r="C124" s="53"/>
      <c r="D124" s="53"/>
      <c r="E124" s="42"/>
      <c r="F124" s="42"/>
      <c r="G124" s="42"/>
      <c r="H124" s="42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43"/>
      <c r="T124" s="43"/>
      <c r="U124" s="43"/>
      <c r="V124" s="43"/>
      <c r="W124" s="43"/>
      <c r="X124" s="43"/>
      <c r="Y124" s="43"/>
      <c r="Z124" s="43"/>
    </row>
    <row r="125" ht="19.5" hidden="1" customHeight="1">
      <c r="A125" s="53"/>
      <c r="B125" s="53"/>
      <c r="C125" s="53"/>
      <c r="D125" s="53"/>
      <c r="E125" s="42"/>
      <c r="F125" s="42"/>
      <c r="G125" s="42"/>
      <c r="H125" s="42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43"/>
      <c r="T125" s="43"/>
      <c r="U125" s="43"/>
      <c r="V125" s="43"/>
      <c r="W125" s="43"/>
      <c r="X125" s="43"/>
      <c r="Y125" s="43"/>
      <c r="Z125" s="43"/>
    </row>
    <row r="126" ht="19.5" hidden="1" customHeight="1">
      <c r="A126" s="53"/>
      <c r="B126" s="53"/>
      <c r="C126" s="53"/>
      <c r="D126" s="53"/>
      <c r="E126" s="42"/>
      <c r="F126" s="42"/>
      <c r="G126" s="42"/>
      <c r="H126" s="42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43"/>
      <c r="T126" s="43"/>
      <c r="U126" s="43"/>
      <c r="V126" s="43"/>
      <c r="W126" s="43"/>
      <c r="X126" s="43"/>
      <c r="Y126" s="43"/>
      <c r="Z126" s="43"/>
    </row>
    <row r="127" ht="19.5" hidden="1" customHeight="1">
      <c r="A127" s="53"/>
      <c r="B127" s="53"/>
      <c r="C127" s="53"/>
      <c r="D127" s="53"/>
      <c r="E127" s="42"/>
      <c r="F127" s="42"/>
      <c r="G127" s="42"/>
      <c r="H127" s="42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43"/>
      <c r="T127" s="43"/>
      <c r="U127" s="43"/>
      <c r="V127" s="43"/>
      <c r="W127" s="43"/>
      <c r="X127" s="43"/>
      <c r="Y127" s="43"/>
      <c r="Z127" s="43"/>
    </row>
    <row r="128" ht="19.5" hidden="1" customHeight="1">
      <c r="A128" s="53"/>
      <c r="B128" s="53"/>
      <c r="C128" s="53"/>
      <c r="D128" s="53"/>
      <c r="E128" s="42"/>
      <c r="F128" s="42"/>
      <c r="G128" s="42"/>
      <c r="H128" s="42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43"/>
      <c r="T128" s="43"/>
      <c r="U128" s="43"/>
      <c r="V128" s="43"/>
      <c r="W128" s="43"/>
      <c r="X128" s="43"/>
      <c r="Y128" s="43"/>
      <c r="Z128" s="43"/>
    </row>
    <row r="129" ht="19.5" hidden="1" customHeight="1">
      <c r="A129" s="53"/>
      <c r="B129" s="53"/>
      <c r="C129" s="53"/>
      <c r="D129" s="53"/>
      <c r="E129" s="42"/>
      <c r="F129" s="42"/>
      <c r="G129" s="42"/>
      <c r="H129" s="42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43"/>
      <c r="T129" s="43"/>
      <c r="U129" s="43"/>
      <c r="V129" s="43"/>
      <c r="W129" s="43"/>
      <c r="X129" s="43"/>
      <c r="Y129" s="43"/>
      <c r="Z129" s="43"/>
    </row>
    <row r="130" ht="19.5" hidden="1" customHeight="1">
      <c r="A130" s="53"/>
      <c r="B130" s="53"/>
      <c r="C130" s="53"/>
      <c r="D130" s="53"/>
      <c r="E130" s="42"/>
      <c r="F130" s="42"/>
      <c r="G130" s="42"/>
      <c r="H130" s="42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43"/>
      <c r="T130" s="43"/>
      <c r="U130" s="43"/>
      <c r="V130" s="43"/>
      <c r="W130" s="43"/>
      <c r="X130" s="43"/>
      <c r="Y130" s="43"/>
      <c r="Z130" s="43"/>
    </row>
    <row r="131" ht="19.5" hidden="1" customHeight="1">
      <c r="A131" s="53"/>
      <c r="B131" s="53"/>
      <c r="C131" s="53"/>
      <c r="D131" s="53"/>
      <c r="E131" s="42"/>
      <c r="F131" s="42"/>
      <c r="G131" s="42"/>
      <c r="H131" s="42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43"/>
      <c r="T131" s="43"/>
      <c r="U131" s="43"/>
      <c r="V131" s="43"/>
      <c r="W131" s="43"/>
      <c r="X131" s="43"/>
      <c r="Y131" s="43"/>
      <c r="Z131" s="43"/>
    </row>
    <row r="132" ht="19.5" hidden="1" customHeight="1">
      <c r="A132" s="53"/>
      <c r="B132" s="53"/>
      <c r="C132" s="53"/>
      <c r="D132" s="53"/>
      <c r="E132" s="42"/>
      <c r="F132" s="42"/>
      <c r="G132" s="42"/>
      <c r="H132" s="42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43"/>
      <c r="T132" s="43"/>
      <c r="U132" s="43"/>
      <c r="V132" s="43"/>
      <c r="W132" s="43"/>
      <c r="X132" s="43"/>
      <c r="Y132" s="43"/>
      <c r="Z132" s="43"/>
    </row>
    <row r="133" ht="19.5" hidden="1" customHeight="1">
      <c r="A133" s="53"/>
      <c r="B133" s="53"/>
      <c r="C133" s="53"/>
      <c r="D133" s="53"/>
      <c r="E133" s="42"/>
      <c r="F133" s="42"/>
      <c r="G133" s="42"/>
      <c r="H133" s="42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43"/>
      <c r="T133" s="43"/>
      <c r="U133" s="43"/>
      <c r="V133" s="43"/>
      <c r="W133" s="43"/>
      <c r="X133" s="43"/>
      <c r="Y133" s="43"/>
      <c r="Z133" s="43"/>
    </row>
    <row r="134" ht="19.5" hidden="1" customHeight="1">
      <c r="A134" s="53"/>
      <c r="B134" s="53"/>
      <c r="C134" s="53"/>
      <c r="D134" s="53"/>
      <c r="E134" s="42"/>
      <c r="F134" s="42"/>
      <c r="G134" s="42"/>
      <c r="H134" s="42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43"/>
      <c r="T134" s="43"/>
      <c r="U134" s="43"/>
      <c r="V134" s="43"/>
      <c r="W134" s="43"/>
      <c r="X134" s="43"/>
      <c r="Y134" s="43"/>
      <c r="Z134" s="43"/>
    </row>
    <row r="135" ht="19.5" hidden="1" customHeight="1">
      <c r="A135" s="53"/>
      <c r="B135" s="53"/>
      <c r="C135" s="53"/>
      <c r="D135" s="53"/>
      <c r="E135" s="42"/>
      <c r="F135" s="42"/>
      <c r="G135" s="42"/>
      <c r="H135" s="42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43"/>
      <c r="T135" s="43"/>
      <c r="U135" s="43"/>
      <c r="V135" s="43"/>
      <c r="W135" s="43"/>
      <c r="X135" s="43"/>
      <c r="Y135" s="43"/>
      <c r="Z135" s="43"/>
    </row>
    <row r="136" ht="19.5" hidden="1" customHeight="1">
      <c r="A136" s="53"/>
      <c r="B136" s="53"/>
      <c r="C136" s="53"/>
      <c r="D136" s="53"/>
      <c r="E136" s="42"/>
      <c r="F136" s="42"/>
      <c r="G136" s="42"/>
      <c r="H136" s="42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43"/>
      <c r="T136" s="43"/>
      <c r="U136" s="43"/>
      <c r="V136" s="43"/>
      <c r="W136" s="43"/>
      <c r="X136" s="43"/>
      <c r="Y136" s="43"/>
      <c r="Z136" s="43"/>
    </row>
    <row r="137" ht="19.5" hidden="1" customHeight="1">
      <c r="A137" s="53"/>
      <c r="B137" s="53"/>
      <c r="C137" s="53"/>
      <c r="D137" s="53"/>
      <c r="E137" s="42"/>
      <c r="F137" s="42"/>
      <c r="G137" s="42"/>
      <c r="H137" s="42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43"/>
      <c r="T137" s="43"/>
      <c r="U137" s="43"/>
      <c r="V137" s="43"/>
      <c r="W137" s="43"/>
      <c r="X137" s="43"/>
      <c r="Y137" s="43"/>
      <c r="Z137" s="43"/>
    </row>
    <row r="138" ht="19.5" hidden="1" customHeight="1">
      <c r="A138" s="53"/>
      <c r="B138" s="53"/>
      <c r="C138" s="53"/>
      <c r="D138" s="53"/>
      <c r="E138" s="42"/>
      <c r="F138" s="42"/>
      <c r="G138" s="42"/>
      <c r="H138" s="42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43"/>
      <c r="T138" s="43"/>
      <c r="U138" s="43"/>
      <c r="V138" s="43"/>
      <c r="W138" s="43"/>
      <c r="X138" s="43"/>
      <c r="Y138" s="43"/>
      <c r="Z138" s="43"/>
    </row>
    <row r="139" ht="19.5" hidden="1" customHeight="1">
      <c r="A139" s="53"/>
      <c r="B139" s="53"/>
      <c r="C139" s="53"/>
      <c r="D139" s="53"/>
      <c r="E139" s="42"/>
      <c r="F139" s="42"/>
      <c r="G139" s="42"/>
      <c r="H139" s="42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43"/>
      <c r="T139" s="43"/>
      <c r="U139" s="43"/>
      <c r="V139" s="43"/>
      <c r="W139" s="43"/>
      <c r="X139" s="43"/>
      <c r="Y139" s="43"/>
      <c r="Z139" s="43"/>
    </row>
    <row r="140" ht="19.5" hidden="1" customHeight="1">
      <c r="A140" s="53"/>
      <c r="B140" s="53"/>
      <c r="C140" s="53"/>
      <c r="D140" s="53"/>
      <c r="E140" s="42"/>
      <c r="F140" s="42"/>
      <c r="G140" s="42"/>
      <c r="H140" s="42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43"/>
      <c r="T140" s="43"/>
      <c r="U140" s="43"/>
      <c r="V140" s="43"/>
      <c r="W140" s="43"/>
      <c r="X140" s="43"/>
      <c r="Y140" s="43"/>
      <c r="Z140" s="43"/>
    </row>
    <row r="141" ht="19.5" hidden="1" customHeight="1">
      <c r="A141" s="53"/>
      <c r="B141" s="53"/>
      <c r="C141" s="53"/>
      <c r="D141" s="53"/>
      <c r="E141" s="42"/>
      <c r="F141" s="42"/>
      <c r="G141" s="42"/>
      <c r="H141" s="42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43"/>
      <c r="T141" s="43"/>
      <c r="U141" s="43"/>
      <c r="V141" s="43"/>
      <c r="W141" s="43"/>
      <c r="X141" s="43"/>
      <c r="Y141" s="43"/>
      <c r="Z141" s="43"/>
    </row>
    <row r="142" ht="19.5" hidden="1" customHeight="1">
      <c r="A142" s="53"/>
      <c r="B142" s="53"/>
      <c r="C142" s="53"/>
      <c r="D142" s="53"/>
      <c r="E142" s="42"/>
      <c r="F142" s="42"/>
      <c r="G142" s="42"/>
      <c r="H142" s="42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43"/>
      <c r="T142" s="43"/>
      <c r="U142" s="43"/>
      <c r="V142" s="43"/>
      <c r="W142" s="43"/>
      <c r="X142" s="43"/>
      <c r="Y142" s="43"/>
      <c r="Z142" s="43"/>
    </row>
    <row r="143" ht="19.5" hidden="1" customHeight="1">
      <c r="A143" s="53"/>
      <c r="B143" s="53"/>
      <c r="C143" s="53"/>
      <c r="D143" s="53"/>
      <c r="E143" s="42"/>
      <c r="F143" s="42"/>
      <c r="G143" s="42"/>
      <c r="H143" s="42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43"/>
      <c r="T143" s="43"/>
      <c r="U143" s="43"/>
      <c r="V143" s="43"/>
      <c r="W143" s="43"/>
      <c r="X143" s="43"/>
      <c r="Y143" s="43"/>
      <c r="Z143" s="43"/>
    </row>
    <row r="144" ht="19.5" hidden="1" customHeight="1">
      <c r="A144" s="53"/>
      <c r="B144" s="53"/>
      <c r="C144" s="53"/>
      <c r="D144" s="53"/>
      <c r="E144" s="42"/>
      <c r="F144" s="42"/>
      <c r="G144" s="42"/>
      <c r="H144" s="42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43"/>
      <c r="T144" s="43"/>
      <c r="U144" s="43"/>
      <c r="V144" s="43"/>
      <c r="W144" s="43"/>
      <c r="X144" s="43"/>
      <c r="Y144" s="43"/>
      <c r="Z144" s="43"/>
    </row>
    <row r="145" ht="19.5" hidden="1" customHeight="1">
      <c r="A145" s="53"/>
      <c r="B145" s="53"/>
      <c r="C145" s="53"/>
      <c r="D145" s="53"/>
      <c r="E145" s="42"/>
      <c r="F145" s="42"/>
      <c r="G145" s="42"/>
      <c r="H145" s="42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43"/>
      <c r="T145" s="43"/>
      <c r="U145" s="43"/>
      <c r="V145" s="43"/>
      <c r="W145" s="43"/>
      <c r="X145" s="43"/>
      <c r="Y145" s="43"/>
      <c r="Z145" s="43"/>
    </row>
    <row r="146" ht="19.5" hidden="1" customHeight="1">
      <c r="A146" s="53"/>
      <c r="B146" s="53"/>
      <c r="C146" s="53"/>
      <c r="D146" s="53"/>
      <c r="E146" s="42"/>
      <c r="F146" s="42"/>
      <c r="G146" s="42"/>
      <c r="H146" s="42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43"/>
      <c r="T146" s="43"/>
      <c r="U146" s="43"/>
      <c r="V146" s="43"/>
      <c r="W146" s="43"/>
      <c r="X146" s="43"/>
      <c r="Y146" s="43"/>
      <c r="Z146" s="43"/>
    </row>
    <row r="147" ht="19.5" hidden="1" customHeight="1">
      <c r="A147" s="53"/>
      <c r="B147" s="53"/>
      <c r="C147" s="53"/>
      <c r="D147" s="53"/>
      <c r="E147" s="42"/>
      <c r="F147" s="42"/>
      <c r="G147" s="42"/>
      <c r="H147" s="42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43"/>
      <c r="T147" s="43"/>
      <c r="U147" s="43"/>
      <c r="V147" s="43"/>
      <c r="W147" s="43"/>
      <c r="X147" s="43"/>
      <c r="Y147" s="43"/>
      <c r="Z147" s="43"/>
    </row>
    <row r="148" ht="19.5" hidden="1" customHeight="1">
      <c r="A148" s="53"/>
      <c r="B148" s="53"/>
      <c r="C148" s="53"/>
      <c r="D148" s="53"/>
      <c r="E148" s="42"/>
      <c r="F148" s="42"/>
      <c r="G148" s="42"/>
      <c r="H148" s="42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43"/>
      <c r="T148" s="43"/>
      <c r="U148" s="43"/>
      <c r="V148" s="43"/>
      <c r="W148" s="43"/>
      <c r="X148" s="43"/>
      <c r="Y148" s="43"/>
      <c r="Z148" s="43"/>
    </row>
    <row r="149" ht="19.5" hidden="1" customHeight="1">
      <c r="A149" s="53"/>
      <c r="B149" s="53"/>
      <c r="C149" s="53"/>
      <c r="D149" s="53"/>
      <c r="E149" s="42"/>
      <c r="F149" s="42"/>
      <c r="G149" s="42"/>
      <c r="H149" s="42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43"/>
      <c r="T149" s="43"/>
      <c r="U149" s="43"/>
      <c r="V149" s="43"/>
      <c r="W149" s="43"/>
      <c r="X149" s="43"/>
      <c r="Y149" s="43"/>
      <c r="Z149" s="43"/>
    </row>
    <row r="150" ht="19.5" hidden="1" customHeight="1">
      <c r="A150" s="53"/>
      <c r="B150" s="53"/>
      <c r="C150" s="53"/>
      <c r="D150" s="53"/>
      <c r="E150" s="42"/>
      <c r="F150" s="42"/>
      <c r="G150" s="42"/>
      <c r="H150" s="42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43"/>
      <c r="T150" s="43"/>
      <c r="U150" s="43"/>
      <c r="V150" s="43"/>
      <c r="W150" s="43"/>
      <c r="X150" s="43"/>
      <c r="Y150" s="43"/>
      <c r="Z150" s="43"/>
    </row>
    <row r="151" ht="19.5" hidden="1" customHeight="1">
      <c r="A151" s="53"/>
      <c r="B151" s="53"/>
      <c r="C151" s="53"/>
      <c r="D151" s="53"/>
      <c r="E151" s="42"/>
      <c r="F151" s="42"/>
      <c r="G151" s="42"/>
      <c r="H151" s="42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43"/>
      <c r="T151" s="43"/>
      <c r="U151" s="43"/>
      <c r="V151" s="43"/>
      <c r="W151" s="43"/>
      <c r="X151" s="43"/>
      <c r="Y151" s="43"/>
      <c r="Z151" s="43"/>
    </row>
    <row r="152" ht="19.5" hidden="1" customHeight="1">
      <c r="A152" s="53"/>
      <c r="B152" s="53"/>
      <c r="C152" s="53"/>
      <c r="D152" s="53"/>
      <c r="E152" s="42"/>
      <c r="F152" s="42"/>
      <c r="G152" s="42"/>
      <c r="H152" s="42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43"/>
      <c r="T152" s="43"/>
      <c r="U152" s="43"/>
      <c r="V152" s="43"/>
      <c r="W152" s="43"/>
      <c r="X152" s="43"/>
      <c r="Y152" s="43"/>
      <c r="Z152" s="43"/>
    </row>
    <row r="153" ht="19.5" hidden="1" customHeight="1">
      <c r="A153" s="53"/>
      <c r="B153" s="53"/>
      <c r="C153" s="53"/>
      <c r="D153" s="53"/>
      <c r="E153" s="42"/>
      <c r="F153" s="42"/>
      <c r="G153" s="42"/>
      <c r="H153" s="42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43"/>
      <c r="T153" s="43"/>
      <c r="U153" s="43"/>
      <c r="V153" s="43"/>
      <c r="W153" s="43"/>
      <c r="X153" s="43"/>
      <c r="Y153" s="43"/>
      <c r="Z153" s="43"/>
    </row>
    <row r="154" ht="19.5" hidden="1" customHeight="1">
      <c r="A154" s="53"/>
      <c r="B154" s="53"/>
      <c r="C154" s="53"/>
      <c r="D154" s="53"/>
      <c r="E154" s="42"/>
      <c r="F154" s="42"/>
      <c r="G154" s="42"/>
      <c r="H154" s="42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43"/>
      <c r="T154" s="43"/>
      <c r="U154" s="43"/>
      <c r="V154" s="43"/>
      <c r="W154" s="43"/>
      <c r="X154" s="43"/>
      <c r="Y154" s="43"/>
      <c r="Z154" s="43"/>
    </row>
    <row r="155" ht="19.5" hidden="1" customHeight="1">
      <c r="A155" s="53"/>
      <c r="B155" s="53"/>
      <c r="C155" s="53"/>
      <c r="D155" s="53"/>
      <c r="E155" s="42"/>
      <c r="F155" s="42"/>
      <c r="G155" s="42"/>
      <c r="H155" s="42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43"/>
      <c r="T155" s="43"/>
      <c r="U155" s="43"/>
      <c r="V155" s="43"/>
      <c r="W155" s="43"/>
      <c r="X155" s="43"/>
      <c r="Y155" s="43"/>
      <c r="Z155" s="43"/>
    </row>
    <row r="156" ht="19.5" hidden="1" customHeight="1">
      <c r="A156" s="53"/>
      <c r="B156" s="53"/>
      <c r="C156" s="53"/>
      <c r="D156" s="53"/>
      <c r="E156" s="42"/>
      <c r="F156" s="42"/>
      <c r="G156" s="42"/>
      <c r="H156" s="42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43"/>
      <c r="T156" s="43"/>
      <c r="U156" s="43"/>
      <c r="V156" s="43"/>
      <c r="W156" s="43"/>
      <c r="X156" s="43"/>
      <c r="Y156" s="43"/>
      <c r="Z156" s="43"/>
    </row>
    <row r="157" ht="19.5" hidden="1" customHeight="1">
      <c r="A157" s="53"/>
      <c r="B157" s="53"/>
      <c r="C157" s="53"/>
      <c r="D157" s="53"/>
      <c r="E157" s="42"/>
      <c r="F157" s="42"/>
      <c r="G157" s="42"/>
      <c r="H157" s="42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43"/>
      <c r="T157" s="43"/>
      <c r="U157" s="43"/>
      <c r="V157" s="43"/>
      <c r="W157" s="43"/>
      <c r="X157" s="43"/>
      <c r="Y157" s="43"/>
      <c r="Z157" s="43"/>
    </row>
    <row r="158" ht="19.5" hidden="1" customHeight="1">
      <c r="A158" s="53"/>
      <c r="B158" s="53"/>
      <c r="C158" s="53"/>
      <c r="D158" s="53"/>
      <c r="E158" s="42"/>
      <c r="F158" s="42"/>
      <c r="G158" s="42"/>
      <c r="H158" s="42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43"/>
      <c r="T158" s="43"/>
      <c r="U158" s="43"/>
      <c r="V158" s="43"/>
      <c r="W158" s="43"/>
      <c r="X158" s="43"/>
      <c r="Y158" s="43"/>
      <c r="Z158" s="43"/>
    </row>
    <row r="159" ht="19.5" hidden="1" customHeight="1">
      <c r="A159" s="53"/>
      <c r="B159" s="53"/>
      <c r="C159" s="53"/>
      <c r="D159" s="53"/>
      <c r="E159" s="42"/>
      <c r="F159" s="42"/>
      <c r="G159" s="42"/>
      <c r="H159" s="42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43"/>
      <c r="T159" s="43"/>
      <c r="U159" s="43"/>
      <c r="V159" s="43"/>
      <c r="W159" s="43"/>
      <c r="X159" s="43"/>
      <c r="Y159" s="43"/>
      <c r="Z159" s="43"/>
    </row>
    <row r="160" ht="19.5" hidden="1" customHeight="1">
      <c r="A160" s="53"/>
      <c r="B160" s="53"/>
      <c r="C160" s="53"/>
      <c r="D160" s="53"/>
      <c r="E160" s="42"/>
      <c r="F160" s="42"/>
      <c r="G160" s="42"/>
      <c r="H160" s="42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43"/>
      <c r="T160" s="43"/>
      <c r="U160" s="43"/>
      <c r="V160" s="43"/>
      <c r="W160" s="43"/>
      <c r="X160" s="43"/>
      <c r="Y160" s="43"/>
      <c r="Z160" s="43"/>
    </row>
    <row r="161" ht="19.5" hidden="1" customHeight="1">
      <c r="A161" s="53"/>
      <c r="B161" s="53"/>
      <c r="C161" s="53"/>
      <c r="D161" s="53"/>
      <c r="E161" s="42"/>
      <c r="F161" s="42"/>
      <c r="G161" s="42"/>
      <c r="H161" s="42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43"/>
      <c r="T161" s="43"/>
      <c r="U161" s="43"/>
      <c r="V161" s="43"/>
      <c r="W161" s="43"/>
      <c r="X161" s="43"/>
      <c r="Y161" s="43"/>
      <c r="Z161" s="43"/>
    </row>
    <row r="162" ht="19.5" hidden="1" customHeight="1">
      <c r="A162" s="53"/>
      <c r="B162" s="53"/>
      <c r="C162" s="53"/>
      <c r="D162" s="53"/>
      <c r="E162" s="42"/>
      <c r="F162" s="42"/>
      <c r="G162" s="42"/>
      <c r="H162" s="42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43"/>
      <c r="T162" s="43"/>
      <c r="U162" s="43"/>
      <c r="V162" s="43"/>
      <c r="W162" s="43"/>
      <c r="X162" s="43"/>
      <c r="Y162" s="43"/>
      <c r="Z162" s="43"/>
    </row>
    <row r="163" ht="19.5" hidden="1" customHeight="1">
      <c r="A163" s="53"/>
      <c r="B163" s="53"/>
      <c r="C163" s="53"/>
      <c r="D163" s="53"/>
      <c r="E163" s="42"/>
      <c r="F163" s="42"/>
      <c r="G163" s="42"/>
      <c r="H163" s="42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43"/>
      <c r="T163" s="43"/>
      <c r="U163" s="43"/>
      <c r="V163" s="43"/>
      <c r="W163" s="43"/>
      <c r="X163" s="43"/>
      <c r="Y163" s="43"/>
      <c r="Z163" s="43"/>
    </row>
    <row r="164" ht="19.5" hidden="1" customHeight="1">
      <c r="A164" s="53"/>
      <c r="B164" s="53"/>
      <c r="C164" s="53"/>
      <c r="D164" s="53"/>
      <c r="E164" s="42"/>
      <c r="F164" s="42"/>
      <c r="G164" s="42"/>
      <c r="H164" s="42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43"/>
      <c r="T164" s="43"/>
      <c r="U164" s="43"/>
      <c r="V164" s="43"/>
      <c r="W164" s="43"/>
      <c r="X164" s="43"/>
      <c r="Y164" s="43"/>
      <c r="Z164" s="43"/>
    </row>
    <row r="165" ht="19.5" hidden="1" customHeight="1">
      <c r="A165" s="53"/>
      <c r="B165" s="53"/>
      <c r="C165" s="53"/>
      <c r="D165" s="53"/>
      <c r="E165" s="42"/>
      <c r="F165" s="42"/>
      <c r="G165" s="42"/>
      <c r="H165" s="42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43"/>
      <c r="T165" s="43"/>
      <c r="U165" s="43"/>
      <c r="V165" s="43"/>
      <c r="W165" s="43"/>
      <c r="X165" s="43"/>
      <c r="Y165" s="43"/>
      <c r="Z165" s="43"/>
    </row>
    <row r="166" ht="19.5" hidden="1" customHeight="1">
      <c r="A166" s="53"/>
      <c r="B166" s="53"/>
      <c r="C166" s="53"/>
      <c r="D166" s="53"/>
      <c r="E166" s="42"/>
      <c r="F166" s="42"/>
      <c r="G166" s="42"/>
      <c r="H166" s="42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43"/>
      <c r="T166" s="43"/>
      <c r="U166" s="43"/>
      <c r="V166" s="43"/>
      <c r="W166" s="43"/>
      <c r="X166" s="43"/>
      <c r="Y166" s="43"/>
      <c r="Z166" s="43"/>
    </row>
    <row r="167" ht="19.5" hidden="1" customHeight="1">
      <c r="A167" s="53"/>
      <c r="B167" s="53"/>
      <c r="C167" s="53"/>
      <c r="D167" s="53"/>
      <c r="E167" s="42"/>
      <c r="F167" s="42"/>
      <c r="G167" s="42"/>
      <c r="H167" s="42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43"/>
      <c r="T167" s="43"/>
      <c r="U167" s="43"/>
      <c r="V167" s="43"/>
      <c r="W167" s="43"/>
      <c r="X167" s="43"/>
      <c r="Y167" s="43"/>
      <c r="Z167" s="43"/>
    </row>
    <row r="168" ht="19.5" hidden="1" customHeight="1">
      <c r="A168" s="53"/>
      <c r="B168" s="53"/>
      <c r="C168" s="53"/>
      <c r="D168" s="53"/>
      <c r="E168" s="42"/>
      <c r="F168" s="42"/>
      <c r="G168" s="42"/>
      <c r="H168" s="42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43"/>
      <c r="T168" s="43"/>
      <c r="U168" s="43"/>
      <c r="V168" s="43"/>
      <c r="W168" s="43"/>
      <c r="X168" s="43"/>
      <c r="Y168" s="43"/>
      <c r="Z168" s="43"/>
    </row>
    <row r="169" ht="19.5" hidden="1" customHeight="1">
      <c r="A169" s="53"/>
      <c r="B169" s="53"/>
      <c r="C169" s="53"/>
      <c r="D169" s="53"/>
      <c r="E169" s="42"/>
      <c r="F169" s="42"/>
      <c r="G169" s="42"/>
      <c r="H169" s="42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43"/>
      <c r="T169" s="43"/>
      <c r="U169" s="43"/>
      <c r="V169" s="43"/>
      <c r="W169" s="43"/>
      <c r="X169" s="43"/>
      <c r="Y169" s="43"/>
      <c r="Z169" s="43"/>
    </row>
    <row r="170" ht="19.5" hidden="1" customHeight="1">
      <c r="A170" s="53"/>
      <c r="B170" s="53"/>
      <c r="C170" s="53"/>
      <c r="D170" s="53"/>
      <c r="E170" s="42"/>
      <c r="F170" s="42"/>
      <c r="G170" s="42"/>
      <c r="H170" s="42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43"/>
      <c r="T170" s="43"/>
      <c r="U170" s="43"/>
      <c r="V170" s="43"/>
      <c r="W170" s="43"/>
      <c r="X170" s="43"/>
      <c r="Y170" s="43"/>
      <c r="Z170" s="43"/>
    </row>
    <row r="171" ht="19.5" hidden="1" customHeight="1">
      <c r="A171" s="53"/>
      <c r="B171" s="53"/>
      <c r="C171" s="53"/>
      <c r="D171" s="53"/>
      <c r="E171" s="42"/>
      <c r="F171" s="42"/>
      <c r="G171" s="42"/>
      <c r="H171" s="42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43"/>
      <c r="T171" s="43"/>
      <c r="U171" s="43"/>
      <c r="V171" s="43"/>
      <c r="W171" s="43"/>
      <c r="X171" s="43"/>
      <c r="Y171" s="43"/>
      <c r="Z171" s="43"/>
    </row>
    <row r="172" ht="19.5" hidden="1" customHeight="1">
      <c r="A172" s="53"/>
      <c r="B172" s="53"/>
      <c r="C172" s="53"/>
      <c r="D172" s="53"/>
      <c r="E172" s="42"/>
      <c r="F172" s="42"/>
      <c r="G172" s="42"/>
      <c r="H172" s="42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43"/>
      <c r="T172" s="43"/>
      <c r="U172" s="43"/>
      <c r="V172" s="43"/>
      <c r="W172" s="43"/>
      <c r="X172" s="43"/>
      <c r="Y172" s="43"/>
      <c r="Z172" s="43"/>
    </row>
    <row r="173" ht="19.5" hidden="1" customHeight="1">
      <c r="A173" s="53"/>
      <c r="B173" s="53"/>
      <c r="C173" s="53"/>
      <c r="D173" s="53"/>
      <c r="E173" s="42"/>
      <c r="F173" s="42"/>
      <c r="G173" s="42"/>
      <c r="H173" s="42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43"/>
      <c r="T173" s="43"/>
      <c r="U173" s="43"/>
      <c r="V173" s="43"/>
      <c r="W173" s="43"/>
      <c r="X173" s="43"/>
      <c r="Y173" s="43"/>
      <c r="Z173" s="43"/>
    </row>
    <row r="174" ht="19.5" hidden="1" customHeight="1">
      <c r="A174" s="53"/>
      <c r="B174" s="53"/>
      <c r="C174" s="53"/>
      <c r="D174" s="53"/>
      <c r="E174" s="42"/>
      <c r="F174" s="42"/>
      <c r="G174" s="42"/>
      <c r="H174" s="42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43"/>
      <c r="T174" s="43"/>
      <c r="U174" s="43"/>
      <c r="V174" s="43"/>
      <c r="W174" s="43"/>
      <c r="X174" s="43"/>
      <c r="Y174" s="43"/>
      <c r="Z174" s="43"/>
    </row>
    <row r="175" ht="19.5" hidden="1" customHeight="1">
      <c r="A175" s="53"/>
      <c r="B175" s="53"/>
      <c r="C175" s="53"/>
      <c r="D175" s="53"/>
      <c r="E175" s="42"/>
      <c r="F175" s="42"/>
      <c r="G175" s="42"/>
      <c r="H175" s="42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43"/>
      <c r="T175" s="43"/>
      <c r="U175" s="43"/>
      <c r="V175" s="43"/>
      <c r="W175" s="43"/>
      <c r="X175" s="43"/>
      <c r="Y175" s="43"/>
      <c r="Z175" s="43"/>
    </row>
    <row r="176" ht="19.5" hidden="1" customHeight="1">
      <c r="A176" s="53"/>
      <c r="B176" s="53"/>
      <c r="C176" s="53"/>
      <c r="D176" s="53"/>
      <c r="E176" s="42"/>
      <c r="F176" s="42"/>
      <c r="G176" s="42"/>
      <c r="H176" s="42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43"/>
      <c r="T176" s="43"/>
      <c r="U176" s="43"/>
      <c r="V176" s="43"/>
      <c r="W176" s="43"/>
      <c r="X176" s="43"/>
      <c r="Y176" s="43"/>
      <c r="Z176" s="43"/>
    </row>
    <row r="177" ht="19.5" hidden="1" customHeight="1">
      <c r="A177" s="53"/>
      <c r="B177" s="53"/>
      <c r="C177" s="53"/>
      <c r="D177" s="53"/>
      <c r="E177" s="42"/>
      <c r="F177" s="42"/>
      <c r="G177" s="42"/>
      <c r="H177" s="42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43"/>
      <c r="T177" s="43"/>
      <c r="U177" s="43"/>
      <c r="V177" s="43"/>
      <c r="W177" s="43"/>
      <c r="X177" s="43"/>
      <c r="Y177" s="43"/>
      <c r="Z177" s="43"/>
    </row>
    <row r="178" ht="15.75" customHeight="1">
      <c r="A178" s="53"/>
      <c r="B178" s="53"/>
      <c r="C178" s="53"/>
      <c r="D178" s="53"/>
      <c r="E178" s="42"/>
      <c r="F178" s="42"/>
      <c r="G178" s="42"/>
      <c r="H178" s="42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43"/>
      <c r="T178" s="43"/>
      <c r="U178" s="43"/>
      <c r="V178" s="43"/>
      <c r="W178" s="43"/>
      <c r="X178" s="43"/>
      <c r="Y178" s="43"/>
      <c r="Z178" s="43"/>
    </row>
    <row r="179" ht="15.75" customHeight="1">
      <c r="A179" s="53"/>
      <c r="B179" s="53"/>
      <c r="C179" s="53"/>
      <c r="D179" s="53"/>
      <c r="E179" s="42"/>
      <c r="F179" s="42"/>
      <c r="G179" s="42"/>
      <c r="H179" s="42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43"/>
      <c r="T179" s="43"/>
      <c r="U179" s="43"/>
      <c r="V179" s="43"/>
      <c r="W179" s="43"/>
      <c r="X179" s="43"/>
      <c r="Y179" s="43"/>
      <c r="Z179" s="43"/>
    </row>
    <row r="180" ht="15.75" customHeight="1">
      <c r="A180" s="53"/>
      <c r="B180" s="53"/>
      <c r="C180" s="53"/>
      <c r="D180" s="53"/>
      <c r="E180" s="42"/>
      <c r="F180" s="42"/>
      <c r="G180" s="42"/>
      <c r="H180" s="42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43"/>
      <c r="T180" s="43"/>
      <c r="U180" s="43"/>
      <c r="V180" s="43"/>
      <c r="W180" s="43"/>
      <c r="X180" s="43"/>
      <c r="Y180" s="43"/>
      <c r="Z180" s="43"/>
    </row>
    <row r="181" ht="15.75" customHeight="1">
      <c r="A181" s="53"/>
      <c r="B181" s="53"/>
      <c r="C181" s="53"/>
      <c r="D181" s="53"/>
      <c r="E181" s="42"/>
      <c r="F181" s="42"/>
      <c r="G181" s="42"/>
      <c r="H181" s="42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43"/>
      <c r="T181" s="43"/>
      <c r="U181" s="43"/>
      <c r="V181" s="43"/>
      <c r="W181" s="43"/>
      <c r="X181" s="43"/>
      <c r="Y181" s="43"/>
      <c r="Z181" s="43"/>
    </row>
    <row r="182" ht="15.75" customHeight="1">
      <c r="A182" s="53"/>
      <c r="B182" s="53"/>
      <c r="C182" s="53"/>
      <c r="D182" s="53"/>
      <c r="E182" s="42"/>
      <c r="F182" s="42"/>
      <c r="G182" s="42"/>
      <c r="H182" s="42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43"/>
      <c r="T182" s="43"/>
      <c r="U182" s="43"/>
      <c r="V182" s="43"/>
      <c r="W182" s="43"/>
      <c r="X182" s="43"/>
      <c r="Y182" s="43"/>
      <c r="Z182" s="43"/>
    </row>
    <row r="183" ht="15.75" customHeight="1">
      <c r="A183" s="53"/>
      <c r="B183" s="53"/>
      <c r="C183" s="53"/>
      <c r="D183" s="53"/>
      <c r="E183" s="42"/>
      <c r="F183" s="42"/>
      <c r="G183" s="42"/>
      <c r="H183" s="42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43"/>
      <c r="T183" s="43"/>
      <c r="U183" s="43"/>
      <c r="V183" s="43"/>
      <c r="W183" s="43"/>
      <c r="X183" s="43"/>
      <c r="Y183" s="43"/>
      <c r="Z183" s="43"/>
    </row>
    <row r="184" ht="15.75" customHeight="1">
      <c r="A184" s="53"/>
      <c r="B184" s="53"/>
      <c r="C184" s="53"/>
      <c r="D184" s="53"/>
      <c r="E184" s="42"/>
      <c r="F184" s="42"/>
      <c r="G184" s="42"/>
      <c r="H184" s="42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43"/>
      <c r="T184" s="43"/>
      <c r="U184" s="43"/>
      <c r="V184" s="43"/>
      <c r="W184" s="43"/>
      <c r="X184" s="43"/>
      <c r="Y184" s="43"/>
      <c r="Z184" s="43"/>
    </row>
    <row r="185" ht="15.75" customHeight="1">
      <c r="A185" s="53"/>
      <c r="B185" s="53"/>
      <c r="C185" s="53"/>
      <c r="D185" s="53"/>
      <c r="E185" s="42"/>
      <c r="F185" s="42"/>
      <c r="G185" s="42"/>
      <c r="H185" s="42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43"/>
      <c r="T185" s="43"/>
      <c r="U185" s="43"/>
      <c r="V185" s="43"/>
      <c r="W185" s="43"/>
      <c r="X185" s="43"/>
      <c r="Y185" s="43"/>
      <c r="Z185" s="43"/>
    </row>
    <row r="186" ht="15.75" customHeight="1">
      <c r="A186" s="53"/>
      <c r="B186" s="53"/>
      <c r="C186" s="53"/>
      <c r="D186" s="53"/>
      <c r="E186" s="42"/>
      <c r="F186" s="42"/>
      <c r="G186" s="42"/>
      <c r="H186" s="42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43"/>
      <c r="T186" s="43"/>
      <c r="U186" s="43"/>
      <c r="V186" s="43"/>
      <c r="W186" s="43"/>
      <c r="X186" s="43"/>
      <c r="Y186" s="43"/>
      <c r="Z186" s="43"/>
    </row>
    <row r="187" ht="15.75" customHeight="1">
      <c r="A187" s="53"/>
      <c r="B187" s="53"/>
      <c r="C187" s="53"/>
      <c r="D187" s="53"/>
      <c r="E187" s="42"/>
      <c r="F187" s="42"/>
      <c r="G187" s="42"/>
      <c r="H187" s="42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43"/>
      <c r="T187" s="43"/>
      <c r="U187" s="43"/>
      <c r="V187" s="43"/>
      <c r="W187" s="43"/>
      <c r="X187" s="43"/>
      <c r="Y187" s="43"/>
      <c r="Z187" s="43"/>
    </row>
    <row r="188" ht="15.75" customHeight="1">
      <c r="A188" s="53"/>
      <c r="B188" s="53"/>
      <c r="C188" s="53"/>
      <c r="D188" s="53"/>
      <c r="E188" s="42"/>
      <c r="F188" s="42"/>
      <c r="G188" s="42"/>
      <c r="H188" s="42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43"/>
      <c r="T188" s="43"/>
      <c r="U188" s="43"/>
      <c r="V188" s="43"/>
      <c r="W188" s="43"/>
      <c r="X188" s="43"/>
      <c r="Y188" s="43"/>
      <c r="Z188" s="43"/>
    </row>
    <row r="189" ht="15.75" customHeight="1">
      <c r="A189" s="53"/>
      <c r="B189" s="53"/>
      <c r="C189" s="53"/>
      <c r="D189" s="53"/>
      <c r="E189" s="42"/>
      <c r="F189" s="42"/>
      <c r="G189" s="42"/>
      <c r="H189" s="42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43"/>
      <c r="T189" s="43"/>
      <c r="U189" s="43"/>
      <c r="V189" s="43"/>
      <c r="W189" s="43"/>
      <c r="X189" s="43"/>
      <c r="Y189" s="43"/>
      <c r="Z189" s="43"/>
    </row>
    <row r="190" ht="15.75" customHeight="1">
      <c r="A190" s="53"/>
      <c r="B190" s="53"/>
      <c r="C190" s="53"/>
      <c r="D190" s="53"/>
      <c r="E190" s="42"/>
      <c r="F190" s="42"/>
      <c r="G190" s="42"/>
      <c r="H190" s="42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43"/>
      <c r="T190" s="43"/>
      <c r="U190" s="43"/>
      <c r="V190" s="43"/>
      <c r="W190" s="43"/>
      <c r="X190" s="43"/>
      <c r="Y190" s="43"/>
      <c r="Z190" s="43"/>
    </row>
    <row r="191" ht="15.75" customHeight="1">
      <c r="A191" s="53"/>
      <c r="B191" s="53"/>
      <c r="C191" s="53"/>
      <c r="D191" s="53"/>
      <c r="E191" s="42"/>
      <c r="F191" s="42"/>
      <c r="G191" s="42"/>
      <c r="H191" s="42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43"/>
      <c r="T191" s="43"/>
      <c r="U191" s="43"/>
      <c r="V191" s="43"/>
      <c r="W191" s="43"/>
      <c r="X191" s="43"/>
      <c r="Y191" s="43"/>
      <c r="Z191" s="43"/>
    </row>
    <row r="192" ht="15.75" customHeight="1">
      <c r="A192" s="53"/>
      <c r="B192" s="53"/>
      <c r="C192" s="53"/>
      <c r="D192" s="53"/>
      <c r="E192" s="42"/>
      <c r="F192" s="42"/>
      <c r="G192" s="42"/>
      <c r="H192" s="42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43"/>
      <c r="T192" s="43"/>
      <c r="U192" s="43"/>
      <c r="V192" s="43"/>
      <c r="W192" s="43"/>
      <c r="X192" s="43"/>
      <c r="Y192" s="43"/>
      <c r="Z192" s="43"/>
    </row>
    <row r="193" ht="15.75" customHeight="1">
      <c r="A193" s="53"/>
      <c r="B193" s="53"/>
      <c r="C193" s="53"/>
      <c r="D193" s="53"/>
      <c r="E193" s="42"/>
      <c r="F193" s="42"/>
      <c r="G193" s="42"/>
      <c r="H193" s="42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43"/>
      <c r="T193" s="43"/>
      <c r="U193" s="43"/>
      <c r="V193" s="43"/>
      <c r="W193" s="43"/>
      <c r="X193" s="43"/>
      <c r="Y193" s="43"/>
      <c r="Z193" s="43"/>
    </row>
    <row r="194" ht="15.75" customHeight="1">
      <c r="A194" s="53"/>
      <c r="B194" s="53"/>
      <c r="C194" s="53"/>
      <c r="D194" s="53"/>
      <c r="E194" s="42"/>
      <c r="F194" s="42"/>
      <c r="G194" s="42"/>
      <c r="H194" s="42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43"/>
      <c r="T194" s="43"/>
      <c r="U194" s="43"/>
      <c r="V194" s="43"/>
      <c r="W194" s="43"/>
      <c r="X194" s="43"/>
      <c r="Y194" s="43"/>
      <c r="Z194" s="43"/>
    </row>
    <row r="195" ht="15.75" customHeight="1">
      <c r="A195" s="53"/>
      <c r="B195" s="53"/>
      <c r="C195" s="53"/>
      <c r="D195" s="53"/>
      <c r="E195" s="42"/>
      <c r="F195" s="42"/>
      <c r="G195" s="42"/>
      <c r="H195" s="42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43"/>
      <c r="T195" s="43"/>
      <c r="U195" s="43"/>
      <c r="V195" s="43"/>
      <c r="W195" s="43"/>
      <c r="X195" s="43"/>
      <c r="Y195" s="43"/>
      <c r="Z195" s="43"/>
    </row>
    <row r="196" ht="15.75" customHeight="1">
      <c r="A196" s="53"/>
      <c r="B196" s="53"/>
      <c r="C196" s="53"/>
      <c r="D196" s="53"/>
      <c r="E196" s="42"/>
      <c r="F196" s="42"/>
      <c r="G196" s="42"/>
      <c r="H196" s="42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43"/>
      <c r="T196" s="43"/>
      <c r="U196" s="43"/>
      <c r="V196" s="43"/>
      <c r="W196" s="43"/>
      <c r="X196" s="43"/>
      <c r="Y196" s="43"/>
      <c r="Z196" s="43"/>
    </row>
    <row r="197" ht="15.75" customHeight="1">
      <c r="A197" s="53"/>
      <c r="B197" s="53"/>
      <c r="C197" s="53"/>
      <c r="D197" s="53"/>
      <c r="E197" s="42"/>
      <c r="F197" s="42"/>
      <c r="G197" s="42"/>
      <c r="H197" s="42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43"/>
      <c r="T197" s="43"/>
      <c r="U197" s="43"/>
      <c r="V197" s="43"/>
      <c r="W197" s="43"/>
      <c r="X197" s="43"/>
      <c r="Y197" s="43"/>
      <c r="Z197" s="43"/>
    </row>
    <row r="198" ht="15.75" customHeight="1">
      <c r="A198" s="53"/>
      <c r="B198" s="53"/>
      <c r="C198" s="53"/>
      <c r="D198" s="53"/>
      <c r="E198" s="42"/>
      <c r="F198" s="42"/>
      <c r="G198" s="42"/>
      <c r="H198" s="42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43"/>
      <c r="T198" s="43"/>
      <c r="U198" s="43"/>
      <c r="V198" s="43"/>
      <c r="W198" s="43"/>
      <c r="X198" s="43"/>
      <c r="Y198" s="43"/>
      <c r="Z198" s="43"/>
    </row>
    <row r="199" ht="15.75" customHeight="1">
      <c r="A199" s="53"/>
      <c r="B199" s="53"/>
      <c r="C199" s="53"/>
      <c r="D199" s="53"/>
      <c r="E199" s="42"/>
      <c r="F199" s="42"/>
      <c r="G199" s="42"/>
      <c r="H199" s="42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43"/>
      <c r="T199" s="43"/>
      <c r="U199" s="43"/>
      <c r="V199" s="43"/>
      <c r="W199" s="43"/>
      <c r="X199" s="43"/>
      <c r="Y199" s="43"/>
      <c r="Z199" s="43"/>
    </row>
    <row r="200" ht="15.75" customHeight="1">
      <c r="A200" s="53"/>
      <c r="B200" s="53"/>
      <c r="C200" s="53"/>
      <c r="D200" s="53"/>
      <c r="E200" s="42"/>
      <c r="F200" s="42"/>
      <c r="G200" s="42"/>
      <c r="H200" s="42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43"/>
      <c r="T200" s="43"/>
      <c r="U200" s="43"/>
      <c r="V200" s="43"/>
      <c r="W200" s="43"/>
      <c r="X200" s="43"/>
      <c r="Y200" s="43"/>
      <c r="Z200" s="43"/>
    </row>
    <row r="201" ht="15.75" customHeight="1">
      <c r="A201" s="53"/>
      <c r="B201" s="53"/>
      <c r="C201" s="53"/>
      <c r="D201" s="53"/>
      <c r="E201" s="42"/>
      <c r="F201" s="42"/>
      <c r="G201" s="42"/>
      <c r="H201" s="42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43"/>
      <c r="T201" s="43"/>
      <c r="U201" s="43"/>
      <c r="V201" s="43"/>
      <c r="W201" s="43"/>
      <c r="X201" s="43"/>
      <c r="Y201" s="43"/>
      <c r="Z201" s="43"/>
    </row>
    <row r="202" ht="15.75" customHeight="1">
      <c r="A202" s="53"/>
      <c r="B202" s="53"/>
      <c r="C202" s="53"/>
      <c r="D202" s="53"/>
      <c r="E202" s="42"/>
      <c r="F202" s="42"/>
      <c r="G202" s="42"/>
      <c r="H202" s="42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43"/>
      <c r="T202" s="43"/>
      <c r="U202" s="43"/>
      <c r="V202" s="43"/>
      <c r="W202" s="43"/>
      <c r="X202" s="43"/>
      <c r="Y202" s="43"/>
      <c r="Z202" s="43"/>
    </row>
    <row r="203" ht="15.75" customHeight="1">
      <c r="A203" s="53"/>
      <c r="B203" s="53"/>
      <c r="C203" s="53"/>
      <c r="D203" s="53"/>
      <c r="E203" s="42"/>
      <c r="F203" s="42"/>
      <c r="G203" s="42"/>
      <c r="H203" s="42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43"/>
      <c r="T203" s="43"/>
      <c r="U203" s="43"/>
      <c r="V203" s="43"/>
      <c r="W203" s="43"/>
      <c r="X203" s="43"/>
      <c r="Y203" s="43"/>
      <c r="Z203" s="43"/>
    </row>
    <row r="204" ht="15.75" customHeight="1">
      <c r="A204" s="53"/>
      <c r="B204" s="53"/>
      <c r="C204" s="53"/>
      <c r="D204" s="53"/>
      <c r="E204" s="42"/>
      <c r="F204" s="42"/>
      <c r="G204" s="42"/>
      <c r="H204" s="42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43"/>
      <c r="T204" s="43"/>
      <c r="U204" s="43"/>
      <c r="V204" s="43"/>
      <c r="W204" s="43"/>
      <c r="X204" s="43"/>
      <c r="Y204" s="43"/>
      <c r="Z204" s="43"/>
    </row>
    <row r="205" ht="15.75" customHeight="1">
      <c r="A205" s="53"/>
      <c r="B205" s="53"/>
      <c r="C205" s="53"/>
      <c r="D205" s="53"/>
      <c r="E205" s="42"/>
      <c r="F205" s="42"/>
      <c r="G205" s="42"/>
      <c r="H205" s="42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43"/>
      <c r="T205" s="43"/>
      <c r="U205" s="43"/>
      <c r="V205" s="43"/>
      <c r="W205" s="43"/>
      <c r="X205" s="43"/>
      <c r="Y205" s="43"/>
      <c r="Z205" s="43"/>
    </row>
    <row r="206" ht="15.75" customHeight="1">
      <c r="A206" s="53"/>
      <c r="B206" s="53"/>
      <c r="C206" s="53"/>
      <c r="D206" s="53"/>
      <c r="E206" s="42"/>
      <c r="F206" s="42"/>
      <c r="G206" s="42"/>
      <c r="H206" s="42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43"/>
      <c r="T206" s="43"/>
      <c r="U206" s="43"/>
      <c r="V206" s="43"/>
      <c r="W206" s="43"/>
      <c r="X206" s="43"/>
      <c r="Y206" s="43"/>
      <c r="Z206" s="43"/>
    </row>
    <row r="207" ht="15.75" customHeight="1">
      <c r="A207" s="53"/>
      <c r="B207" s="53"/>
      <c r="C207" s="53"/>
      <c r="D207" s="53"/>
      <c r="E207" s="42"/>
      <c r="F207" s="42"/>
      <c r="G207" s="42"/>
      <c r="H207" s="42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43"/>
      <c r="T207" s="43"/>
      <c r="U207" s="43"/>
      <c r="V207" s="43"/>
      <c r="W207" s="43"/>
      <c r="X207" s="43"/>
      <c r="Y207" s="43"/>
      <c r="Z207" s="43"/>
    </row>
    <row r="208" ht="15.75" customHeight="1">
      <c r="A208" s="53"/>
      <c r="B208" s="53"/>
      <c r="C208" s="53"/>
      <c r="D208" s="53"/>
      <c r="E208" s="42"/>
      <c r="F208" s="42"/>
      <c r="G208" s="42"/>
      <c r="H208" s="42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43"/>
      <c r="T208" s="43"/>
      <c r="U208" s="43"/>
      <c r="V208" s="43"/>
      <c r="W208" s="43"/>
      <c r="X208" s="43"/>
      <c r="Y208" s="43"/>
      <c r="Z208" s="43"/>
    </row>
    <row r="209" ht="15.75" customHeight="1">
      <c r="A209" s="53"/>
      <c r="B209" s="53"/>
      <c r="C209" s="53"/>
      <c r="D209" s="53"/>
      <c r="E209" s="42"/>
      <c r="F209" s="42"/>
      <c r="G209" s="42"/>
      <c r="H209" s="42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43"/>
      <c r="T209" s="43"/>
      <c r="U209" s="43"/>
      <c r="V209" s="43"/>
      <c r="W209" s="43"/>
      <c r="X209" s="43"/>
      <c r="Y209" s="43"/>
      <c r="Z209" s="43"/>
    </row>
    <row r="210" ht="15.75" customHeight="1">
      <c r="A210" s="53"/>
      <c r="B210" s="53"/>
      <c r="C210" s="53"/>
      <c r="D210" s="53"/>
      <c r="E210" s="42"/>
      <c r="F210" s="42"/>
      <c r="G210" s="42"/>
      <c r="H210" s="42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43"/>
      <c r="T210" s="43"/>
      <c r="U210" s="43"/>
      <c r="V210" s="43"/>
      <c r="W210" s="43"/>
      <c r="X210" s="43"/>
      <c r="Y210" s="43"/>
      <c r="Z210" s="43"/>
    </row>
    <row r="211" ht="15.75" customHeight="1">
      <c r="A211" s="53"/>
      <c r="B211" s="53"/>
      <c r="C211" s="53"/>
      <c r="D211" s="53"/>
      <c r="E211" s="42"/>
      <c r="F211" s="42"/>
      <c r="G211" s="42"/>
      <c r="H211" s="42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43"/>
      <c r="T211" s="43"/>
      <c r="U211" s="43"/>
      <c r="V211" s="43"/>
      <c r="W211" s="43"/>
      <c r="X211" s="43"/>
      <c r="Y211" s="43"/>
      <c r="Z211" s="43"/>
    </row>
    <row r="212" ht="15.75" customHeight="1">
      <c r="A212" s="53"/>
      <c r="B212" s="53"/>
      <c r="C212" s="53"/>
      <c r="D212" s="53"/>
      <c r="E212" s="42"/>
      <c r="F212" s="42"/>
      <c r="G212" s="42"/>
      <c r="H212" s="42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43"/>
      <c r="T212" s="43"/>
      <c r="U212" s="43"/>
      <c r="V212" s="43"/>
      <c r="W212" s="43"/>
      <c r="X212" s="43"/>
      <c r="Y212" s="43"/>
      <c r="Z212" s="43"/>
    </row>
    <row r="213" ht="15.75" customHeight="1">
      <c r="A213" s="53"/>
      <c r="B213" s="53"/>
      <c r="C213" s="53"/>
      <c r="D213" s="53"/>
      <c r="E213" s="42"/>
      <c r="F213" s="42"/>
      <c r="G213" s="42"/>
      <c r="H213" s="42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43"/>
      <c r="T213" s="43"/>
      <c r="U213" s="43"/>
      <c r="V213" s="43"/>
      <c r="W213" s="43"/>
      <c r="X213" s="43"/>
      <c r="Y213" s="43"/>
      <c r="Z213" s="43"/>
    </row>
    <row r="214" ht="15.75" customHeight="1">
      <c r="A214" s="53"/>
      <c r="B214" s="53"/>
      <c r="C214" s="53"/>
      <c r="D214" s="53"/>
      <c r="E214" s="42"/>
      <c r="F214" s="42"/>
      <c r="G214" s="42"/>
      <c r="H214" s="42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43"/>
      <c r="T214" s="43"/>
      <c r="U214" s="43"/>
      <c r="V214" s="43"/>
      <c r="W214" s="43"/>
      <c r="X214" s="43"/>
      <c r="Y214" s="43"/>
      <c r="Z214" s="43"/>
    </row>
    <row r="215" ht="15.75" customHeight="1">
      <c r="A215" s="53"/>
      <c r="B215" s="53"/>
      <c r="C215" s="53"/>
      <c r="D215" s="53"/>
      <c r="E215" s="42"/>
      <c r="F215" s="42"/>
      <c r="G215" s="42"/>
      <c r="H215" s="42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43"/>
      <c r="T215" s="43"/>
      <c r="U215" s="43"/>
      <c r="V215" s="43"/>
      <c r="W215" s="43"/>
      <c r="X215" s="43"/>
      <c r="Y215" s="43"/>
      <c r="Z215" s="43"/>
    </row>
    <row r="216" ht="15.75" customHeight="1">
      <c r="A216" s="53"/>
      <c r="B216" s="53"/>
      <c r="C216" s="53"/>
      <c r="D216" s="53"/>
      <c r="E216" s="42"/>
      <c r="F216" s="42"/>
      <c r="G216" s="42"/>
      <c r="H216" s="42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43"/>
      <c r="T216" s="43"/>
      <c r="U216" s="43"/>
      <c r="V216" s="43"/>
      <c r="W216" s="43"/>
      <c r="X216" s="43"/>
      <c r="Y216" s="43"/>
      <c r="Z216" s="43"/>
    </row>
    <row r="217" ht="15.75" customHeight="1">
      <c r="A217" s="53"/>
      <c r="B217" s="53"/>
      <c r="C217" s="53"/>
      <c r="D217" s="53"/>
      <c r="E217" s="42"/>
      <c r="F217" s="42"/>
      <c r="G217" s="42"/>
      <c r="H217" s="42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43"/>
      <c r="T217" s="43"/>
      <c r="U217" s="43"/>
      <c r="V217" s="43"/>
      <c r="W217" s="43"/>
      <c r="X217" s="43"/>
      <c r="Y217" s="43"/>
      <c r="Z217" s="43"/>
    </row>
    <row r="218" ht="15.75" customHeight="1">
      <c r="A218" s="53"/>
      <c r="B218" s="53"/>
      <c r="C218" s="53"/>
      <c r="D218" s="53"/>
      <c r="E218" s="42"/>
      <c r="F218" s="42"/>
      <c r="G218" s="42"/>
      <c r="H218" s="42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43"/>
      <c r="T218" s="43"/>
      <c r="U218" s="43"/>
      <c r="V218" s="43"/>
      <c r="W218" s="43"/>
      <c r="X218" s="43"/>
      <c r="Y218" s="43"/>
      <c r="Z218" s="43"/>
    </row>
    <row r="219" ht="15.75" customHeight="1">
      <c r="A219" s="53"/>
      <c r="B219" s="53"/>
      <c r="C219" s="53"/>
      <c r="D219" s="53"/>
      <c r="E219" s="42"/>
      <c r="F219" s="42"/>
      <c r="G219" s="42"/>
      <c r="H219" s="42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43"/>
      <c r="T219" s="43"/>
      <c r="U219" s="43"/>
      <c r="V219" s="43"/>
      <c r="W219" s="43"/>
      <c r="X219" s="43"/>
      <c r="Y219" s="43"/>
      <c r="Z219" s="43"/>
    </row>
    <row r="220" ht="15.75" customHeight="1">
      <c r="A220" s="53"/>
      <c r="B220" s="53"/>
      <c r="C220" s="53"/>
      <c r="D220" s="53"/>
      <c r="E220" s="42"/>
      <c r="F220" s="42"/>
      <c r="G220" s="42"/>
      <c r="H220" s="42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43"/>
      <c r="T220" s="43"/>
      <c r="U220" s="43"/>
      <c r="V220" s="43"/>
      <c r="W220" s="43"/>
      <c r="X220" s="43"/>
      <c r="Y220" s="43"/>
      <c r="Z220" s="43"/>
    </row>
    <row r="221" ht="15.75" customHeight="1">
      <c r="A221" s="53"/>
      <c r="B221" s="53"/>
      <c r="C221" s="53"/>
      <c r="D221" s="53"/>
      <c r="E221" s="42"/>
      <c r="F221" s="42"/>
      <c r="G221" s="42"/>
      <c r="H221" s="42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43"/>
      <c r="T221" s="43"/>
      <c r="U221" s="43"/>
      <c r="V221" s="43"/>
      <c r="W221" s="43"/>
      <c r="X221" s="43"/>
      <c r="Y221" s="43"/>
      <c r="Z221" s="43"/>
    </row>
    <row r="222" ht="15.75" customHeight="1">
      <c r="A222" s="53"/>
      <c r="B222" s="53"/>
      <c r="C222" s="53"/>
      <c r="D222" s="53"/>
      <c r="E222" s="42"/>
      <c r="F222" s="42"/>
      <c r="G222" s="42"/>
      <c r="H222" s="42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43"/>
      <c r="T222" s="43"/>
      <c r="U222" s="43"/>
      <c r="V222" s="43"/>
      <c r="W222" s="43"/>
      <c r="X222" s="43"/>
      <c r="Y222" s="43"/>
      <c r="Z222" s="43"/>
    </row>
    <row r="223" ht="15.75" customHeight="1">
      <c r="A223" s="53"/>
      <c r="B223" s="53"/>
      <c r="C223" s="53"/>
      <c r="D223" s="53"/>
      <c r="E223" s="42"/>
      <c r="F223" s="42"/>
      <c r="G223" s="42"/>
      <c r="H223" s="42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43"/>
      <c r="T223" s="43"/>
      <c r="U223" s="43"/>
      <c r="V223" s="43"/>
      <c r="W223" s="43"/>
      <c r="X223" s="43"/>
      <c r="Y223" s="43"/>
      <c r="Z223" s="43"/>
    </row>
    <row r="224" ht="15.75" customHeight="1">
      <c r="A224" s="53"/>
      <c r="B224" s="53"/>
      <c r="C224" s="53"/>
      <c r="D224" s="53"/>
      <c r="E224" s="42"/>
      <c r="F224" s="42"/>
      <c r="G224" s="42"/>
      <c r="H224" s="42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43"/>
      <c r="T224" s="43"/>
      <c r="U224" s="43"/>
      <c r="V224" s="43"/>
      <c r="W224" s="43"/>
      <c r="X224" s="43"/>
      <c r="Y224" s="43"/>
      <c r="Z224" s="43"/>
    </row>
    <row r="225" ht="15.75" customHeight="1">
      <c r="A225" s="53"/>
      <c r="B225" s="53"/>
      <c r="C225" s="53"/>
      <c r="D225" s="53"/>
      <c r="E225" s="42"/>
      <c r="F225" s="42"/>
      <c r="G225" s="42"/>
      <c r="H225" s="42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43"/>
      <c r="T225" s="43"/>
      <c r="U225" s="43"/>
      <c r="V225" s="43"/>
      <c r="W225" s="43"/>
      <c r="X225" s="43"/>
      <c r="Y225" s="43"/>
      <c r="Z225" s="43"/>
    </row>
    <row r="226" ht="15.75" customHeight="1">
      <c r="A226" s="53"/>
      <c r="B226" s="53"/>
      <c r="C226" s="53"/>
      <c r="D226" s="53"/>
      <c r="E226" s="42"/>
      <c r="F226" s="42"/>
      <c r="G226" s="42"/>
      <c r="H226" s="42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43"/>
      <c r="T226" s="43"/>
      <c r="U226" s="43"/>
      <c r="V226" s="43"/>
      <c r="W226" s="43"/>
      <c r="X226" s="43"/>
      <c r="Y226" s="43"/>
      <c r="Z226" s="43"/>
    </row>
    <row r="227" ht="15.75" customHeight="1">
      <c r="A227" s="53"/>
      <c r="B227" s="53"/>
      <c r="C227" s="53"/>
      <c r="D227" s="53"/>
      <c r="E227" s="42"/>
      <c r="F227" s="42"/>
      <c r="G227" s="42"/>
      <c r="H227" s="42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43"/>
      <c r="T227" s="43"/>
      <c r="U227" s="43"/>
      <c r="V227" s="43"/>
      <c r="W227" s="43"/>
      <c r="X227" s="43"/>
      <c r="Y227" s="43"/>
      <c r="Z227" s="43"/>
    </row>
    <row r="228" ht="15.75" customHeight="1">
      <c r="A228" s="53"/>
      <c r="B228" s="53"/>
      <c r="C228" s="53"/>
      <c r="D228" s="53"/>
      <c r="E228" s="42"/>
      <c r="F228" s="42"/>
      <c r="G228" s="42"/>
      <c r="H228" s="42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43"/>
      <c r="T228" s="43"/>
      <c r="U228" s="43"/>
      <c r="V228" s="43"/>
      <c r="W228" s="43"/>
      <c r="X228" s="43"/>
      <c r="Y228" s="43"/>
      <c r="Z228" s="43"/>
    </row>
    <row r="229" ht="15.75" customHeight="1">
      <c r="A229" s="53"/>
      <c r="B229" s="53"/>
      <c r="C229" s="53"/>
      <c r="D229" s="53"/>
      <c r="E229" s="42"/>
      <c r="F229" s="42"/>
      <c r="G229" s="42"/>
      <c r="H229" s="42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43"/>
      <c r="T229" s="43"/>
      <c r="U229" s="43"/>
      <c r="V229" s="43"/>
      <c r="W229" s="43"/>
      <c r="X229" s="43"/>
      <c r="Y229" s="43"/>
      <c r="Z229" s="43"/>
    </row>
    <row r="230" ht="15.75" customHeight="1">
      <c r="A230" s="53"/>
      <c r="B230" s="53"/>
      <c r="C230" s="53"/>
      <c r="D230" s="53"/>
      <c r="E230" s="42"/>
      <c r="F230" s="42"/>
      <c r="G230" s="42"/>
      <c r="H230" s="42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43"/>
      <c r="T230" s="43"/>
      <c r="U230" s="43"/>
      <c r="V230" s="43"/>
      <c r="W230" s="43"/>
      <c r="X230" s="43"/>
      <c r="Y230" s="43"/>
      <c r="Z230" s="43"/>
    </row>
    <row r="231" ht="15.75" customHeight="1">
      <c r="A231" s="53"/>
      <c r="B231" s="53"/>
      <c r="C231" s="53"/>
      <c r="D231" s="53"/>
      <c r="E231" s="42"/>
      <c r="F231" s="42"/>
      <c r="G231" s="42"/>
      <c r="H231" s="42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43"/>
      <c r="T231" s="43"/>
      <c r="U231" s="43"/>
      <c r="V231" s="43"/>
      <c r="W231" s="43"/>
      <c r="X231" s="43"/>
      <c r="Y231" s="43"/>
      <c r="Z231" s="43"/>
    </row>
    <row r="232" ht="15.75" customHeight="1">
      <c r="A232" s="53"/>
      <c r="B232" s="53"/>
      <c r="C232" s="53"/>
      <c r="D232" s="53"/>
      <c r="E232" s="42"/>
      <c r="F232" s="42"/>
      <c r="G232" s="42"/>
      <c r="H232" s="42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43"/>
      <c r="T232" s="43"/>
      <c r="U232" s="43"/>
      <c r="V232" s="43"/>
      <c r="W232" s="43"/>
      <c r="X232" s="43"/>
      <c r="Y232" s="43"/>
      <c r="Z232" s="43"/>
    </row>
    <row r="233" ht="15.75" customHeight="1">
      <c r="A233" s="53"/>
      <c r="B233" s="53"/>
      <c r="C233" s="53"/>
      <c r="D233" s="53"/>
      <c r="E233" s="42"/>
      <c r="F233" s="42"/>
      <c r="G233" s="42"/>
      <c r="H233" s="42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43"/>
      <c r="T233" s="43"/>
      <c r="U233" s="43"/>
      <c r="V233" s="43"/>
      <c r="W233" s="43"/>
      <c r="X233" s="43"/>
      <c r="Y233" s="43"/>
      <c r="Z233" s="43"/>
    </row>
    <row r="234" ht="15.75" customHeight="1">
      <c r="A234" s="53"/>
      <c r="B234" s="53"/>
      <c r="C234" s="53"/>
      <c r="D234" s="53"/>
      <c r="E234" s="42"/>
      <c r="F234" s="42"/>
      <c r="G234" s="42"/>
      <c r="H234" s="42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43"/>
      <c r="T234" s="43"/>
      <c r="U234" s="43"/>
      <c r="V234" s="43"/>
      <c r="W234" s="43"/>
      <c r="X234" s="43"/>
      <c r="Y234" s="43"/>
      <c r="Z234" s="43"/>
    </row>
    <row r="235" ht="15.75" customHeight="1">
      <c r="A235" s="53"/>
      <c r="B235" s="53"/>
      <c r="C235" s="53"/>
      <c r="D235" s="53"/>
      <c r="E235" s="42"/>
      <c r="F235" s="42"/>
      <c r="G235" s="42"/>
      <c r="H235" s="42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43"/>
      <c r="T235" s="43"/>
      <c r="U235" s="43"/>
      <c r="V235" s="43"/>
      <c r="W235" s="43"/>
      <c r="X235" s="43"/>
      <c r="Y235" s="43"/>
      <c r="Z235" s="43"/>
    </row>
    <row r="236" ht="15.75" customHeight="1">
      <c r="A236" s="53"/>
      <c r="B236" s="53"/>
      <c r="C236" s="53"/>
      <c r="D236" s="53"/>
      <c r="E236" s="42"/>
      <c r="F236" s="42"/>
      <c r="G236" s="42"/>
      <c r="H236" s="42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43"/>
      <c r="T236" s="43"/>
      <c r="U236" s="43"/>
      <c r="V236" s="43"/>
      <c r="W236" s="43"/>
      <c r="X236" s="43"/>
      <c r="Y236" s="43"/>
      <c r="Z236" s="43"/>
    </row>
    <row r="237" ht="15.75" customHeight="1">
      <c r="A237" s="53"/>
      <c r="B237" s="53"/>
      <c r="C237" s="53"/>
      <c r="D237" s="53"/>
      <c r="E237" s="42"/>
      <c r="F237" s="42"/>
      <c r="G237" s="42"/>
      <c r="H237" s="42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43"/>
      <c r="T237" s="43"/>
      <c r="U237" s="43"/>
      <c r="V237" s="43"/>
      <c r="W237" s="43"/>
      <c r="X237" s="43"/>
      <c r="Y237" s="43"/>
      <c r="Z237" s="43"/>
    </row>
    <row r="238" ht="15.75" customHeight="1">
      <c r="A238" s="53"/>
      <c r="B238" s="53"/>
      <c r="C238" s="53"/>
      <c r="D238" s="53"/>
      <c r="E238" s="42"/>
      <c r="F238" s="42"/>
      <c r="G238" s="42"/>
      <c r="H238" s="42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43"/>
      <c r="T238" s="43"/>
      <c r="U238" s="43"/>
      <c r="V238" s="43"/>
      <c r="W238" s="43"/>
      <c r="X238" s="43"/>
      <c r="Y238" s="43"/>
      <c r="Z238" s="43"/>
    </row>
    <row r="239" ht="15.75" customHeight="1">
      <c r="A239" s="53"/>
      <c r="B239" s="53"/>
      <c r="C239" s="53"/>
      <c r="D239" s="53"/>
      <c r="E239" s="42"/>
      <c r="F239" s="42"/>
      <c r="G239" s="42"/>
      <c r="H239" s="42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43"/>
      <c r="T239" s="43"/>
      <c r="U239" s="43"/>
      <c r="V239" s="43"/>
      <c r="W239" s="43"/>
      <c r="X239" s="43"/>
      <c r="Y239" s="43"/>
      <c r="Z239" s="43"/>
    </row>
    <row r="240" ht="15.75" customHeight="1">
      <c r="A240" s="53"/>
      <c r="B240" s="53"/>
      <c r="C240" s="53"/>
      <c r="D240" s="53"/>
      <c r="E240" s="42"/>
      <c r="F240" s="42"/>
      <c r="G240" s="42"/>
      <c r="H240" s="42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43"/>
      <c r="T240" s="43"/>
      <c r="U240" s="43"/>
      <c r="V240" s="43"/>
      <c r="W240" s="43"/>
      <c r="X240" s="43"/>
      <c r="Y240" s="43"/>
      <c r="Z240" s="43"/>
    </row>
    <row r="241" ht="15.75" customHeight="1">
      <c r="A241" s="53"/>
      <c r="B241" s="53"/>
      <c r="C241" s="53"/>
      <c r="D241" s="53"/>
      <c r="E241" s="42"/>
      <c r="F241" s="42"/>
      <c r="G241" s="42"/>
      <c r="H241" s="42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43"/>
      <c r="T241" s="43"/>
      <c r="U241" s="43"/>
      <c r="V241" s="43"/>
      <c r="W241" s="43"/>
      <c r="X241" s="43"/>
      <c r="Y241" s="43"/>
      <c r="Z241" s="43"/>
    </row>
    <row r="242" ht="15.75" customHeight="1">
      <c r="A242" s="53"/>
      <c r="B242" s="53"/>
      <c r="C242" s="53"/>
      <c r="D242" s="53"/>
      <c r="E242" s="42"/>
      <c r="F242" s="42"/>
      <c r="G242" s="42"/>
      <c r="H242" s="42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43"/>
      <c r="T242" s="43"/>
      <c r="U242" s="43"/>
      <c r="V242" s="43"/>
      <c r="W242" s="43"/>
      <c r="X242" s="43"/>
      <c r="Y242" s="43"/>
      <c r="Z242" s="43"/>
    </row>
    <row r="243" ht="15.75" customHeight="1">
      <c r="A243" s="53"/>
      <c r="B243" s="53"/>
      <c r="C243" s="53"/>
      <c r="D243" s="53"/>
      <c r="E243" s="42"/>
      <c r="F243" s="42"/>
      <c r="G243" s="42"/>
      <c r="H243" s="42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43"/>
      <c r="T243" s="43"/>
      <c r="U243" s="43"/>
      <c r="V243" s="43"/>
      <c r="W243" s="43"/>
      <c r="X243" s="43"/>
      <c r="Y243" s="43"/>
      <c r="Z243" s="43"/>
    </row>
    <row r="244" ht="15.75" customHeight="1">
      <c r="A244" s="53"/>
      <c r="B244" s="53"/>
      <c r="C244" s="53"/>
      <c r="D244" s="53"/>
      <c r="E244" s="42"/>
      <c r="F244" s="42"/>
      <c r="G244" s="42"/>
      <c r="H244" s="42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43"/>
      <c r="T244" s="43"/>
      <c r="U244" s="43"/>
      <c r="V244" s="43"/>
      <c r="W244" s="43"/>
      <c r="X244" s="43"/>
      <c r="Y244" s="43"/>
      <c r="Z244" s="43"/>
    </row>
    <row r="245" ht="15.75" customHeight="1">
      <c r="A245" s="53"/>
      <c r="B245" s="53"/>
      <c r="C245" s="53"/>
      <c r="D245" s="53"/>
      <c r="E245" s="42"/>
      <c r="F245" s="42"/>
      <c r="G245" s="42"/>
      <c r="H245" s="42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43"/>
      <c r="T245" s="43"/>
      <c r="U245" s="43"/>
      <c r="V245" s="43"/>
      <c r="W245" s="43"/>
      <c r="X245" s="43"/>
      <c r="Y245" s="43"/>
      <c r="Z245" s="43"/>
    </row>
    <row r="246" ht="15.75" customHeight="1">
      <c r="A246" s="53"/>
      <c r="B246" s="53"/>
      <c r="C246" s="53"/>
      <c r="D246" s="53"/>
      <c r="E246" s="42"/>
      <c r="F246" s="42"/>
      <c r="G246" s="42"/>
      <c r="H246" s="42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43"/>
      <c r="T246" s="43"/>
      <c r="U246" s="43"/>
      <c r="V246" s="43"/>
      <c r="W246" s="43"/>
      <c r="X246" s="43"/>
      <c r="Y246" s="43"/>
      <c r="Z246" s="43"/>
    </row>
    <row r="247" ht="15.75" customHeight="1">
      <c r="A247" s="53"/>
      <c r="B247" s="53"/>
      <c r="C247" s="53"/>
      <c r="D247" s="53"/>
      <c r="E247" s="42"/>
      <c r="F247" s="42"/>
      <c r="G247" s="42"/>
      <c r="H247" s="42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43"/>
      <c r="T247" s="43"/>
      <c r="U247" s="43"/>
      <c r="V247" s="43"/>
      <c r="W247" s="43"/>
      <c r="X247" s="43"/>
      <c r="Y247" s="43"/>
      <c r="Z247" s="43"/>
    </row>
    <row r="248" ht="15.75" customHeight="1">
      <c r="A248" s="53"/>
      <c r="B248" s="53"/>
      <c r="C248" s="53"/>
      <c r="D248" s="53"/>
      <c r="E248" s="42"/>
      <c r="F248" s="42"/>
      <c r="G248" s="42"/>
      <c r="H248" s="42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43"/>
      <c r="T248" s="43"/>
      <c r="U248" s="43"/>
      <c r="V248" s="43"/>
      <c r="W248" s="43"/>
      <c r="X248" s="43"/>
      <c r="Y248" s="43"/>
      <c r="Z248" s="43"/>
    </row>
    <row r="249" ht="15.75" customHeight="1">
      <c r="A249" s="53"/>
      <c r="B249" s="53"/>
      <c r="C249" s="53"/>
      <c r="D249" s="53"/>
      <c r="E249" s="42"/>
      <c r="F249" s="42"/>
      <c r="G249" s="42"/>
      <c r="H249" s="42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43"/>
      <c r="T249" s="43"/>
      <c r="U249" s="43"/>
      <c r="V249" s="43"/>
      <c r="W249" s="43"/>
      <c r="X249" s="43"/>
      <c r="Y249" s="43"/>
      <c r="Z249" s="43"/>
    </row>
    <row r="250" ht="15.75" customHeight="1">
      <c r="A250" s="53"/>
      <c r="B250" s="53"/>
      <c r="C250" s="53"/>
      <c r="D250" s="53"/>
      <c r="E250" s="42"/>
      <c r="F250" s="42"/>
      <c r="G250" s="42"/>
      <c r="H250" s="42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43"/>
      <c r="T250" s="43"/>
      <c r="U250" s="43"/>
      <c r="V250" s="43"/>
      <c r="W250" s="43"/>
      <c r="X250" s="43"/>
      <c r="Y250" s="43"/>
      <c r="Z250" s="43"/>
    </row>
    <row r="251" ht="15.75" customHeight="1">
      <c r="A251" s="53"/>
      <c r="B251" s="53"/>
      <c r="C251" s="53"/>
      <c r="D251" s="53"/>
      <c r="E251" s="42"/>
      <c r="F251" s="42"/>
      <c r="G251" s="42"/>
      <c r="H251" s="42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43"/>
      <c r="T251" s="43"/>
      <c r="U251" s="43"/>
      <c r="V251" s="43"/>
      <c r="W251" s="43"/>
      <c r="X251" s="43"/>
      <c r="Y251" s="43"/>
      <c r="Z251" s="43"/>
    </row>
    <row r="252" ht="15.75" customHeight="1">
      <c r="A252" s="53"/>
      <c r="B252" s="53"/>
      <c r="C252" s="53"/>
      <c r="D252" s="53"/>
      <c r="E252" s="42"/>
      <c r="F252" s="42"/>
      <c r="G252" s="42"/>
      <c r="H252" s="42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43"/>
      <c r="T252" s="43"/>
      <c r="U252" s="43"/>
      <c r="V252" s="43"/>
      <c r="W252" s="43"/>
      <c r="X252" s="43"/>
      <c r="Y252" s="43"/>
      <c r="Z252" s="43"/>
    </row>
    <row r="253" ht="15.75" customHeight="1">
      <c r="A253" s="53"/>
      <c r="B253" s="53"/>
      <c r="C253" s="53"/>
      <c r="D253" s="53"/>
      <c r="E253" s="42"/>
      <c r="F253" s="42"/>
      <c r="G253" s="42"/>
      <c r="H253" s="42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43"/>
      <c r="T253" s="43"/>
      <c r="U253" s="43"/>
      <c r="V253" s="43"/>
      <c r="W253" s="43"/>
      <c r="X253" s="43"/>
      <c r="Y253" s="43"/>
      <c r="Z253" s="43"/>
    </row>
    <row r="254" ht="15.75" customHeight="1">
      <c r="A254" s="53"/>
      <c r="B254" s="53"/>
      <c r="C254" s="53"/>
      <c r="D254" s="53"/>
      <c r="E254" s="42"/>
      <c r="F254" s="42"/>
      <c r="G254" s="42"/>
      <c r="H254" s="42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43"/>
      <c r="T254" s="43"/>
      <c r="U254" s="43"/>
      <c r="V254" s="43"/>
      <c r="W254" s="43"/>
      <c r="X254" s="43"/>
      <c r="Y254" s="43"/>
      <c r="Z254" s="43"/>
    </row>
    <row r="255" ht="15.75" customHeight="1">
      <c r="A255" s="53"/>
      <c r="B255" s="53"/>
      <c r="C255" s="53"/>
      <c r="D255" s="53"/>
      <c r="E255" s="42"/>
      <c r="F255" s="42"/>
      <c r="G255" s="42"/>
      <c r="H255" s="42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43"/>
      <c r="T255" s="43"/>
      <c r="U255" s="43"/>
      <c r="V255" s="43"/>
      <c r="W255" s="43"/>
      <c r="X255" s="43"/>
      <c r="Y255" s="43"/>
      <c r="Z255" s="43"/>
    </row>
    <row r="256" ht="15.75" customHeight="1">
      <c r="A256" s="53"/>
      <c r="B256" s="53"/>
      <c r="C256" s="53"/>
      <c r="D256" s="53"/>
      <c r="E256" s="42"/>
      <c r="F256" s="42"/>
      <c r="G256" s="42"/>
      <c r="H256" s="42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43"/>
      <c r="T256" s="43"/>
      <c r="U256" s="43"/>
      <c r="V256" s="43"/>
      <c r="W256" s="43"/>
      <c r="X256" s="43"/>
      <c r="Y256" s="43"/>
      <c r="Z256" s="43"/>
    </row>
    <row r="257" ht="15.75" customHeight="1">
      <c r="A257" s="53"/>
      <c r="B257" s="53"/>
      <c r="C257" s="53"/>
      <c r="D257" s="53"/>
      <c r="E257" s="42"/>
      <c r="F257" s="42"/>
      <c r="G257" s="42"/>
      <c r="H257" s="42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43"/>
      <c r="T257" s="43"/>
      <c r="U257" s="43"/>
      <c r="V257" s="43"/>
      <c r="W257" s="43"/>
      <c r="X257" s="43"/>
      <c r="Y257" s="43"/>
      <c r="Z257" s="43"/>
    </row>
    <row r="258" ht="15.75" customHeight="1">
      <c r="A258" s="53"/>
      <c r="B258" s="53"/>
      <c r="C258" s="53"/>
      <c r="D258" s="53"/>
      <c r="E258" s="42"/>
      <c r="F258" s="42"/>
      <c r="G258" s="42"/>
      <c r="H258" s="42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43"/>
      <c r="T258" s="43"/>
      <c r="U258" s="43"/>
      <c r="V258" s="43"/>
      <c r="W258" s="43"/>
      <c r="X258" s="43"/>
      <c r="Y258" s="43"/>
      <c r="Z258" s="43"/>
    </row>
    <row r="259" ht="15.75" customHeight="1">
      <c r="A259" s="53"/>
      <c r="B259" s="53"/>
      <c r="C259" s="53"/>
      <c r="D259" s="53"/>
      <c r="E259" s="42"/>
      <c r="F259" s="42"/>
      <c r="G259" s="42"/>
      <c r="H259" s="42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43"/>
      <c r="T259" s="43"/>
      <c r="U259" s="43"/>
      <c r="V259" s="43"/>
      <c r="W259" s="43"/>
      <c r="X259" s="43"/>
      <c r="Y259" s="43"/>
      <c r="Z259" s="43"/>
    </row>
    <row r="260" ht="15.75" customHeight="1">
      <c r="A260" s="53"/>
      <c r="B260" s="53"/>
      <c r="C260" s="53"/>
      <c r="D260" s="53"/>
      <c r="E260" s="42"/>
      <c r="F260" s="42"/>
      <c r="G260" s="42"/>
      <c r="H260" s="42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43"/>
      <c r="T260" s="43"/>
      <c r="U260" s="43"/>
      <c r="V260" s="43"/>
      <c r="W260" s="43"/>
      <c r="X260" s="43"/>
      <c r="Y260" s="43"/>
      <c r="Z260" s="43"/>
    </row>
    <row r="261" ht="15.75" customHeight="1">
      <c r="A261" s="53"/>
      <c r="B261" s="53"/>
      <c r="C261" s="53"/>
      <c r="D261" s="53"/>
      <c r="E261" s="42"/>
      <c r="F261" s="42"/>
      <c r="G261" s="42"/>
      <c r="H261" s="42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43"/>
      <c r="T261" s="43"/>
      <c r="U261" s="43"/>
      <c r="V261" s="43"/>
      <c r="W261" s="43"/>
      <c r="X261" s="43"/>
      <c r="Y261" s="43"/>
      <c r="Z261" s="43"/>
    </row>
    <row r="262" ht="15.75" customHeight="1">
      <c r="A262" s="53"/>
      <c r="B262" s="53"/>
      <c r="C262" s="53"/>
      <c r="D262" s="53"/>
      <c r="E262" s="42"/>
      <c r="F262" s="42"/>
      <c r="G262" s="42"/>
      <c r="H262" s="42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43"/>
      <c r="T262" s="43"/>
      <c r="U262" s="43"/>
      <c r="V262" s="43"/>
      <c r="W262" s="43"/>
      <c r="X262" s="43"/>
      <c r="Y262" s="43"/>
      <c r="Z262" s="43"/>
    </row>
    <row r="263" ht="15.75" customHeight="1">
      <c r="A263" s="53"/>
      <c r="B263" s="53"/>
      <c r="C263" s="53"/>
      <c r="D263" s="53"/>
      <c r="E263" s="42"/>
      <c r="F263" s="42"/>
      <c r="G263" s="42"/>
      <c r="H263" s="42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43"/>
      <c r="T263" s="43"/>
      <c r="U263" s="43"/>
      <c r="V263" s="43"/>
      <c r="W263" s="43"/>
      <c r="X263" s="43"/>
      <c r="Y263" s="43"/>
      <c r="Z263" s="43"/>
    </row>
    <row r="264" ht="15.75" customHeight="1">
      <c r="A264" s="53"/>
      <c r="B264" s="53"/>
      <c r="C264" s="53"/>
      <c r="D264" s="53"/>
      <c r="E264" s="42"/>
      <c r="F264" s="42"/>
      <c r="G264" s="42"/>
      <c r="H264" s="42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43"/>
      <c r="T264" s="43"/>
      <c r="U264" s="43"/>
      <c r="V264" s="43"/>
      <c r="W264" s="43"/>
      <c r="X264" s="43"/>
      <c r="Y264" s="43"/>
      <c r="Z264" s="43"/>
    </row>
    <row r="265" ht="15.75" customHeight="1">
      <c r="A265" s="53"/>
      <c r="B265" s="53"/>
      <c r="C265" s="53"/>
      <c r="D265" s="53"/>
      <c r="E265" s="42"/>
      <c r="F265" s="42"/>
      <c r="G265" s="42"/>
      <c r="H265" s="42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43"/>
      <c r="T265" s="43"/>
      <c r="U265" s="43"/>
      <c r="V265" s="43"/>
      <c r="W265" s="43"/>
      <c r="X265" s="43"/>
      <c r="Y265" s="43"/>
      <c r="Z265" s="43"/>
    </row>
    <row r="266" ht="15.75" customHeight="1">
      <c r="A266" s="53"/>
      <c r="B266" s="53"/>
      <c r="C266" s="53"/>
      <c r="D266" s="53"/>
      <c r="E266" s="42"/>
      <c r="F266" s="42"/>
      <c r="G266" s="42"/>
      <c r="H266" s="42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43"/>
      <c r="T266" s="43"/>
      <c r="U266" s="43"/>
      <c r="V266" s="43"/>
      <c r="W266" s="43"/>
      <c r="X266" s="43"/>
      <c r="Y266" s="43"/>
      <c r="Z266" s="43"/>
    </row>
    <row r="267" ht="15.75" customHeight="1">
      <c r="A267" s="53"/>
      <c r="B267" s="53"/>
      <c r="C267" s="53"/>
      <c r="D267" s="53"/>
      <c r="E267" s="42"/>
      <c r="F267" s="42"/>
      <c r="G267" s="42"/>
      <c r="H267" s="42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43"/>
      <c r="T267" s="43"/>
      <c r="U267" s="43"/>
      <c r="V267" s="43"/>
      <c r="W267" s="43"/>
      <c r="X267" s="43"/>
      <c r="Y267" s="43"/>
      <c r="Z267" s="43"/>
    </row>
    <row r="268" ht="15.75" customHeight="1">
      <c r="A268" s="53"/>
      <c r="B268" s="53"/>
      <c r="C268" s="53"/>
      <c r="D268" s="53"/>
      <c r="E268" s="42"/>
      <c r="F268" s="42"/>
      <c r="G268" s="42"/>
      <c r="H268" s="42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43"/>
      <c r="T268" s="43"/>
      <c r="U268" s="43"/>
      <c r="V268" s="43"/>
      <c r="W268" s="43"/>
      <c r="X268" s="43"/>
      <c r="Y268" s="43"/>
      <c r="Z268" s="43"/>
    </row>
    <row r="269" ht="15.75" customHeight="1">
      <c r="A269" s="53"/>
      <c r="B269" s="53"/>
      <c r="C269" s="53"/>
      <c r="D269" s="53"/>
      <c r="E269" s="42"/>
      <c r="F269" s="42"/>
      <c r="G269" s="42"/>
      <c r="H269" s="42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43"/>
      <c r="T269" s="43"/>
      <c r="U269" s="43"/>
      <c r="V269" s="43"/>
      <c r="W269" s="43"/>
      <c r="X269" s="43"/>
      <c r="Y269" s="43"/>
      <c r="Z269" s="43"/>
    </row>
    <row r="270" ht="15.75" customHeight="1">
      <c r="A270" s="53"/>
      <c r="B270" s="53"/>
      <c r="C270" s="53"/>
      <c r="D270" s="53"/>
      <c r="E270" s="42"/>
      <c r="F270" s="42"/>
      <c r="G270" s="42"/>
      <c r="H270" s="42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43"/>
      <c r="T270" s="43"/>
      <c r="U270" s="43"/>
      <c r="V270" s="43"/>
      <c r="W270" s="43"/>
      <c r="X270" s="43"/>
      <c r="Y270" s="43"/>
      <c r="Z270" s="43"/>
    </row>
    <row r="271" ht="15.75" customHeight="1">
      <c r="A271" s="53"/>
      <c r="B271" s="53"/>
      <c r="C271" s="53"/>
      <c r="D271" s="53"/>
      <c r="E271" s="42"/>
      <c r="F271" s="42"/>
      <c r="G271" s="42"/>
      <c r="H271" s="42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43"/>
      <c r="T271" s="43"/>
      <c r="U271" s="43"/>
      <c r="V271" s="43"/>
      <c r="W271" s="43"/>
      <c r="X271" s="43"/>
      <c r="Y271" s="43"/>
      <c r="Z271" s="43"/>
    </row>
    <row r="272" ht="15.75" customHeight="1">
      <c r="A272" s="53"/>
      <c r="B272" s="53"/>
      <c r="C272" s="53"/>
      <c r="D272" s="53"/>
      <c r="E272" s="42"/>
      <c r="F272" s="42"/>
      <c r="G272" s="42"/>
      <c r="H272" s="42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43"/>
      <c r="T272" s="43"/>
      <c r="U272" s="43"/>
      <c r="V272" s="43"/>
      <c r="W272" s="43"/>
      <c r="X272" s="43"/>
      <c r="Y272" s="43"/>
      <c r="Z272" s="43"/>
    </row>
    <row r="273" ht="15.75" customHeight="1">
      <c r="A273" s="53"/>
      <c r="B273" s="53"/>
      <c r="C273" s="53"/>
      <c r="D273" s="53"/>
      <c r="E273" s="42"/>
      <c r="F273" s="42"/>
      <c r="G273" s="42"/>
      <c r="H273" s="42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43"/>
      <c r="T273" s="43"/>
      <c r="U273" s="43"/>
      <c r="V273" s="43"/>
      <c r="W273" s="43"/>
      <c r="X273" s="43"/>
      <c r="Y273" s="43"/>
      <c r="Z273" s="43"/>
    </row>
    <row r="274" ht="15.75" customHeight="1">
      <c r="A274" s="53"/>
      <c r="B274" s="53"/>
      <c r="C274" s="53"/>
      <c r="D274" s="53"/>
      <c r="E274" s="42"/>
      <c r="F274" s="42"/>
      <c r="G274" s="42"/>
      <c r="H274" s="42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43"/>
      <c r="T274" s="43"/>
      <c r="U274" s="43"/>
      <c r="V274" s="43"/>
      <c r="W274" s="43"/>
      <c r="X274" s="43"/>
      <c r="Y274" s="43"/>
      <c r="Z274" s="43"/>
    </row>
    <row r="275" ht="15.75" customHeight="1">
      <c r="A275" s="53"/>
      <c r="B275" s="53"/>
      <c r="C275" s="53"/>
      <c r="D275" s="53"/>
      <c r="E275" s="42"/>
      <c r="F275" s="42"/>
      <c r="G275" s="42"/>
      <c r="H275" s="42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43"/>
      <c r="T275" s="43"/>
      <c r="U275" s="43"/>
      <c r="V275" s="43"/>
      <c r="W275" s="43"/>
      <c r="X275" s="43"/>
      <c r="Y275" s="43"/>
      <c r="Z275" s="43"/>
    </row>
    <row r="276" ht="15.75" customHeight="1">
      <c r="A276" s="53"/>
      <c r="B276" s="53"/>
      <c r="C276" s="53"/>
      <c r="D276" s="53"/>
      <c r="E276" s="42"/>
      <c r="F276" s="42"/>
      <c r="G276" s="42"/>
      <c r="H276" s="42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43"/>
      <c r="T276" s="43"/>
      <c r="U276" s="43"/>
      <c r="V276" s="43"/>
      <c r="W276" s="43"/>
      <c r="X276" s="43"/>
      <c r="Y276" s="43"/>
      <c r="Z276" s="43"/>
    </row>
    <row r="277" ht="15.75" customHeight="1">
      <c r="A277" s="53"/>
      <c r="B277" s="53"/>
      <c r="C277" s="53"/>
      <c r="D277" s="53"/>
      <c r="E277" s="42"/>
      <c r="F277" s="42"/>
      <c r="G277" s="42"/>
      <c r="H277" s="42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43"/>
      <c r="T277" s="43"/>
      <c r="U277" s="43"/>
      <c r="V277" s="43"/>
      <c r="W277" s="43"/>
      <c r="X277" s="43"/>
      <c r="Y277" s="43"/>
      <c r="Z277" s="43"/>
    </row>
    <row r="278" ht="15.75" customHeight="1">
      <c r="A278" s="53"/>
      <c r="B278" s="53"/>
      <c r="C278" s="53"/>
      <c r="D278" s="53"/>
      <c r="E278" s="42"/>
      <c r="F278" s="42"/>
      <c r="G278" s="42"/>
      <c r="H278" s="42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43"/>
      <c r="T278" s="43"/>
      <c r="U278" s="43"/>
      <c r="V278" s="43"/>
      <c r="W278" s="43"/>
      <c r="X278" s="43"/>
      <c r="Y278" s="43"/>
      <c r="Z278" s="43"/>
    </row>
    <row r="279" ht="15.75" customHeight="1">
      <c r="A279" s="53"/>
      <c r="B279" s="53"/>
      <c r="C279" s="53"/>
      <c r="D279" s="53"/>
      <c r="E279" s="42"/>
      <c r="F279" s="42"/>
      <c r="G279" s="42"/>
      <c r="H279" s="42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43"/>
      <c r="T279" s="43"/>
      <c r="U279" s="43"/>
      <c r="V279" s="43"/>
      <c r="W279" s="43"/>
      <c r="X279" s="43"/>
      <c r="Y279" s="43"/>
      <c r="Z279" s="43"/>
    </row>
    <row r="280" ht="15.75" customHeight="1">
      <c r="A280" s="53"/>
      <c r="B280" s="53"/>
      <c r="C280" s="53"/>
      <c r="D280" s="53"/>
      <c r="E280" s="42"/>
      <c r="F280" s="42"/>
      <c r="G280" s="42"/>
      <c r="H280" s="42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43"/>
      <c r="T280" s="43"/>
      <c r="U280" s="43"/>
      <c r="V280" s="43"/>
      <c r="W280" s="43"/>
      <c r="X280" s="43"/>
      <c r="Y280" s="43"/>
      <c r="Z280" s="43"/>
    </row>
    <row r="281" ht="15.75" customHeight="1">
      <c r="A281" s="53"/>
      <c r="B281" s="53"/>
      <c r="C281" s="53"/>
      <c r="D281" s="53"/>
      <c r="E281" s="42"/>
      <c r="F281" s="42"/>
      <c r="G281" s="42"/>
      <c r="H281" s="42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43"/>
      <c r="T281" s="43"/>
      <c r="U281" s="43"/>
      <c r="V281" s="43"/>
      <c r="W281" s="43"/>
      <c r="X281" s="43"/>
      <c r="Y281" s="43"/>
      <c r="Z281" s="43"/>
    </row>
    <row r="282" ht="15.75" customHeight="1">
      <c r="A282" s="53"/>
      <c r="B282" s="53"/>
      <c r="C282" s="53"/>
      <c r="D282" s="53"/>
      <c r="E282" s="42"/>
      <c r="F282" s="42"/>
      <c r="G282" s="42"/>
      <c r="H282" s="42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43"/>
      <c r="T282" s="43"/>
      <c r="U282" s="43"/>
      <c r="V282" s="43"/>
      <c r="W282" s="43"/>
      <c r="X282" s="43"/>
      <c r="Y282" s="43"/>
      <c r="Z282" s="43"/>
    </row>
    <row r="283" ht="15.75" customHeight="1">
      <c r="A283" s="53"/>
      <c r="B283" s="53"/>
      <c r="C283" s="53"/>
      <c r="D283" s="53"/>
      <c r="E283" s="42"/>
      <c r="F283" s="42"/>
      <c r="G283" s="42"/>
      <c r="H283" s="42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43"/>
      <c r="T283" s="43"/>
      <c r="U283" s="43"/>
      <c r="V283" s="43"/>
      <c r="W283" s="43"/>
      <c r="X283" s="43"/>
      <c r="Y283" s="43"/>
      <c r="Z283" s="43"/>
    </row>
    <row r="284" ht="15.75" customHeight="1">
      <c r="A284" s="53"/>
      <c r="B284" s="53"/>
      <c r="C284" s="53"/>
      <c r="D284" s="53"/>
      <c r="E284" s="42"/>
      <c r="F284" s="42"/>
      <c r="G284" s="42"/>
      <c r="H284" s="42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43"/>
      <c r="T284" s="43"/>
      <c r="U284" s="43"/>
      <c r="V284" s="43"/>
      <c r="W284" s="43"/>
      <c r="X284" s="43"/>
      <c r="Y284" s="43"/>
      <c r="Z284" s="43"/>
    </row>
    <row r="285" ht="15.75" customHeight="1">
      <c r="A285" s="53"/>
      <c r="B285" s="53"/>
      <c r="C285" s="53"/>
      <c r="D285" s="53"/>
      <c r="E285" s="42"/>
      <c r="F285" s="42"/>
      <c r="G285" s="42"/>
      <c r="H285" s="42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43"/>
      <c r="T285" s="43"/>
      <c r="U285" s="43"/>
      <c r="V285" s="43"/>
      <c r="W285" s="43"/>
      <c r="X285" s="43"/>
      <c r="Y285" s="43"/>
      <c r="Z285" s="43"/>
    </row>
    <row r="286" ht="15.75" customHeight="1">
      <c r="A286" s="53"/>
      <c r="B286" s="53"/>
      <c r="C286" s="53"/>
      <c r="D286" s="53"/>
      <c r="E286" s="42"/>
      <c r="F286" s="42"/>
      <c r="G286" s="42"/>
      <c r="H286" s="42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43"/>
      <c r="T286" s="43"/>
      <c r="U286" s="43"/>
      <c r="V286" s="43"/>
      <c r="W286" s="43"/>
      <c r="X286" s="43"/>
      <c r="Y286" s="43"/>
      <c r="Z286" s="43"/>
    </row>
    <row r="287" ht="15.75" customHeight="1">
      <c r="A287" s="53"/>
      <c r="B287" s="53"/>
      <c r="C287" s="53"/>
      <c r="D287" s="53"/>
      <c r="E287" s="42"/>
      <c r="F287" s="42"/>
      <c r="G287" s="42"/>
      <c r="H287" s="42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43"/>
      <c r="T287" s="43"/>
      <c r="U287" s="43"/>
      <c r="V287" s="43"/>
      <c r="W287" s="43"/>
      <c r="X287" s="43"/>
      <c r="Y287" s="43"/>
      <c r="Z287" s="43"/>
    </row>
    <row r="288" ht="15.75" customHeight="1">
      <c r="A288" s="53"/>
      <c r="B288" s="53"/>
      <c r="C288" s="53"/>
      <c r="D288" s="53"/>
      <c r="E288" s="42"/>
      <c r="F288" s="42"/>
      <c r="G288" s="42"/>
      <c r="H288" s="42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43"/>
      <c r="T288" s="43"/>
      <c r="U288" s="43"/>
      <c r="V288" s="43"/>
      <c r="W288" s="43"/>
      <c r="X288" s="43"/>
      <c r="Y288" s="43"/>
      <c r="Z288" s="43"/>
    </row>
    <row r="289" ht="15.75" customHeight="1">
      <c r="A289" s="53"/>
      <c r="B289" s="53"/>
      <c r="C289" s="53"/>
      <c r="D289" s="53"/>
      <c r="E289" s="42"/>
      <c r="F289" s="42"/>
      <c r="G289" s="42"/>
      <c r="H289" s="42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43"/>
      <c r="T289" s="43"/>
      <c r="U289" s="43"/>
      <c r="V289" s="43"/>
      <c r="W289" s="43"/>
      <c r="X289" s="43"/>
      <c r="Y289" s="43"/>
      <c r="Z289" s="43"/>
    </row>
    <row r="290" ht="15.75" customHeight="1">
      <c r="A290" s="53"/>
      <c r="B290" s="53"/>
      <c r="C290" s="53"/>
      <c r="D290" s="53"/>
      <c r="E290" s="42"/>
      <c r="F290" s="42"/>
      <c r="G290" s="42"/>
      <c r="H290" s="42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43"/>
      <c r="T290" s="43"/>
      <c r="U290" s="43"/>
      <c r="V290" s="43"/>
      <c r="W290" s="43"/>
      <c r="X290" s="43"/>
      <c r="Y290" s="43"/>
      <c r="Z290" s="43"/>
    </row>
    <row r="291" ht="15.75" customHeight="1">
      <c r="A291" s="53"/>
      <c r="B291" s="53"/>
      <c r="C291" s="53"/>
      <c r="D291" s="53"/>
      <c r="E291" s="42"/>
      <c r="F291" s="42"/>
      <c r="G291" s="42"/>
      <c r="H291" s="42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43"/>
      <c r="T291" s="43"/>
      <c r="U291" s="43"/>
      <c r="V291" s="43"/>
      <c r="W291" s="43"/>
      <c r="X291" s="43"/>
      <c r="Y291" s="43"/>
      <c r="Z291" s="43"/>
    </row>
    <row r="292" ht="15.75" customHeight="1">
      <c r="A292" s="53"/>
      <c r="B292" s="53"/>
      <c r="C292" s="53"/>
      <c r="D292" s="53"/>
      <c r="E292" s="42"/>
      <c r="F292" s="42"/>
      <c r="G292" s="42"/>
      <c r="H292" s="42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43"/>
      <c r="T292" s="43"/>
      <c r="U292" s="43"/>
      <c r="V292" s="43"/>
      <c r="W292" s="43"/>
      <c r="X292" s="43"/>
      <c r="Y292" s="43"/>
      <c r="Z292" s="43"/>
    </row>
    <row r="293" ht="15.75" customHeight="1">
      <c r="A293" s="53"/>
      <c r="B293" s="53"/>
      <c r="C293" s="53"/>
      <c r="D293" s="53"/>
      <c r="E293" s="42"/>
      <c r="F293" s="42"/>
      <c r="G293" s="42"/>
      <c r="H293" s="42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43"/>
      <c r="T293" s="43"/>
      <c r="U293" s="43"/>
      <c r="V293" s="43"/>
      <c r="W293" s="43"/>
      <c r="X293" s="43"/>
      <c r="Y293" s="43"/>
      <c r="Z293" s="43"/>
    </row>
    <row r="294" ht="15.75" customHeight="1">
      <c r="A294" s="53"/>
      <c r="B294" s="53"/>
      <c r="C294" s="53"/>
      <c r="D294" s="53"/>
      <c r="E294" s="42"/>
      <c r="F294" s="42"/>
      <c r="G294" s="42"/>
      <c r="H294" s="42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43"/>
      <c r="T294" s="43"/>
      <c r="U294" s="43"/>
      <c r="V294" s="43"/>
      <c r="W294" s="43"/>
      <c r="X294" s="43"/>
      <c r="Y294" s="43"/>
      <c r="Z294" s="43"/>
    </row>
    <row r="295" ht="15.75" customHeight="1">
      <c r="A295" s="53"/>
      <c r="B295" s="53"/>
      <c r="C295" s="53"/>
      <c r="D295" s="53"/>
      <c r="E295" s="42"/>
      <c r="F295" s="42"/>
      <c r="G295" s="42"/>
      <c r="H295" s="42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43"/>
      <c r="T295" s="43"/>
      <c r="U295" s="43"/>
      <c r="V295" s="43"/>
      <c r="W295" s="43"/>
      <c r="X295" s="43"/>
      <c r="Y295" s="43"/>
      <c r="Z295" s="43"/>
    </row>
    <row r="296" ht="15.75" customHeight="1">
      <c r="A296" s="53"/>
      <c r="B296" s="53"/>
      <c r="C296" s="53"/>
      <c r="D296" s="53"/>
      <c r="E296" s="42"/>
      <c r="F296" s="42"/>
      <c r="G296" s="42"/>
      <c r="H296" s="42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43"/>
      <c r="T296" s="43"/>
      <c r="U296" s="43"/>
      <c r="V296" s="43"/>
      <c r="W296" s="43"/>
      <c r="X296" s="43"/>
      <c r="Y296" s="43"/>
      <c r="Z296" s="43"/>
    </row>
    <row r="297" ht="15.75" customHeight="1">
      <c r="A297" s="53"/>
      <c r="B297" s="53"/>
      <c r="C297" s="53"/>
      <c r="D297" s="53"/>
      <c r="E297" s="42"/>
      <c r="F297" s="42"/>
      <c r="G297" s="42"/>
      <c r="H297" s="42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43"/>
      <c r="T297" s="43"/>
      <c r="U297" s="43"/>
      <c r="V297" s="43"/>
      <c r="W297" s="43"/>
      <c r="X297" s="43"/>
      <c r="Y297" s="43"/>
      <c r="Z297" s="43"/>
    </row>
    <row r="298" ht="15.75" customHeight="1">
      <c r="A298" s="53"/>
      <c r="B298" s="53"/>
      <c r="C298" s="53"/>
      <c r="D298" s="53"/>
      <c r="E298" s="42"/>
      <c r="F298" s="42"/>
      <c r="G298" s="42"/>
      <c r="H298" s="42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43"/>
      <c r="T298" s="43"/>
      <c r="U298" s="43"/>
      <c r="V298" s="43"/>
      <c r="W298" s="43"/>
      <c r="X298" s="43"/>
      <c r="Y298" s="43"/>
      <c r="Z298" s="43"/>
    </row>
    <row r="299" ht="15.75" customHeight="1">
      <c r="A299" s="53"/>
      <c r="B299" s="53"/>
      <c r="C299" s="53"/>
      <c r="D299" s="53"/>
      <c r="E299" s="42"/>
      <c r="F299" s="42"/>
      <c r="G299" s="42"/>
      <c r="H299" s="42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43"/>
      <c r="T299" s="43"/>
      <c r="U299" s="43"/>
      <c r="V299" s="43"/>
      <c r="W299" s="43"/>
      <c r="X299" s="43"/>
      <c r="Y299" s="43"/>
      <c r="Z299" s="43"/>
    </row>
    <row r="300" ht="15.75" customHeight="1">
      <c r="A300" s="53"/>
      <c r="B300" s="53"/>
      <c r="C300" s="53"/>
      <c r="D300" s="53"/>
      <c r="E300" s="42"/>
      <c r="F300" s="42"/>
      <c r="G300" s="42"/>
      <c r="H300" s="42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43"/>
      <c r="T300" s="43"/>
      <c r="U300" s="43"/>
      <c r="V300" s="43"/>
      <c r="W300" s="43"/>
      <c r="X300" s="43"/>
      <c r="Y300" s="43"/>
      <c r="Z300" s="43"/>
    </row>
    <row r="301" ht="15.75" customHeight="1">
      <c r="A301" s="53"/>
      <c r="B301" s="53"/>
      <c r="C301" s="53"/>
      <c r="D301" s="53"/>
      <c r="E301" s="42"/>
      <c r="F301" s="42"/>
      <c r="G301" s="42"/>
      <c r="H301" s="42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43"/>
      <c r="T301" s="43"/>
      <c r="U301" s="43"/>
      <c r="V301" s="43"/>
      <c r="W301" s="43"/>
      <c r="X301" s="43"/>
      <c r="Y301" s="43"/>
      <c r="Z301" s="43"/>
    </row>
    <row r="302" ht="15.75" customHeight="1">
      <c r="A302" s="53"/>
      <c r="B302" s="53"/>
      <c r="C302" s="53"/>
      <c r="D302" s="53"/>
      <c r="E302" s="42"/>
      <c r="F302" s="42"/>
      <c r="G302" s="42"/>
      <c r="H302" s="42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43"/>
      <c r="T302" s="43"/>
      <c r="U302" s="43"/>
      <c r="V302" s="43"/>
      <c r="W302" s="43"/>
      <c r="X302" s="43"/>
      <c r="Y302" s="43"/>
      <c r="Z302" s="43"/>
    </row>
    <row r="303" ht="15.75" customHeight="1">
      <c r="A303" s="53"/>
      <c r="B303" s="53"/>
      <c r="C303" s="53"/>
      <c r="D303" s="53"/>
      <c r="E303" s="42"/>
      <c r="F303" s="42"/>
      <c r="G303" s="42"/>
      <c r="H303" s="42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43"/>
      <c r="T303" s="43"/>
      <c r="U303" s="43"/>
      <c r="V303" s="43"/>
      <c r="W303" s="43"/>
      <c r="X303" s="43"/>
      <c r="Y303" s="43"/>
      <c r="Z303" s="43"/>
    </row>
    <row r="304" ht="15.75" customHeight="1">
      <c r="A304" s="53"/>
      <c r="B304" s="53"/>
      <c r="C304" s="53"/>
      <c r="D304" s="53"/>
      <c r="E304" s="42"/>
      <c r="F304" s="42"/>
      <c r="G304" s="42"/>
      <c r="H304" s="42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43"/>
      <c r="T304" s="43"/>
      <c r="U304" s="43"/>
      <c r="V304" s="43"/>
      <c r="W304" s="43"/>
      <c r="X304" s="43"/>
      <c r="Y304" s="43"/>
      <c r="Z304" s="43"/>
    </row>
    <row r="305" ht="15.75" customHeight="1">
      <c r="A305" s="53"/>
      <c r="B305" s="53"/>
      <c r="C305" s="53"/>
      <c r="D305" s="53"/>
      <c r="E305" s="42"/>
      <c r="F305" s="42"/>
      <c r="G305" s="42"/>
      <c r="H305" s="42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43"/>
      <c r="T305" s="43"/>
      <c r="U305" s="43"/>
      <c r="V305" s="43"/>
      <c r="W305" s="43"/>
      <c r="X305" s="43"/>
      <c r="Y305" s="43"/>
      <c r="Z305" s="43"/>
    </row>
    <row r="306" ht="15.75" customHeight="1">
      <c r="A306" s="53"/>
      <c r="B306" s="53"/>
      <c r="C306" s="53"/>
      <c r="D306" s="53"/>
      <c r="E306" s="42"/>
      <c r="F306" s="42"/>
      <c r="G306" s="42"/>
      <c r="H306" s="42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43"/>
      <c r="T306" s="43"/>
      <c r="U306" s="43"/>
      <c r="V306" s="43"/>
      <c r="W306" s="43"/>
      <c r="X306" s="43"/>
      <c r="Y306" s="43"/>
      <c r="Z306" s="43"/>
    </row>
    <row r="307" ht="15.75" customHeight="1">
      <c r="A307" s="53"/>
      <c r="B307" s="53"/>
      <c r="C307" s="53"/>
      <c r="D307" s="53"/>
      <c r="E307" s="42"/>
      <c r="F307" s="42"/>
      <c r="G307" s="42"/>
      <c r="H307" s="42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43"/>
      <c r="T307" s="43"/>
      <c r="U307" s="43"/>
      <c r="V307" s="43"/>
      <c r="W307" s="43"/>
      <c r="X307" s="43"/>
      <c r="Y307" s="43"/>
      <c r="Z307" s="43"/>
    </row>
    <row r="308" ht="15.75" customHeight="1">
      <c r="A308" s="53"/>
      <c r="B308" s="53"/>
      <c r="C308" s="53"/>
      <c r="D308" s="53"/>
      <c r="E308" s="42"/>
      <c r="F308" s="42"/>
      <c r="G308" s="42"/>
      <c r="H308" s="42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43"/>
      <c r="T308" s="43"/>
      <c r="U308" s="43"/>
      <c r="V308" s="43"/>
      <c r="W308" s="43"/>
      <c r="X308" s="43"/>
      <c r="Y308" s="43"/>
      <c r="Z308" s="43"/>
    </row>
    <row r="309" ht="15.75" customHeight="1">
      <c r="A309" s="53"/>
      <c r="B309" s="53"/>
      <c r="C309" s="53"/>
      <c r="D309" s="53"/>
      <c r="E309" s="42"/>
      <c r="F309" s="42"/>
      <c r="G309" s="42"/>
      <c r="H309" s="42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43"/>
      <c r="T309" s="43"/>
      <c r="U309" s="43"/>
      <c r="V309" s="43"/>
      <c r="W309" s="43"/>
      <c r="X309" s="43"/>
      <c r="Y309" s="43"/>
      <c r="Z309" s="43"/>
    </row>
    <row r="310" ht="15.75" customHeight="1">
      <c r="A310" s="53"/>
      <c r="B310" s="53"/>
      <c r="C310" s="53"/>
      <c r="D310" s="53"/>
      <c r="E310" s="42"/>
      <c r="F310" s="42"/>
      <c r="G310" s="42"/>
      <c r="H310" s="42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43"/>
      <c r="T310" s="43"/>
      <c r="U310" s="43"/>
      <c r="V310" s="43"/>
      <c r="W310" s="43"/>
      <c r="X310" s="43"/>
      <c r="Y310" s="43"/>
      <c r="Z310" s="43"/>
    </row>
    <row r="311" ht="15.75" customHeight="1">
      <c r="A311" s="53"/>
      <c r="B311" s="53"/>
      <c r="C311" s="53"/>
      <c r="D311" s="53"/>
      <c r="E311" s="42"/>
      <c r="F311" s="42"/>
      <c r="G311" s="42"/>
      <c r="H311" s="42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43"/>
      <c r="T311" s="43"/>
      <c r="U311" s="43"/>
      <c r="V311" s="43"/>
      <c r="W311" s="43"/>
      <c r="X311" s="43"/>
      <c r="Y311" s="43"/>
      <c r="Z311" s="43"/>
    </row>
    <row r="312" ht="15.75" customHeight="1">
      <c r="A312" s="53"/>
      <c r="B312" s="53"/>
      <c r="C312" s="53"/>
      <c r="D312" s="53"/>
      <c r="E312" s="42"/>
      <c r="F312" s="42"/>
      <c r="G312" s="42"/>
      <c r="H312" s="42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43"/>
      <c r="T312" s="43"/>
      <c r="U312" s="43"/>
      <c r="V312" s="43"/>
      <c r="W312" s="43"/>
      <c r="X312" s="43"/>
      <c r="Y312" s="43"/>
      <c r="Z312" s="43"/>
    </row>
    <row r="313" ht="15.75" customHeight="1">
      <c r="A313" s="53"/>
      <c r="B313" s="53"/>
      <c r="C313" s="53"/>
      <c r="D313" s="53"/>
      <c r="E313" s="42"/>
      <c r="F313" s="42"/>
      <c r="G313" s="42"/>
      <c r="H313" s="42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43"/>
      <c r="T313" s="43"/>
      <c r="U313" s="43"/>
      <c r="V313" s="43"/>
      <c r="W313" s="43"/>
      <c r="X313" s="43"/>
      <c r="Y313" s="43"/>
      <c r="Z313" s="43"/>
    </row>
    <row r="314" ht="15.75" customHeight="1">
      <c r="A314" s="53"/>
      <c r="B314" s="53"/>
      <c r="C314" s="53"/>
      <c r="D314" s="53"/>
      <c r="E314" s="42"/>
      <c r="F314" s="42"/>
      <c r="G314" s="42"/>
      <c r="H314" s="42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43"/>
      <c r="T314" s="43"/>
      <c r="U314" s="43"/>
      <c r="V314" s="43"/>
      <c r="W314" s="43"/>
      <c r="X314" s="43"/>
      <c r="Y314" s="43"/>
      <c r="Z314" s="43"/>
    </row>
    <row r="315" ht="15.75" customHeight="1">
      <c r="A315" s="53"/>
      <c r="B315" s="53"/>
      <c r="C315" s="53"/>
      <c r="D315" s="53"/>
      <c r="E315" s="42"/>
      <c r="F315" s="42"/>
      <c r="G315" s="42"/>
      <c r="H315" s="42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43"/>
      <c r="T315" s="43"/>
      <c r="U315" s="43"/>
      <c r="V315" s="43"/>
      <c r="W315" s="43"/>
      <c r="X315" s="43"/>
      <c r="Y315" s="43"/>
      <c r="Z315" s="43"/>
    </row>
    <row r="316" ht="15.75" customHeight="1">
      <c r="A316" s="53"/>
      <c r="B316" s="53"/>
      <c r="C316" s="53"/>
      <c r="D316" s="53"/>
      <c r="E316" s="42"/>
      <c r="F316" s="42"/>
      <c r="G316" s="42"/>
      <c r="H316" s="42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43"/>
      <c r="T316" s="43"/>
      <c r="U316" s="43"/>
      <c r="V316" s="43"/>
      <c r="W316" s="43"/>
      <c r="X316" s="43"/>
      <c r="Y316" s="43"/>
      <c r="Z316" s="43"/>
    </row>
    <row r="317" ht="15.75" customHeight="1">
      <c r="A317" s="53"/>
      <c r="B317" s="53"/>
      <c r="C317" s="53"/>
      <c r="D317" s="53"/>
      <c r="E317" s="42"/>
      <c r="F317" s="42"/>
      <c r="G317" s="42"/>
      <c r="H317" s="42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43"/>
      <c r="T317" s="43"/>
      <c r="U317" s="43"/>
      <c r="V317" s="43"/>
      <c r="W317" s="43"/>
      <c r="X317" s="43"/>
      <c r="Y317" s="43"/>
      <c r="Z317" s="43"/>
    </row>
    <row r="318" ht="15.75" customHeight="1">
      <c r="A318" s="53"/>
      <c r="B318" s="53"/>
      <c r="C318" s="53"/>
      <c r="D318" s="53"/>
      <c r="E318" s="42"/>
      <c r="F318" s="42"/>
      <c r="G318" s="42"/>
      <c r="H318" s="42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43"/>
      <c r="T318" s="43"/>
      <c r="U318" s="43"/>
      <c r="V318" s="43"/>
      <c r="W318" s="43"/>
      <c r="X318" s="43"/>
      <c r="Y318" s="43"/>
      <c r="Z318" s="43"/>
    </row>
    <row r="319" ht="15.75" customHeight="1">
      <c r="A319" s="53"/>
      <c r="B319" s="53"/>
      <c r="C319" s="53"/>
      <c r="D319" s="53"/>
      <c r="E319" s="42"/>
      <c r="F319" s="42"/>
      <c r="G319" s="42"/>
      <c r="H319" s="42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43"/>
      <c r="T319" s="43"/>
      <c r="U319" s="43"/>
      <c r="V319" s="43"/>
      <c r="W319" s="43"/>
      <c r="X319" s="43"/>
      <c r="Y319" s="43"/>
      <c r="Z319" s="43"/>
    </row>
    <row r="320" ht="15.75" customHeight="1">
      <c r="A320" s="53"/>
      <c r="B320" s="53"/>
      <c r="C320" s="53"/>
      <c r="D320" s="53"/>
      <c r="E320" s="42"/>
      <c r="F320" s="42"/>
      <c r="G320" s="42"/>
      <c r="H320" s="42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43"/>
      <c r="T320" s="43"/>
      <c r="U320" s="43"/>
      <c r="V320" s="43"/>
      <c r="W320" s="43"/>
      <c r="X320" s="43"/>
      <c r="Y320" s="43"/>
      <c r="Z320" s="43"/>
    </row>
    <row r="321" ht="15.75" customHeight="1">
      <c r="A321" s="53"/>
      <c r="B321" s="53"/>
      <c r="C321" s="53"/>
      <c r="D321" s="53"/>
      <c r="E321" s="42"/>
      <c r="F321" s="42"/>
      <c r="G321" s="42"/>
      <c r="H321" s="42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43"/>
      <c r="T321" s="43"/>
      <c r="U321" s="43"/>
      <c r="V321" s="43"/>
      <c r="W321" s="43"/>
      <c r="X321" s="43"/>
      <c r="Y321" s="43"/>
      <c r="Z321" s="43"/>
    </row>
    <row r="322" ht="15.75" customHeight="1">
      <c r="A322" s="53"/>
      <c r="B322" s="53"/>
      <c r="C322" s="53"/>
      <c r="D322" s="53"/>
      <c r="E322" s="42"/>
      <c r="F322" s="42"/>
      <c r="G322" s="42"/>
      <c r="H322" s="42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43"/>
      <c r="T322" s="43"/>
      <c r="U322" s="43"/>
      <c r="V322" s="43"/>
      <c r="W322" s="43"/>
      <c r="X322" s="43"/>
      <c r="Y322" s="43"/>
      <c r="Z322" s="43"/>
    </row>
    <row r="323" ht="15.75" customHeight="1">
      <c r="A323" s="53"/>
      <c r="B323" s="53"/>
      <c r="C323" s="53"/>
      <c r="D323" s="53"/>
      <c r="E323" s="42"/>
      <c r="F323" s="42"/>
      <c r="G323" s="42"/>
      <c r="H323" s="42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43"/>
      <c r="T323" s="43"/>
      <c r="U323" s="43"/>
      <c r="V323" s="43"/>
      <c r="W323" s="43"/>
      <c r="X323" s="43"/>
      <c r="Y323" s="43"/>
      <c r="Z323" s="43"/>
    </row>
    <row r="324" ht="15.75" customHeight="1">
      <c r="A324" s="53"/>
      <c r="B324" s="53"/>
      <c r="C324" s="53"/>
      <c r="D324" s="53"/>
      <c r="E324" s="42"/>
      <c r="F324" s="42"/>
      <c r="G324" s="42"/>
      <c r="H324" s="42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43"/>
      <c r="T324" s="43"/>
      <c r="U324" s="43"/>
      <c r="V324" s="43"/>
      <c r="W324" s="43"/>
      <c r="X324" s="43"/>
      <c r="Y324" s="43"/>
      <c r="Z324" s="43"/>
    </row>
    <row r="325" ht="15.75" customHeight="1">
      <c r="A325" s="53"/>
      <c r="B325" s="53"/>
      <c r="C325" s="53"/>
      <c r="D325" s="53"/>
      <c r="E325" s="42"/>
      <c r="F325" s="42"/>
      <c r="G325" s="42"/>
      <c r="H325" s="42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43"/>
      <c r="T325" s="43"/>
      <c r="U325" s="43"/>
      <c r="V325" s="43"/>
      <c r="W325" s="43"/>
      <c r="X325" s="43"/>
      <c r="Y325" s="43"/>
      <c r="Z325" s="43"/>
    </row>
    <row r="326" ht="15.75" customHeight="1">
      <c r="A326" s="53"/>
      <c r="B326" s="53"/>
      <c r="C326" s="53"/>
      <c r="D326" s="53"/>
      <c r="E326" s="42"/>
      <c r="F326" s="42"/>
      <c r="G326" s="42"/>
      <c r="H326" s="42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43"/>
      <c r="T326" s="43"/>
      <c r="U326" s="43"/>
      <c r="V326" s="43"/>
      <c r="W326" s="43"/>
      <c r="X326" s="43"/>
      <c r="Y326" s="43"/>
      <c r="Z326" s="43"/>
    </row>
    <row r="327" ht="15.75" customHeight="1">
      <c r="A327" s="53"/>
      <c r="B327" s="53"/>
      <c r="C327" s="53"/>
      <c r="D327" s="53"/>
      <c r="E327" s="42"/>
      <c r="F327" s="42"/>
      <c r="G327" s="42"/>
      <c r="H327" s="42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43"/>
      <c r="T327" s="43"/>
      <c r="U327" s="43"/>
      <c r="V327" s="43"/>
      <c r="W327" s="43"/>
      <c r="X327" s="43"/>
      <c r="Y327" s="43"/>
      <c r="Z327" s="43"/>
    </row>
    <row r="328" ht="15.75" customHeight="1">
      <c r="A328" s="53"/>
      <c r="B328" s="53"/>
      <c r="C328" s="53"/>
      <c r="D328" s="53"/>
      <c r="E328" s="42"/>
      <c r="F328" s="42"/>
      <c r="G328" s="42"/>
      <c r="H328" s="42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43"/>
      <c r="T328" s="43"/>
      <c r="U328" s="43"/>
      <c r="V328" s="43"/>
      <c r="W328" s="43"/>
      <c r="X328" s="43"/>
      <c r="Y328" s="43"/>
      <c r="Z328" s="43"/>
    </row>
    <row r="329" ht="15.75" customHeight="1">
      <c r="A329" s="53"/>
      <c r="B329" s="53"/>
      <c r="C329" s="53"/>
      <c r="D329" s="53"/>
      <c r="E329" s="42"/>
      <c r="F329" s="42"/>
      <c r="G329" s="42"/>
      <c r="H329" s="42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43"/>
      <c r="T329" s="43"/>
      <c r="U329" s="43"/>
      <c r="V329" s="43"/>
      <c r="W329" s="43"/>
      <c r="X329" s="43"/>
      <c r="Y329" s="43"/>
      <c r="Z329" s="43"/>
    </row>
    <row r="330" ht="15.75" customHeight="1">
      <c r="A330" s="53"/>
      <c r="B330" s="53"/>
      <c r="C330" s="53"/>
      <c r="D330" s="53"/>
      <c r="E330" s="42"/>
      <c r="F330" s="42"/>
      <c r="G330" s="42"/>
      <c r="H330" s="42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43"/>
      <c r="T330" s="43"/>
      <c r="U330" s="43"/>
      <c r="V330" s="43"/>
      <c r="W330" s="43"/>
      <c r="X330" s="43"/>
      <c r="Y330" s="43"/>
      <c r="Z330" s="43"/>
    </row>
    <row r="331" ht="15.75" customHeight="1">
      <c r="A331" s="53"/>
      <c r="B331" s="53"/>
      <c r="C331" s="53"/>
      <c r="D331" s="53"/>
      <c r="E331" s="42"/>
      <c r="F331" s="42"/>
      <c r="G331" s="42"/>
      <c r="H331" s="42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43"/>
      <c r="T331" s="43"/>
      <c r="U331" s="43"/>
      <c r="V331" s="43"/>
      <c r="W331" s="43"/>
      <c r="X331" s="43"/>
      <c r="Y331" s="43"/>
      <c r="Z331" s="43"/>
    </row>
    <row r="332" ht="15.75" customHeight="1">
      <c r="A332" s="53"/>
      <c r="B332" s="53"/>
      <c r="C332" s="53"/>
      <c r="D332" s="53"/>
      <c r="E332" s="42"/>
      <c r="F332" s="42"/>
      <c r="G332" s="42"/>
      <c r="H332" s="42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43"/>
      <c r="T332" s="43"/>
      <c r="U332" s="43"/>
      <c r="V332" s="43"/>
      <c r="W332" s="43"/>
      <c r="X332" s="43"/>
      <c r="Y332" s="43"/>
      <c r="Z332" s="43"/>
    </row>
    <row r="333" ht="15.75" customHeight="1">
      <c r="A333" s="53"/>
      <c r="B333" s="53"/>
      <c r="C333" s="53"/>
      <c r="D333" s="53"/>
      <c r="E333" s="42"/>
      <c r="F333" s="42"/>
      <c r="G333" s="42"/>
      <c r="H333" s="42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43"/>
      <c r="T333" s="43"/>
      <c r="U333" s="43"/>
      <c r="V333" s="43"/>
      <c r="W333" s="43"/>
      <c r="X333" s="43"/>
      <c r="Y333" s="43"/>
      <c r="Z333" s="43"/>
    </row>
    <row r="334" ht="15.75" customHeight="1">
      <c r="A334" s="53"/>
      <c r="B334" s="53"/>
      <c r="C334" s="53"/>
      <c r="D334" s="53"/>
      <c r="E334" s="42"/>
      <c r="F334" s="42"/>
      <c r="G334" s="42"/>
      <c r="H334" s="42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43"/>
      <c r="T334" s="43"/>
      <c r="U334" s="43"/>
      <c r="V334" s="43"/>
      <c r="W334" s="43"/>
      <c r="X334" s="43"/>
      <c r="Y334" s="43"/>
      <c r="Z334" s="43"/>
    </row>
    <row r="335" ht="15.75" customHeight="1">
      <c r="A335" s="53"/>
      <c r="B335" s="53"/>
      <c r="C335" s="53"/>
      <c r="D335" s="53"/>
      <c r="E335" s="42"/>
      <c r="F335" s="42"/>
      <c r="G335" s="42"/>
      <c r="H335" s="42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43"/>
      <c r="T335" s="43"/>
      <c r="U335" s="43"/>
      <c r="V335" s="43"/>
      <c r="W335" s="43"/>
      <c r="X335" s="43"/>
      <c r="Y335" s="43"/>
      <c r="Z335" s="43"/>
    </row>
    <row r="336" ht="15.75" customHeight="1">
      <c r="A336" s="53"/>
      <c r="B336" s="53"/>
      <c r="C336" s="53"/>
      <c r="D336" s="53"/>
      <c r="E336" s="42"/>
      <c r="F336" s="42"/>
      <c r="G336" s="42"/>
      <c r="H336" s="42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43"/>
      <c r="T336" s="43"/>
      <c r="U336" s="43"/>
      <c r="V336" s="43"/>
      <c r="W336" s="43"/>
      <c r="X336" s="43"/>
      <c r="Y336" s="43"/>
      <c r="Z336" s="43"/>
    </row>
    <row r="337" ht="15.75" customHeight="1">
      <c r="A337" s="53"/>
      <c r="B337" s="53"/>
      <c r="C337" s="53"/>
      <c r="D337" s="53"/>
      <c r="E337" s="42"/>
      <c r="F337" s="42"/>
      <c r="G337" s="42"/>
      <c r="H337" s="42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43"/>
      <c r="T337" s="43"/>
      <c r="U337" s="43"/>
      <c r="V337" s="43"/>
      <c r="W337" s="43"/>
      <c r="X337" s="43"/>
      <c r="Y337" s="43"/>
      <c r="Z337" s="43"/>
    </row>
    <row r="338" ht="15.75" customHeight="1">
      <c r="A338" s="53"/>
      <c r="B338" s="53"/>
      <c r="C338" s="53"/>
      <c r="D338" s="53"/>
      <c r="E338" s="42"/>
      <c r="F338" s="42"/>
      <c r="G338" s="42"/>
      <c r="H338" s="42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43"/>
      <c r="T338" s="43"/>
      <c r="U338" s="43"/>
      <c r="V338" s="43"/>
      <c r="W338" s="43"/>
      <c r="X338" s="43"/>
      <c r="Y338" s="43"/>
      <c r="Z338" s="43"/>
    </row>
    <row r="339" ht="15.75" customHeight="1">
      <c r="A339" s="53"/>
      <c r="B339" s="53"/>
      <c r="C339" s="53"/>
      <c r="D339" s="53"/>
      <c r="E339" s="42"/>
      <c r="F339" s="42"/>
      <c r="G339" s="42"/>
      <c r="H339" s="42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43"/>
      <c r="T339" s="43"/>
      <c r="U339" s="43"/>
      <c r="V339" s="43"/>
      <c r="W339" s="43"/>
      <c r="X339" s="43"/>
      <c r="Y339" s="43"/>
      <c r="Z339" s="43"/>
    </row>
    <row r="340" ht="15.75" customHeight="1">
      <c r="A340" s="53"/>
      <c r="B340" s="53"/>
      <c r="C340" s="53"/>
      <c r="D340" s="53"/>
      <c r="E340" s="42"/>
      <c r="F340" s="42"/>
      <c r="G340" s="42"/>
      <c r="H340" s="42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43"/>
      <c r="T340" s="43"/>
      <c r="U340" s="43"/>
      <c r="V340" s="43"/>
      <c r="W340" s="43"/>
      <c r="X340" s="43"/>
      <c r="Y340" s="43"/>
      <c r="Z340" s="43"/>
    </row>
    <row r="341" ht="15.75" customHeight="1">
      <c r="A341" s="53"/>
      <c r="B341" s="53"/>
      <c r="C341" s="53"/>
      <c r="D341" s="53"/>
      <c r="E341" s="42"/>
      <c r="F341" s="42"/>
      <c r="G341" s="42"/>
      <c r="H341" s="42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43"/>
      <c r="T341" s="43"/>
      <c r="U341" s="43"/>
      <c r="V341" s="43"/>
      <c r="W341" s="43"/>
      <c r="X341" s="43"/>
      <c r="Y341" s="43"/>
      <c r="Z341" s="43"/>
    </row>
    <row r="342" ht="15.75" customHeight="1">
      <c r="A342" s="53"/>
      <c r="B342" s="53"/>
      <c r="C342" s="53"/>
      <c r="D342" s="53"/>
      <c r="E342" s="42"/>
      <c r="F342" s="42"/>
      <c r="G342" s="42"/>
      <c r="H342" s="42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43"/>
      <c r="T342" s="43"/>
      <c r="U342" s="43"/>
      <c r="V342" s="43"/>
      <c r="W342" s="43"/>
      <c r="X342" s="43"/>
      <c r="Y342" s="43"/>
      <c r="Z342" s="43"/>
    </row>
    <row r="343" ht="15.75" customHeight="1">
      <c r="A343" s="53"/>
      <c r="B343" s="53"/>
      <c r="C343" s="53"/>
      <c r="D343" s="53"/>
      <c r="E343" s="42"/>
      <c r="F343" s="42"/>
      <c r="G343" s="42"/>
      <c r="H343" s="42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43"/>
      <c r="T343" s="43"/>
      <c r="U343" s="43"/>
      <c r="V343" s="43"/>
      <c r="W343" s="43"/>
      <c r="X343" s="43"/>
      <c r="Y343" s="43"/>
      <c r="Z343" s="43"/>
    </row>
    <row r="344" ht="15.75" customHeight="1">
      <c r="A344" s="53"/>
      <c r="B344" s="53"/>
      <c r="C344" s="53"/>
      <c r="D344" s="53"/>
      <c r="E344" s="42"/>
      <c r="F344" s="42"/>
      <c r="G344" s="42"/>
      <c r="H344" s="42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43"/>
      <c r="T344" s="43"/>
      <c r="U344" s="43"/>
      <c r="V344" s="43"/>
      <c r="W344" s="43"/>
      <c r="X344" s="43"/>
      <c r="Y344" s="43"/>
      <c r="Z344" s="43"/>
    </row>
    <row r="345" ht="15.75" customHeight="1">
      <c r="A345" s="53"/>
      <c r="B345" s="53"/>
      <c r="C345" s="53"/>
      <c r="D345" s="53"/>
      <c r="E345" s="42"/>
      <c r="F345" s="42"/>
      <c r="G345" s="42"/>
      <c r="H345" s="42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43"/>
      <c r="T345" s="43"/>
      <c r="U345" s="43"/>
      <c r="V345" s="43"/>
      <c r="W345" s="43"/>
      <c r="X345" s="43"/>
      <c r="Y345" s="43"/>
      <c r="Z345" s="43"/>
    </row>
    <row r="346" ht="15.75" customHeight="1">
      <c r="A346" s="53"/>
      <c r="B346" s="53"/>
      <c r="C346" s="53"/>
      <c r="D346" s="53"/>
      <c r="E346" s="42"/>
      <c r="F346" s="42"/>
      <c r="G346" s="42"/>
      <c r="H346" s="42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43"/>
      <c r="T346" s="43"/>
      <c r="U346" s="43"/>
      <c r="V346" s="43"/>
      <c r="W346" s="43"/>
      <c r="X346" s="43"/>
      <c r="Y346" s="43"/>
      <c r="Z346" s="43"/>
    </row>
    <row r="347" ht="15.75" customHeight="1">
      <c r="A347" s="53"/>
      <c r="B347" s="53"/>
      <c r="C347" s="53"/>
      <c r="D347" s="53"/>
      <c r="E347" s="42"/>
      <c r="F347" s="42"/>
      <c r="G347" s="42"/>
      <c r="H347" s="42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43"/>
      <c r="T347" s="43"/>
      <c r="U347" s="43"/>
      <c r="V347" s="43"/>
      <c r="W347" s="43"/>
      <c r="X347" s="43"/>
      <c r="Y347" s="43"/>
      <c r="Z347" s="43"/>
    </row>
    <row r="348" ht="15.75" customHeight="1">
      <c r="A348" s="53"/>
      <c r="B348" s="53"/>
      <c r="C348" s="53"/>
      <c r="D348" s="53"/>
      <c r="E348" s="42"/>
      <c r="F348" s="42"/>
      <c r="G348" s="42"/>
      <c r="H348" s="42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43"/>
      <c r="T348" s="43"/>
      <c r="U348" s="43"/>
      <c r="V348" s="43"/>
      <c r="W348" s="43"/>
      <c r="X348" s="43"/>
      <c r="Y348" s="43"/>
      <c r="Z348" s="43"/>
    </row>
    <row r="349" ht="15.75" customHeight="1">
      <c r="A349" s="53"/>
      <c r="B349" s="53"/>
      <c r="C349" s="53"/>
      <c r="D349" s="53"/>
      <c r="E349" s="42"/>
      <c r="F349" s="42"/>
      <c r="G349" s="42"/>
      <c r="H349" s="42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43"/>
      <c r="T349" s="43"/>
      <c r="U349" s="43"/>
      <c r="V349" s="43"/>
      <c r="W349" s="43"/>
      <c r="X349" s="43"/>
      <c r="Y349" s="43"/>
      <c r="Z349" s="43"/>
    </row>
    <row r="350" ht="15.75" customHeight="1">
      <c r="A350" s="53"/>
      <c r="B350" s="53"/>
      <c r="C350" s="53"/>
      <c r="D350" s="53"/>
      <c r="E350" s="42"/>
      <c r="F350" s="42"/>
      <c r="G350" s="42"/>
      <c r="H350" s="42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43"/>
      <c r="T350" s="43"/>
      <c r="U350" s="43"/>
      <c r="V350" s="43"/>
      <c r="W350" s="43"/>
      <c r="X350" s="43"/>
      <c r="Y350" s="43"/>
      <c r="Z350" s="43"/>
    </row>
    <row r="351" ht="15.75" customHeight="1">
      <c r="A351" s="53"/>
      <c r="B351" s="53"/>
      <c r="C351" s="53"/>
      <c r="D351" s="53"/>
      <c r="E351" s="42"/>
      <c r="F351" s="42"/>
      <c r="G351" s="42"/>
      <c r="H351" s="42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43"/>
      <c r="T351" s="43"/>
      <c r="U351" s="43"/>
      <c r="V351" s="43"/>
      <c r="W351" s="43"/>
      <c r="X351" s="43"/>
      <c r="Y351" s="43"/>
      <c r="Z351" s="43"/>
    </row>
    <row r="352" ht="15.75" customHeight="1">
      <c r="A352" s="53"/>
      <c r="B352" s="53"/>
      <c r="C352" s="53"/>
      <c r="D352" s="53"/>
      <c r="E352" s="42"/>
      <c r="F352" s="42"/>
      <c r="G352" s="42"/>
      <c r="H352" s="42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43"/>
      <c r="T352" s="43"/>
      <c r="U352" s="43"/>
      <c r="V352" s="43"/>
      <c r="W352" s="43"/>
      <c r="X352" s="43"/>
      <c r="Y352" s="43"/>
      <c r="Z352" s="43"/>
    </row>
    <row r="353" ht="15.75" customHeight="1">
      <c r="A353" s="53"/>
      <c r="B353" s="53"/>
      <c r="C353" s="53"/>
      <c r="D353" s="53"/>
      <c r="E353" s="42"/>
      <c r="F353" s="42"/>
      <c r="G353" s="42"/>
      <c r="H353" s="42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43"/>
      <c r="T353" s="43"/>
      <c r="U353" s="43"/>
      <c r="V353" s="43"/>
      <c r="W353" s="43"/>
      <c r="X353" s="43"/>
      <c r="Y353" s="43"/>
      <c r="Z353" s="43"/>
    </row>
    <row r="354" ht="15.75" customHeight="1">
      <c r="A354" s="53"/>
      <c r="B354" s="53"/>
      <c r="C354" s="53"/>
      <c r="D354" s="53"/>
      <c r="E354" s="42"/>
      <c r="F354" s="42"/>
      <c r="G354" s="42"/>
      <c r="H354" s="42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43"/>
      <c r="T354" s="43"/>
      <c r="U354" s="43"/>
      <c r="V354" s="43"/>
      <c r="W354" s="43"/>
      <c r="X354" s="43"/>
      <c r="Y354" s="43"/>
      <c r="Z354" s="43"/>
    </row>
    <row r="355" ht="15.75" customHeight="1">
      <c r="A355" s="53"/>
      <c r="B355" s="53"/>
      <c r="C355" s="53"/>
      <c r="D355" s="53"/>
      <c r="E355" s="42"/>
      <c r="F355" s="42"/>
      <c r="G355" s="42"/>
      <c r="H355" s="42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43"/>
      <c r="T355" s="43"/>
      <c r="U355" s="43"/>
      <c r="V355" s="43"/>
      <c r="W355" s="43"/>
      <c r="X355" s="43"/>
      <c r="Y355" s="43"/>
      <c r="Z355" s="43"/>
    </row>
    <row r="356" ht="15.75" customHeight="1">
      <c r="A356" s="53"/>
      <c r="B356" s="53"/>
      <c r="C356" s="53"/>
      <c r="D356" s="53"/>
      <c r="E356" s="42"/>
      <c r="F356" s="42"/>
      <c r="G356" s="42"/>
      <c r="H356" s="42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43"/>
      <c r="T356" s="43"/>
      <c r="U356" s="43"/>
      <c r="V356" s="43"/>
      <c r="W356" s="43"/>
      <c r="X356" s="43"/>
      <c r="Y356" s="43"/>
      <c r="Z356" s="43"/>
    </row>
    <row r="357" ht="15.75" customHeight="1">
      <c r="A357" s="53"/>
      <c r="B357" s="53"/>
      <c r="C357" s="53"/>
      <c r="D357" s="53"/>
      <c r="E357" s="42"/>
      <c r="F357" s="42"/>
      <c r="G357" s="42"/>
      <c r="H357" s="42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43"/>
      <c r="T357" s="43"/>
      <c r="U357" s="43"/>
      <c r="V357" s="43"/>
      <c r="W357" s="43"/>
      <c r="X357" s="43"/>
      <c r="Y357" s="43"/>
      <c r="Z357" s="43"/>
    </row>
    <row r="358" ht="15.75" customHeight="1">
      <c r="A358" s="53"/>
      <c r="B358" s="53"/>
      <c r="C358" s="53"/>
      <c r="D358" s="53"/>
      <c r="E358" s="42"/>
      <c r="F358" s="42"/>
      <c r="G358" s="42"/>
      <c r="H358" s="42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43"/>
      <c r="T358" s="43"/>
      <c r="U358" s="43"/>
      <c r="V358" s="43"/>
      <c r="W358" s="43"/>
      <c r="X358" s="43"/>
      <c r="Y358" s="43"/>
      <c r="Z358" s="43"/>
    </row>
    <row r="359" ht="15.75" customHeight="1">
      <c r="A359" s="53"/>
      <c r="B359" s="53"/>
      <c r="C359" s="53"/>
      <c r="D359" s="53"/>
      <c r="E359" s="42"/>
      <c r="F359" s="42"/>
      <c r="G359" s="42"/>
      <c r="H359" s="42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43"/>
      <c r="T359" s="43"/>
      <c r="U359" s="43"/>
      <c r="V359" s="43"/>
      <c r="W359" s="43"/>
      <c r="X359" s="43"/>
      <c r="Y359" s="43"/>
      <c r="Z359" s="43"/>
    </row>
    <row r="360" ht="15.75" customHeight="1">
      <c r="A360" s="53"/>
      <c r="B360" s="53"/>
      <c r="C360" s="53"/>
      <c r="D360" s="53"/>
      <c r="E360" s="42"/>
      <c r="F360" s="42"/>
      <c r="G360" s="42"/>
      <c r="H360" s="42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43"/>
      <c r="T360" s="43"/>
      <c r="U360" s="43"/>
      <c r="V360" s="43"/>
      <c r="W360" s="43"/>
      <c r="X360" s="43"/>
      <c r="Y360" s="43"/>
      <c r="Z360" s="43"/>
    </row>
    <row r="361" ht="15.75" customHeight="1">
      <c r="A361" s="53"/>
      <c r="B361" s="53"/>
      <c r="C361" s="53"/>
      <c r="D361" s="53"/>
      <c r="E361" s="42"/>
      <c r="F361" s="42"/>
      <c r="G361" s="42"/>
      <c r="H361" s="42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43"/>
      <c r="T361" s="43"/>
      <c r="U361" s="43"/>
      <c r="V361" s="43"/>
      <c r="W361" s="43"/>
      <c r="X361" s="43"/>
      <c r="Y361" s="43"/>
      <c r="Z361" s="43"/>
    </row>
    <row r="362" ht="15.75" customHeight="1">
      <c r="A362" s="53"/>
      <c r="B362" s="53"/>
      <c r="C362" s="53"/>
      <c r="D362" s="53"/>
      <c r="E362" s="42"/>
      <c r="F362" s="42"/>
      <c r="G362" s="42"/>
      <c r="H362" s="42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43"/>
      <c r="T362" s="43"/>
      <c r="U362" s="43"/>
      <c r="V362" s="43"/>
      <c r="W362" s="43"/>
      <c r="X362" s="43"/>
      <c r="Y362" s="43"/>
      <c r="Z362" s="43"/>
    </row>
    <row r="363" ht="15.75" customHeight="1">
      <c r="A363" s="53"/>
      <c r="B363" s="53"/>
      <c r="C363" s="53"/>
      <c r="D363" s="53"/>
      <c r="E363" s="42"/>
      <c r="F363" s="42"/>
      <c r="G363" s="42"/>
      <c r="H363" s="42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43"/>
      <c r="T363" s="43"/>
      <c r="U363" s="43"/>
      <c r="V363" s="43"/>
      <c r="W363" s="43"/>
      <c r="X363" s="43"/>
      <c r="Y363" s="43"/>
      <c r="Z363" s="43"/>
    </row>
    <row r="364" ht="15.75" customHeight="1">
      <c r="A364" s="53"/>
      <c r="B364" s="53"/>
      <c r="C364" s="53"/>
      <c r="D364" s="53"/>
      <c r="E364" s="42"/>
      <c r="F364" s="42"/>
      <c r="G364" s="42"/>
      <c r="H364" s="42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43"/>
      <c r="T364" s="43"/>
      <c r="U364" s="43"/>
      <c r="V364" s="43"/>
      <c r="W364" s="43"/>
      <c r="X364" s="43"/>
      <c r="Y364" s="43"/>
      <c r="Z364" s="43"/>
    </row>
    <row r="365" ht="15.75" customHeight="1">
      <c r="A365" s="53"/>
      <c r="B365" s="53"/>
      <c r="C365" s="53"/>
      <c r="D365" s="53"/>
      <c r="E365" s="42"/>
      <c r="F365" s="42"/>
      <c r="G365" s="42"/>
      <c r="H365" s="42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43"/>
      <c r="T365" s="43"/>
      <c r="U365" s="43"/>
      <c r="V365" s="43"/>
      <c r="W365" s="43"/>
      <c r="X365" s="43"/>
      <c r="Y365" s="43"/>
      <c r="Z365" s="43"/>
    </row>
    <row r="366" ht="15.75" customHeight="1">
      <c r="A366" s="53"/>
      <c r="B366" s="53"/>
      <c r="C366" s="53"/>
      <c r="D366" s="53"/>
      <c r="E366" s="42"/>
      <c r="F366" s="42"/>
      <c r="G366" s="42"/>
      <c r="H366" s="42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43"/>
      <c r="T366" s="43"/>
      <c r="U366" s="43"/>
      <c r="V366" s="43"/>
      <c r="W366" s="43"/>
      <c r="X366" s="43"/>
      <c r="Y366" s="43"/>
      <c r="Z366" s="43"/>
    </row>
    <row r="367" ht="15.75" customHeight="1">
      <c r="A367" s="53"/>
      <c r="B367" s="53"/>
      <c r="C367" s="53"/>
      <c r="D367" s="53"/>
      <c r="E367" s="42"/>
      <c r="F367" s="42"/>
      <c r="G367" s="42"/>
      <c r="H367" s="42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43"/>
      <c r="T367" s="43"/>
      <c r="U367" s="43"/>
      <c r="V367" s="43"/>
      <c r="W367" s="43"/>
      <c r="X367" s="43"/>
      <c r="Y367" s="43"/>
      <c r="Z367" s="43"/>
    </row>
    <row r="368" ht="15.75" customHeight="1">
      <c r="A368" s="53"/>
      <c r="B368" s="53"/>
      <c r="C368" s="53"/>
      <c r="D368" s="53"/>
      <c r="E368" s="42"/>
      <c r="F368" s="42"/>
      <c r="G368" s="42"/>
      <c r="H368" s="42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43"/>
      <c r="T368" s="43"/>
      <c r="U368" s="43"/>
      <c r="V368" s="43"/>
      <c r="W368" s="43"/>
      <c r="X368" s="43"/>
      <c r="Y368" s="43"/>
      <c r="Z368" s="43"/>
    </row>
    <row r="369" ht="15.75" customHeight="1">
      <c r="A369" s="53"/>
      <c r="B369" s="53"/>
      <c r="C369" s="53"/>
      <c r="D369" s="53"/>
      <c r="E369" s="42"/>
      <c r="F369" s="42"/>
      <c r="G369" s="42"/>
      <c r="H369" s="42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43"/>
      <c r="T369" s="43"/>
      <c r="U369" s="43"/>
      <c r="V369" s="43"/>
      <c r="W369" s="43"/>
      <c r="X369" s="43"/>
      <c r="Y369" s="43"/>
      <c r="Z369" s="43"/>
    </row>
    <row r="370" ht="15.75" customHeight="1">
      <c r="A370" s="53"/>
      <c r="B370" s="53"/>
      <c r="C370" s="53"/>
      <c r="D370" s="53"/>
      <c r="E370" s="42"/>
      <c r="F370" s="42"/>
      <c r="G370" s="42"/>
      <c r="H370" s="42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43"/>
      <c r="T370" s="43"/>
      <c r="U370" s="43"/>
      <c r="V370" s="43"/>
      <c r="W370" s="43"/>
      <c r="X370" s="43"/>
      <c r="Y370" s="43"/>
      <c r="Z370" s="43"/>
    </row>
    <row r="371" ht="15.75" customHeight="1">
      <c r="A371" s="53"/>
      <c r="B371" s="53"/>
      <c r="C371" s="53"/>
      <c r="D371" s="53"/>
      <c r="E371" s="42"/>
      <c r="F371" s="42"/>
      <c r="G371" s="42"/>
      <c r="H371" s="42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43"/>
      <c r="T371" s="43"/>
      <c r="U371" s="43"/>
      <c r="V371" s="43"/>
      <c r="W371" s="43"/>
      <c r="X371" s="43"/>
      <c r="Y371" s="43"/>
      <c r="Z371" s="43"/>
    </row>
    <row r="372" ht="15.75" customHeight="1">
      <c r="A372" s="53"/>
      <c r="B372" s="53"/>
      <c r="C372" s="53"/>
      <c r="D372" s="53"/>
      <c r="E372" s="42"/>
      <c r="F372" s="42"/>
      <c r="G372" s="42"/>
      <c r="H372" s="42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43"/>
      <c r="T372" s="43"/>
      <c r="U372" s="43"/>
      <c r="V372" s="43"/>
      <c r="W372" s="43"/>
      <c r="X372" s="43"/>
      <c r="Y372" s="43"/>
      <c r="Z372" s="43"/>
    </row>
    <row r="373" ht="15.75" customHeight="1">
      <c r="A373" s="53"/>
      <c r="B373" s="53"/>
      <c r="C373" s="53"/>
      <c r="D373" s="53"/>
      <c r="E373" s="42"/>
      <c r="F373" s="42"/>
      <c r="G373" s="42"/>
      <c r="H373" s="42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43"/>
      <c r="T373" s="43"/>
      <c r="U373" s="43"/>
      <c r="V373" s="43"/>
      <c r="W373" s="43"/>
      <c r="X373" s="43"/>
      <c r="Y373" s="43"/>
      <c r="Z373" s="43"/>
    </row>
    <row r="374" ht="15.75" customHeight="1">
      <c r="A374" s="53"/>
      <c r="B374" s="53"/>
      <c r="C374" s="53"/>
      <c r="D374" s="53"/>
      <c r="E374" s="42"/>
      <c r="F374" s="42"/>
      <c r="G374" s="42"/>
      <c r="H374" s="42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43"/>
      <c r="T374" s="43"/>
      <c r="U374" s="43"/>
      <c r="V374" s="43"/>
      <c r="W374" s="43"/>
      <c r="X374" s="43"/>
      <c r="Y374" s="43"/>
      <c r="Z374" s="43"/>
    </row>
    <row r="375" ht="15.75" customHeight="1">
      <c r="A375" s="53"/>
      <c r="B375" s="53"/>
      <c r="C375" s="53"/>
      <c r="D375" s="53"/>
      <c r="E375" s="42"/>
      <c r="F375" s="42"/>
      <c r="G375" s="42"/>
      <c r="H375" s="42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43"/>
      <c r="T375" s="43"/>
      <c r="U375" s="43"/>
      <c r="V375" s="43"/>
      <c r="W375" s="43"/>
      <c r="X375" s="43"/>
      <c r="Y375" s="43"/>
      <c r="Z375" s="43"/>
    </row>
    <row r="376" ht="15.75" customHeight="1">
      <c r="A376" s="53"/>
      <c r="B376" s="53"/>
      <c r="C376" s="53"/>
      <c r="D376" s="53"/>
      <c r="E376" s="42"/>
      <c r="F376" s="42"/>
      <c r="G376" s="42"/>
      <c r="H376" s="42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43"/>
      <c r="T376" s="43"/>
      <c r="U376" s="43"/>
      <c r="V376" s="43"/>
      <c r="W376" s="43"/>
      <c r="X376" s="43"/>
      <c r="Y376" s="43"/>
      <c r="Z376" s="43"/>
    </row>
    <row r="377" ht="15.75" customHeight="1">
      <c r="A377" s="53"/>
      <c r="B377" s="53"/>
      <c r="C377" s="53"/>
      <c r="D377" s="53"/>
      <c r="E377" s="42"/>
      <c r="F377" s="42"/>
      <c r="G377" s="42"/>
      <c r="H377" s="42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43"/>
      <c r="T377" s="43"/>
      <c r="U377" s="43"/>
      <c r="V377" s="43"/>
      <c r="W377" s="43"/>
      <c r="X377" s="43"/>
      <c r="Y377" s="43"/>
      <c r="Z377" s="43"/>
    </row>
    <row r="378" ht="15.75" customHeight="1">
      <c r="A378" s="53"/>
      <c r="B378" s="53"/>
      <c r="C378" s="53"/>
      <c r="D378" s="53"/>
      <c r="E378" s="42"/>
      <c r="F378" s="42"/>
      <c r="G378" s="42"/>
      <c r="H378" s="42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43"/>
      <c r="T378" s="43"/>
      <c r="U378" s="43"/>
      <c r="V378" s="43"/>
      <c r="W378" s="43"/>
      <c r="X378" s="43"/>
      <c r="Y378" s="43"/>
      <c r="Z378" s="43"/>
    </row>
    <row r="379" ht="15.75" customHeight="1">
      <c r="A379" s="53"/>
      <c r="B379" s="53"/>
      <c r="C379" s="53"/>
      <c r="D379" s="53"/>
      <c r="E379" s="42"/>
      <c r="F379" s="42"/>
      <c r="G379" s="42"/>
      <c r="H379" s="42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43"/>
      <c r="T379" s="43"/>
      <c r="U379" s="43"/>
      <c r="V379" s="43"/>
      <c r="W379" s="43"/>
      <c r="X379" s="43"/>
      <c r="Y379" s="43"/>
      <c r="Z379" s="43"/>
    </row>
    <row r="380" ht="15.75" customHeight="1">
      <c r="A380" s="53"/>
      <c r="B380" s="53"/>
      <c r="C380" s="53"/>
      <c r="D380" s="53"/>
      <c r="E380" s="42"/>
      <c r="F380" s="42"/>
      <c r="G380" s="42"/>
      <c r="H380" s="42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43"/>
      <c r="T380" s="43"/>
      <c r="U380" s="43"/>
      <c r="V380" s="43"/>
      <c r="W380" s="43"/>
      <c r="X380" s="43"/>
      <c r="Y380" s="43"/>
      <c r="Z380" s="43"/>
    </row>
    <row r="381" ht="15.75" customHeight="1">
      <c r="A381" s="53"/>
      <c r="B381" s="53"/>
      <c r="C381" s="53"/>
      <c r="D381" s="53"/>
      <c r="E381" s="42"/>
      <c r="F381" s="42"/>
      <c r="G381" s="42"/>
      <c r="H381" s="42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43"/>
      <c r="T381" s="43"/>
      <c r="U381" s="43"/>
      <c r="V381" s="43"/>
      <c r="W381" s="43"/>
      <c r="X381" s="43"/>
      <c r="Y381" s="43"/>
      <c r="Z381" s="43"/>
    </row>
    <row r="382" ht="15.75" customHeight="1">
      <c r="A382" s="53"/>
      <c r="B382" s="53"/>
      <c r="C382" s="53"/>
      <c r="D382" s="53"/>
      <c r="E382" s="42"/>
      <c r="F382" s="42"/>
      <c r="G382" s="42"/>
      <c r="H382" s="42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43"/>
      <c r="T382" s="43"/>
      <c r="U382" s="43"/>
      <c r="V382" s="43"/>
      <c r="W382" s="43"/>
      <c r="X382" s="43"/>
      <c r="Y382" s="43"/>
      <c r="Z382" s="43"/>
    </row>
    <row r="383" ht="15.75" customHeight="1">
      <c r="A383" s="53"/>
      <c r="B383" s="53"/>
      <c r="C383" s="53"/>
      <c r="D383" s="53"/>
      <c r="E383" s="42"/>
      <c r="F383" s="42"/>
      <c r="G383" s="42"/>
      <c r="H383" s="42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43"/>
      <c r="T383" s="43"/>
      <c r="U383" s="43"/>
      <c r="V383" s="43"/>
      <c r="W383" s="43"/>
      <c r="X383" s="43"/>
      <c r="Y383" s="43"/>
      <c r="Z383" s="43"/>
    </row>
    <row r="384" ht="15.75" customHeight="1">
      <c r="A384" s="53"/>
      <c r="B384" s="53"/>
      <c r="C384" s="53"/>
      <c r="D384" s="53"/>
      <c r="E384" s="42"/>
      <c r="F384" s="42"/>
      <c r="G384" s="42"/>
      <c r="H384" s="42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43"/>
      <c r="T384" s="43"/>
      <c r="U384" s="43"/>
      <c r="V384" s="43"/>
      <c r="W384" s="43"/>
      <c r="X384" s="43"/>
      <c r="Y384" s="43"/>
      <c r="Z384" s="43"/>
    </row>
    <row r="385" ht="15.75" customHeight="1">
      <c r="A385" s="53"/>
      <c r="B385" s="53"/>
      <c r="C385" s="53"/>
      <c r="D385" s="53"/>
      <c r="E385" s="42"/>
      <c r="F385" s="42"/>
      <c r="G385" s="42"/>
      <c r="H385" s="42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43"/>
      <c r="T385" s="43"/>
      <c r="U385" s="43"/>
      <c r="V385" s="43"/>
      <c r="W385" s="43"/>
      <c r="X385" s="43"/>
      <c r="Y385" s="43"/>
      <c r="Z385" s="43"/>
    </row>
    <row r="386" ht="15.75" customHeight="1">
      <c r="A386" s="53"/>
      <c r="B386" s="53"/>
      <c r="C386" s="53"/>
      <c r="D386" s="53"/>
      <c r="E386" s="42"/>
      <c r="F386" s="42"/>
      <c r="G386" s="42"/>
      <c r="H386" s="42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43"/>
      <c r="T386" s="43"/>
      <c r="U386" s="43"/>
      <c r="V386" s="43"/>
      <c r="W386" s="43"/>
      <c r="X386" s="43"/>
      <c r="Y386" s="43"/>
      <c r="Z386" s="43"/>
    </row>
    <row r="387" ht="15.75" customHeight="1">
      <c r="A387" s="53"/>
      <c r="B387" s="53"/>
      <c r="C387" s="53"/>
      <c r="D387" s="53"/>
      <c r="E387" s="42"/>
      <c r="F387" s="42"/>
      <c r="G387" s="42"/>
      <c r="H387" s="42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43"/>
      <c r="T387" s="43"/>
      <c r="U387" s="43"/>
      <c r="V387" s="43"/>
      <c r="W387" s="43"/>
      <c r="X387" s="43"/>
      <c r="Y387" s="43"/>
      <c r="Z387" s="43"/>
    </row>
    <row r="388" ht="15.75" customHeight="1">
      <c r="A388" s="53"/>
      <c r="B388" s="53"/>
      <c r="C388" s="53"/>
      <c r="D388" s="53"/>
      <c r="E388" s="42"/>
      <c r="F388" s="42"/>
      <c r="G388" s="42"/>
      <c r="H388" s="42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43"/>
      <c r="T388" s="43"/>
      <c r="U388" s="43"/>
      <c r="V388" s="43"/>
      <c r="W388" s="43"/>
      <c r="X388" s="43"/>
      <c r="Y388" s="43"/>
      <c r="Z388" s="43"/>
    </row>
    <row r="389" ht="15.75" customHeight="1">
      <c r="A389" s="53"/>
      <c r="B389" s="53"/>
      <c r="C389" s="53"/>
      <c r="D389" s="53"/>
      <c r="E389" s="42"/>
      <c r="F389" s="42"/>
      <c r="G389" s="42"/>
      <c r="H389" s="42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43"/>
      <c r="T389" s="43"/>
      <c r="U389" s="43"/>
      <c r="V389" s="43"/>
      <c r="W389" s="43"/>
      <c r="X389" s="43"/>
      <c r="Y389" s="43"/>
      <c r="Z389" s="43"/>
    </row>
    <row r="390" ht="15.75" customHeight="1">
      <c r="A390" s="53"/>
      <c r="B390" s="53"/>
      <c r="C390" s="53"/>
      <c r="D390" s="53"/>
      <c r="E390" s="42"/>
      <c r="F390" s="42"/>
      <c r="G390" s="42"/>
      <c r="H390" s="42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43"/>
      <c r="T390" s="43"/>
      <c r="U390" s="43"/>
      <c r="V390" s="43"/>
      <c r="W390" s="43"/>
      <c r="X390" s="43"/>
      <c r="Y390" s="43"/>
      <c r="Z390" s="43"/>
    </row>
    <row r="391" ht="15.75" customHeight="1">
      <c r="A391" s="53"/>
      <c r="B391" s="53"/>
      <c r="C391" s="53"/>
      <c r="D391" s="53"/>
      <c r="E391" s="42"/>
      <c r="F391" s="42"/>
      <c r="G391" s="42"/>
      <c r="H391" s="42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43"/>
      <c r="T391" s="43"/>
      <c r="U391" s="43"/>
      <c r="V391" s="43"/>
      <c r="W391" s="43"/>
      <c r="X391" s="43"/>
      <c r="Y391" s="43"/>
      <c r="Z391" s="43"/>
    </row>
    <row r="392" ht="15.75" customHeight="1">
      <c r="A392" s="53"/>
      <c r="B392" s="53"/>
      <c r="C392" s="53"/>
      <c r="D392" s="53"/>
      <c r="E392" s="42"/>
      <c r="F392" s="42"/>
      <c r="G392" s="42"/>
      <c r="H392" s="42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43"/>
      <c r="T392" s="43"/>
      <c r="U392" s="43"/>
      <c r="V392" s="43"/>
      <c r="W392" s="43"/>
      <c r="X392" s="43"/>
      <c r="Y392" s="43"/>
      <c r="Z392" s="43"/>
    </row>
    <row r="393" ht="15.75" customHeight="1">
      <c r="A393" s="53"/>
      <c r="B393" s="53"/>
      <c r="C393" s="53"/>
      <c r="D393" s="53"/>
      <c r="E393" s="42"/>
      <c r="F393" s="42"/>
      <c r="G393" s="42"/>
      <c r="H393" s="42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43"/>
      <c r="T393" s="43"/>
      <c r="U393" s="43"/>
      <c r="V393" s="43"/>
      <c r="W393" s="43"/>
      <c r="X393" s="43"/>
      <c r="Y393" s="43"/>
      <c r="Z393" s="43"/>
    </row>
    <row r="394" ht="15.75" customHeight="1">
      <c r="A394" s="53"/>
      <c r="B394" s="53"/>
      <c r="C394" s="53"/>
      <c r="D394" s="53"/>
      <c r="E394" s="42"/>
      <c r="F394" s="42"/>
      <c r="G394" s="42"/>
      <c r="H394" s="42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43"/>
      <c r="T394" s="43"/>
      <c r="U394" s="43"/>
      <c r="V394" s="43"/>
      <c r="W394" s="43"/>
      <c r="X394" s="43"/>
      <c r="Y394" s="43"/>
      <c r="Z394" s="43"/>
    </row>
    <row r="395" ht="15.75" customHeight="1">
      <c r="A395" s="53"/>
      <c r="B395" s="53"/>
      <c r="C395" s="53"/>
      <c r="D395" s="53"/>
      <c r="E395" s="42"/>
      <c r="F395" s="42"/>
      <c r="G395" s="42"/>
      <c r="H395" s="42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43"/>
      <c r="T395" s="43"/>
      <c r="U395" s="43"/>
      <c r="V395" s="43"/>
      <c r="W395" s="43"/>
      <c r="X395" s="43"/>
      <c r="Y395" s="43"/>
      <c r="Z395" s="43"/>
    </row>
    <row r="396" ht="15.75" customHeight="1">
      <c r="A396" s="53"/>
      <c r="B396" s="53"/>
      <c r="C396" s="53"/>
      <c r="D396" s="53"/>
      <c r="E396" s="42"/>
      <c r="F396" s="42"/>
      <c r="G396" s="42"/>
      <c r="H396" s="42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43"/>
      <c r="T396" s="43"/>
      <c r="U396" s="43"/>
      <c r="V396" s="43"/>
      <c r="W396" s="43"/>
      <c r="X396" s="43"/>
      <c r="Y396" s="43"/>
      <c r="Z396" s="43"/>
    </row>
    <row r="397" ht="15.75" customHeight="1">
      <c r="A397" s="53"/>
      <c r="B397" s="53"/>
      <c r="C397" s="53"/>
      <c r="D397" s="53"/>
      <c r="E397" s="42"/>
      <c r="F397" s="42"/>
      <c r="G397" s="42"/>
      <c r="H397" s="42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43"/>
      <c r="T397" s="43"/>
      <c r="U397" s="43"/>
      <c r="V397" s="43"/>
      <c r="W397" s="43"/>
      <c r="X397" s="43"/>
      <c r="Y397" s="43"/>
      <c r="Z397" s="43"/>
    </row>
    <row r="398" ht="15.75" customHeight="1">
      <c r="A398" s="53"/>
      <c r="B398" s="53"/>
      <c r="C398" s="53"/>
      <c r="D398" s="53"/>
      <c r="E398" s="42"/>
      <c r="F398" s="42"/>
      <c r="G398" s="42"/>
      <c r="H398" s="42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43"/>
      <c r="T398" s="43"/>
      <c r="U398" s="43"/>
      <c r="V398" s="43"/>
      <c r="W398" s="43"/>
      <c r="X398" s="43"/>
      <c r="Y398" s="43"/>
      <c r="Z398" s="43"/>
    </row>
    <row r="399" ht="15.75" customHeight="1">
      <c r="A399" s="53"/>
      <c r="B399" s="53"/>
      <c r="C399" s="53"/>
      <c r="D399" s="53"/>
      <c r="E399" s="42"/>
      <c r="F399" s="42"/>
      <c r="G399" s="42"/>
      <c r="H399" s="42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43"/>
      <c r="T399" s="43"/>
      <c r="U399" s="43"/>
      <c r="V399" s="43"/>
      <c r="W399" s="43"/>
      <c r="X399" s="43"/>
      <c r="Y399" s="43"/>
      <c r="Z399" s="43"/>
    </row>
    <row r="400" ht="15.75" customHeight="1">
      <c r="A400" s="53"/>
      <c r="B400" s="53"/>
      <c r="C400" s="53"/>
      <c r="D400" s="53"/>
      <c r="E400" s="42"/>
      <c r="F400" s="42"/>
      <c r="G400" s="42"/>
      <c r="H400" s="42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43"/>
      <c r="T400" s="43"/>
      <c r="U400" s="43"/>
      <c r="V400" s="43"/>
      <c r="W400" s="43"/>
      <c r="X400" s="43"/>
      <c r="Y400" s="43"/>
      <c r="Z400" s="43"/>
    </row>
    <row r="401" ht="15.75" customHeight="1">
      <c r="A401" s="53"/>
      <c r="B401" s="53"/>
      <c r="C401" s="53"/>
      <c r="D401" s="53"/>
      <c r="E401" s="42"/>
      <c r="F401" s="42"/>
      <c r="G401" s="42"/>
      <c r="H401" s="42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43"/>
      <c r="T401" s="43"/>
      <c r="U401" s="43"/>
      <c r="V401" s="43"/>
      <c r="W401" s="43"/>
      <c r="X401" s="43"/>
      <c r="Y401" s="43"/>
      <c r="Z401" s="43"/>
    </row>
    <row r="402" ht="15.75" customHeight="1">
      <c r="A402" s="53"/>
      <c r="B402" s="53"/>
      <c r="C402" s="53"/>
      <c r="D402" s="53"/>
      <c r="E402" s="42"/>
      <c r="F402" s="42"/>
      <c r="G402" s="42"/>
      <c r="H402" s="42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43"/>
      <c r="T402" s="43"/>
      <c r="U402" s="43"/>
      <c r="V402" s="43"/>
      <c r="W402" s="43"/>
      <c r="X402" s="43"/>
      <c r="Y402" s="43"/>
      <c r="Z402" s="43"/>
    </row>
    <row r="403" ht="15.75" customHeight="1">
      <c r="A403" s="53"/>
      <c r="B403" s="53"/>
      <c r="C403" s="53"/>
      <c r="D403" s="53"/>
      <c r="E403" s="42"/>
      <c r="F403" s="42"/>
      <c r="G403" s="42"/>
      <c r="H403" s="42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43"/>
      <c r="T403" s="43"/>
      <c r="U403" s="43"/>
      <c r="V403" s="43"/>
      <c r="W403" s="43"/>
      <c r="X403" s="43"/>
      <c r="Y403" s="43"/>
      <c r="Z403" s="43"/>
    </row>
    <row r="404" ht="15.75" customHeight="1">
      <c r="A404" s="53"/>
      <c r="B404" s="53"/>
      <c r="C404" s="53"/>
      <c r="D404" s="53"/>
      <c r="E404" s="42"/>
      <c r="F404" s="42"/>
      <c r="G404" s="42"/>
      <c r="H404" s="42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43"/>
      <c r="T404" s="43"/>
      <c r="U404" s="43"/>
      <c r="V404" s="43"/>
      <c r="W404" s="43"/>
      <c r="X404" s="43"/>
      <c r="Y404" s="43"/>
      <c r="Z404" s="43"/>
    </row>
    <row r="405" ht="15.75" customHeight="1">
      <c r="A405" s="53"/>
      <c r="B405" s="53"/>
      <c r="C405" s="53"/>
      <c r="D405" s="53"/>
      <c r="E405" s="42"/>
      <c r="F405" s="42"/>
      <c r="G405" s="42"/>
      <c r="H405" s="42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43"/>
      <c r="T405" s="43"/>
      <c r="U405" s="43"/>
      <c r="V405" s="43"/>
      <c r="W405" s="43"/>
      <c r="X405" s="43"/>
      <c r="Y405" s="43"/>
      <c r="Z405" s="43"/>
    </row>
    <row r="406" ht="15.75" customHeight="1">
      <c r="A406" s="53"/>
      <c r="B406" s="53"/>
      <c r="C406" s="53"/>
      <c r="D406" s="53"/>
      <c r="E406" s="42"/>
      <c r="F406" s="42"/>
      <c r="G406" s="42"/>
      <c r="H406" s="42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43"/>
      <c r="T406" s="43"/>
      <c r="U406" s="43"/>
      <c r="V406" s="43"/>
      <c r="W406" s="43"/>
      <c r="X406" s="43"/>
      <c r="Y406" s="43"/>
      <c r="Z406" s="43"/>
    </row>
    <row r="407" ht="15.75" customHeight="1">
      <c r="A407" s="53"/>
      <c r="B407" s="53"/>
      <c r="C407" s="53"/>
      <c r="D407" s="53"/>
      <c r="E407" s="42"/>
      <c r="F407" s="42"/>
      <c r="G407" s="42"/>
      <c r="H407" s="42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43"/>
      <c r="T407" s="43"/>
      <c r="U407" s="43"/>
      <c r="V407" s="43"/>
      <c r="W407" s="43"/>
      <c r="X407" s="43"/>
      <c r="Y407" s="43"/>
      <c r="Z407" s="43"/>
    </row>
    <row r="408" ht="15.75" customHeight="1">
      <c r="A408" s="53"/>
      <c r="B408" s="53"/>
      <c r="C408" s="53"/>
      <c r="D408" s="53"/>
      <c r="E408" s="42"/>
      <c r="F408" s="42"/>
      <c r="G408" s="42"/>
      <c r="H408" s="42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43"/>
      <c r="T408" s="43"/>
      <c r="U408" s="43"/>
      <c r="V408" s="43"/>
      <c r="W408" s="43"/>
      <c r="X408" s="43"/>
      <c r="Y408" s="43"/>
      <c r="Z408" s="43"/>
    </row>
    <row r="409" ht="15.75" customHeight="1">
      <c r="A409" s="53"/>
      <c r="B409" s="53"/>
      <c r="C409" s="53"/>
      <c r="D409" s="53"/>
      <c r="E409" s="42"/>
      <c r="F409" s="42"/>
      <c r="G409" s="42"/>
      <c r="H409" s="42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43"/>
      <c r="T409" s="43"/>
      <c r="U409" s="43"/>
      <c r="V409" s="43"/>
      <c r="W409" s="43"/>
      <c r="X409" s="43"/>
      <c r="Y409" s="43"/>
      <c r="Z409" s="43"/>
    </row>
    <row r="410" ht="15.75" customHeight="1">
      <c r="A410" s="53"/>
      <c r="B410" s="53"/>
      <c r="C410" s="53"/>
      <c r="D410" s="53"/>
      <c r="E410" s="42"/>
      <c r="F410" s="42"/>
      <c r="G410" s="42"/>
      <c r="H410" s="42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43"/>
      <c r="T410" s="43"/>
      <c r="U410" s="43"/>
      <c r="V410" s="43"/>
      <c r="W410" s="43"/>
      <c r="X410" s="43"/>
      <c r="Y410" s="43"/>
      <c r="Z410" s="43"/>
    </row>
    <row r="411" ht="15.75" customHeight="1">
      <c r="A411" s="53"/>
      <c r="B411" s="53"/>
      <c r="C411" s="53"/>
      <c r="D411" s="53"/>
      <c r="E411" s="42"/>
      <c r="F411" s="42"/>
      <c r="G411" s="42"/>
      <c r="H411" s="42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43"/>
      <c r="T411" s="43"/>
      <c r="U411" s="43"/>
      <c r="V411" s="43"/>
      <c r="W411" s="43"/>
      <c r="X411" s="43"/>
      <c r="Y411" s="43"/>
      <c r="Z411" s="43"/>
    </row>
    <row r="412" ht="15.75" customHeight="1">
      <c r="A412" s="53"/>
      <c r="B412" s="53"/>
      <c r="C412" s="53"/>
      <c r="D412" s="53"/>
      <c r="E412" s="42"/>
      <c r="F412" s="42"/>
      <c r="G412" s="42"/>
      <c r="H412" s="42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43"/>
      <c r="T412" s="43"/>
      <c r="U412" s="43"/>
      <c r="V412" s="43"/>
      <c r="W412" s="43"/>
      <c r="X412" s="43"/>
      <c r="Y412" s="43"/>
      <c r="Z412" s="43"/>
    </row>
    <row r="413" ht="15.75" customHeight="1">
      <c r="A413" s="53"/>
      <c r="B413" s="53"/>
      <c r="C413" s="53"/>
      <c r="D413" s="53"/>
      <c r="E413" s="42"/>
      <c r="F413" s="42"/>
      <c r="G413" s="42"/>
      <c r="H413" s="42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43"/>
      <c r="T413" s="43"/>
      <c r="U413" s="43"/>
      <c r="V413" s="43"/>
      <c r="W413" s="43"/>
      <c r="X413" s="43"/>
      <c r="Y413" s="43"/>
      <c r="Z413" s="43"/>
    </row>
    <row r="414" ht="15.75" customHeight="1">
      <c r="A414" s="53"/>
      <c r="B414" s="53"/>
      <c r="C414" s="53"/>
      <c r="D414" s="53"/>
      <c r="E414" s="42"/>
      <c r="F414" s="42"/>
      <c r="G414" s="42"/>
      <c r="H414" s="42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43"/>
      <c r="T414" s="43"/>
      <c r="U414" s="43"/>
      <c r="V414" s="43"/>
      <c r="W414" s="43"/>
      <c r="X414" s="43"/>
      <c r="Y414" s="43"/>
      <c r="Z414" s="43"/>
    </row>
    <row r="415" ht="15.75" customHeight="1">
      <c r="A415" s="53"/>
      <c r="B415" s="53"/>
      <c r="C415" s="53"/>
      <c r="D415" s="53"/>
      <c r="E415" s="42"/>
      <c r="F415" s="42"/>
      <c r="G415" s="42"/>
      <c r="H415" s="42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43"/>
      <c r="T415" s="43"/>
      <c r="U415" s="43"/>
      <c r="V415" s="43"/>
      <c r="W415" s="43"/>
      <c r="X415" s="43"/>
      <c r="Y415" s="43"/>
      <c r="Z415" s="43"/>
    </row>
    <row r="416" ht="15.75" customHeight="1">
      <c r="A416" s="53"/>
      <c r="B416" s="53"/>
      <c r="C416" s="53"/>
      <c r="D416" s="53"/>
      <c r="E416" s="42"/>
      <c r="F416" s="42"/>
      <c r="G416" s="42"/>
      <c r="H416" s="42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43"/>
      <c r="T416" s="43"/>
      <c r="U416" s="43"/>
      <c r="V416" s="43"/>
      <c r="W416" s="43"/>
      <c r="X416" s="43"/>
      <c r="Y416" s="43"/>
      <c r="Z416" s="43"/>
    </row>
    <row r="417" ht="15.75" customHeight="1">
      <c r="A417" s="53"/>
      <c r="B417" s="53"/>
      <c r="C417" s="53"/>
      <c r="D417" s="53"/>
      <c r="E417" s="42"/>
      <c r="F417" s="42"/>
      <c r="G417" s="42"/>
      <c r="H417" s="42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43"/>
      <c r="T417" s="43"/>
      <c r="U417" s="43"/>
      <c r="V417" s="43"/>
      <c r="W417" s="43"/>
      <c r="X417" s="43"/>
      <c r="Y417" s="43"/>
      <c r="Z417" s="43"/>
    </row>
    <row r="418" ht="15.75" customHeight="1">
      <c r="A418" s="53"/>
      <c r="B418" s="53"/>
      <c r="C418" s="53"/>
      <c r="D418" s="53"/>
      <c r="E418" s="42"/>
      <c r="F418" s="42"/>
      <c r="G418" s="42"/>
      <c r="H418" s="42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43"/>
      <c r="T418" s="43"/>
      <c r="U418" s="43"/>
      <c r="V418" s="43"/>
      <c r="W418" s="43"/>
      <c r="X418" s="43"/>
      <c r="Y418" s="43"/>
      <c r="Z418" s="43"/>
    </row>
    <row r="419" ht="15.75" customHeight="1">
      <c r="A419" s="53"/>
      <c r="B419" s="53"/>
      <c r="C419" s="53"/>
      <c r="D419" s="53"/>
      <c r="E419" s="42"/>
      <c r="F419" s="42"/>
      <c r="G419" s="42"/>
      <c r="H419" s="42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43"/>
      <c r="T419" s="43"/>
      <c r="U419" s="43"/>
      <c r="V419" s="43"/>
      <c r="W419" s="43"/>
      <c r="X419" s="43"/>
      <c r="Y419" s="43"/>
      <c r="Z419" s="43"/>
    </row>
    <row r="420" ht="15.75" customHeight="1">
      <c r="A420" s="53"/>
      <c r="B420" s="53"/>
      <c r="C420" s="53"/>
      <c r="D420" s="53"/>
      <c r="E420" s="42"/>
      <c r="F420" s="42"/>
      <c r="G420" s="42"/>
      <c r="H420" s="42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43"/>
      <c r="T420" s="43"/>
      <c r="U420" s="43"/>
      <c r="V420" s="43"/>
      <c r="W420" s="43"/>
      <c r="X420" s="43"/>
      <c r="Y420" s="43"/>
      <c r="Z420" s="43"/>
    </row>
    <row r="421" ht="15.75" customHeight="1">
      <c r="A421" s="53"/>
      <c r="B421" s="53"/>
      <c r="C421" s="53"/>
      <c r="D421" s="53"/>
      <c r="E421" s="42"/>
      <c r="F421" s="42"/>
      <c r="G421" s="42"/>
      <c r="H421" s="42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43"/>
      <c r="T421" s="43"/>
      <c r="U421" s="43"/>
      <c r="V421" s="43"/>
      <c r="W421" s="43"/>
      <c r="X421" s="43"/>
      <c r="Y421" s="43"/>
      <c r="Z421" s="43"/>
    </row>
    <row r="422" ht="15.75" customHeight="1">
      <c r="A422" s="53"/>
      <c r="B422" s="53"/>
      <c r="C422" s="53"/>
      <c r="D422" s="53"/>
      <c r="E422" s="42"/>
      <c r="F422" s="42"/>
      <c r="G422" s="42"/>
      <c r="H422" s="42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43"/>
      <c r="T422" s="43"/>
      <c r="U422" s="43"/>
      <c r="V422" s="43"/>
      <c r="W422" s="43"/>
      <c r="X422" s="43"/>
      <c r="Y422" s="43"/>
      <c r="Z422" s="43"/>
    </row>
    <row r="423" ht="15.75" customHeight="1">
      <c r="A423" s="53"/>
      <c r="B423" s="53"/>
      <c r="C423" s="53"/>
      <c r="D423" s="53"/>
      <c r="E423" s="42"/>
      <c r="F423" s="42"/>
      <c r="G423" s="42"/>
      <c r="H423" s="42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43"/>
      <c r="T423" s="43"/>
      <c r="U423" s="43"/>
      <c r="V423" s="43"/>
      <c r="W423" s="43"/>
      <c r="X423" s="43"/>
      <c r="Y423" s="43"/>
      <c r="Z423" s="43"/>
    </row>
    <row r="424" ht="15.75" customHeight="1">
      <c r="A424" s="53"/>
      <c r="B424" s="53"/>
      <c r="C424" s="53"/>
      <c r="D424" s="53"/>
      <c r="E424" s="42"/>
      <c r="F424" s="42"/>
      <c r="G424" s="42"/>
      <c r="H424" s="42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43"/>
      <c r="T424" s="43"/>
      <c r="U424" s="43"/>
      <c r="V424" s="43"/>
      <c r="W424" s="43"/>
      <c r="X424" s="43"/>
      <c r="Y424" s="43"/>
      <c r="Z424" s="43"/>
    </row>
    <row r="425" ht="15.75" customHeight="1">
      <c r="A425" s="53"/>
      <c r="B425" s="53"/>
      <c r="C425" s="53"/>
      <c r="D425" s="53"/>
      <c r="E425" s="42"/>
      <c r="F425" s="42"/>
      <c r="G425" s="42"/>
      <c r="H425" s="42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43"/>
      <c r="T425" s="43"/>
      <c r="U425" s="43"/>
      <c r="V425" s="43"/>
      <c r="W425" s="43"/>
      <c r="X425" s="43"/>
      <c r="Y425" s="43"/>
      <c r="Z425" s="43"/>
    </row>
    <row r="426" ht="15.75" customHeight="1">
      <c r="A426" s="53"/>
      <c r="B426" s="53"/>
      <c r="C426" s="53"/>
      <c r="D426" s="53"/>
      <c r="E426" s="42"/>
      <c r="F426" s="42"/>
      <c r="G426" s="42"/>
      <c r="H426" s="42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43"/>
      <c r="T426" s="43"/>
      <c r="U426" s="43"/>
      <c r="V426" s="43"/>
      <c r="W426" s="43"/>
      <c r="X426" s="43"/>
      <c r="Y426" s="43"/>
      <c r="Z426" s="43"/>
    </row>
    <row r="427" ht="15.75" customHeight="1">
      <c r="A427" s="53"/>
      <c r="B427" s="53"/>
      <c r="C427" s="53"/>
      <c r="D427" s="53"/>
      <c r="E427" s="42"/>
      <c r="F427" s="42"/>
      <c r="G427" s="42"/>
      <c r="H427" s="42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43"/>
      <c r="T427" s="43"/>
      <c r="U427" s="43"/>
      <c r="V427" s="43"/>
      <c r="W427" s="43"/>
      <c r="X427" s="43"/>
      <c r="Y427" s="43"/>
      <c r="Z427" s="43"/>
    </row>
    <row r="428" ht="15.75" customHeight="1">
      <c r="A428" s="53"/>
      <c r="B428" s="53"/>
      <c r="C428" s="53"/>
      <c r="D428" s="53"/>
      <c r="E428" s="42"/>
      <c r="F428" s="42"/>
      <c r="G428" s="42"/>
      <c r="H428" s="42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43"/>
      <c r="T428" s="43"/>
      <c r="U428" s="43"/>
      <c r="V428" s="43"/>
      <c r="W428" s="43"/>
      <c r="X428" s="43"/>
      <c r="Y428" s="43"/>
      <c r="Z428" s="43"/>
    </row>
    <row r="429" ht="15.75" customHeight="1">
      <c r="A429" s="53"/>
      <c r="B429" s="53"/>
      <c r="C429" s="53"/>
      <c r="D429" s="53"/>
      <c r="E429" s="42"/>
      <c r="F429" s="42"/>
      <c r="G429" s="42"/>
      <c r="H429" s="42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43"/>
      <c r="T429" s="43"/>
      <c r="U429" s="43"/>
      <c r="V429" s="43"/>
      <c r="W429" s="43"/>
      <c r="X429" s="43"/>
      <c r="Y429" s="43"/>
      <c r="Z429" s="43"/>
    </row>
    <row r="430" ht="15.75" customHeight="1">
      <c r="A430" s="53"/>
      <c r="B430" s="53"/>
      <c r="C430" s="53"/>
      <c r="D430" s="53"/>
      <c r="E430" s="42"/>
      <c r="F430" s="42"/>
      <c r="G430" s="42"/>
      <c r="H430" s="42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43"/>
      <c r="T430" s="43"/>
      <c r="U430" s="43"/>
      <c r="V430" s="43"/>
      <c r="W430" s="43"/>
      <c r="X430" s="43"/>
      <c r="Y430" s="43"/>
      <c r="Z430" s="43"/>
    </row>
    <row r="431" ht="15.75" customHeight="1">
      <c r="A431" s="53"/>
      <c r="B431" s="53"/>
      <c r="C431" s="53"/>
      <c r="D431" s="53"/>
      <c r="E431" s="42"/>
      <c r="F431" s="42"/>
      <c r="G431" s="42"/>
      <c r="H431" s="42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43"/>
      <c r="T431" s="43"/>
      <c r="U431" s="43"/>
      <c r="V431" s="43"/>
      <c r="W431" s="43"/>
      <c r="X431" s="43"/>
      <c r="Y431" s="43"/>
      <c r="Z431" s="43"/>
    </row>
    <row r="432" ht="15.75" customHeight="1">
      <c r="A432" s="53"/>
      <c r="B432" s="53"/>
      <c r="C432" s="53"/>
      <c r="D432" s="53"/>
      <c r="E432" s="42"/>
      <c r="F432" s="42"/>
      <c r="G432" s="42"/>
      <c r="H432" s="42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43"/>
      <c r="T432" s="43"/>
      <c r="U432" s="43"/>
      <c r="V432" s="43"/>
      <c r="W432" s="43"/>
      <c r="X432" s="43"/>
      <c r="Y432" s="43"/>
      <c r="Z432" s="43"/>
    </row>
    <row r="433" ht="15.75" customHeight="1">
      <c r="A433" s="53"/>
      <c r="B433" s="53"/>
      <c r="C433" s="53"/>
      <c r="D433" s="53"/>
      <c r="E433" s="42"/>
      <c r="F433" s="42"/>
      <c r="G433" s="42"/>
      <c r="H433" s="42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43"/>
      <c r="T433" s="43"/>
      <c r="U433" s="43"/>
      <c r="V433" s="43"/>
      <c r="W433" s="43"/>
      <c r="X433" s="43"/>
      <c r="Y433" s="43"/>
      <c r="Z433" s="43"/>
    </row>
    <row r="434" ht="15.75" customHeight="1">
      <c r="A434" s="53"/>
      <c r="B434" s="53"/>
      <c r="C434" s="53"/>
      <c r="D434" s="53"/>
      <c r="E434" s="42"/>
      <c r="F434" s="42"/>
      <c r="G434" s="42"/>
      <c r="H434" s="42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43"/>
      <c r="T434" s="43"/>
      <c r="U434" s="43"/>
      <c r="V434" s="43"/>
      <c r="W434" s="43"/>
      <c r="X434" s="43"/>
      <c r="Y434" s="43"/>
      <c r="Z434" s="43"/>
    </row>
    <row r="435" ht="15.75" customHeight="1">
      <c r="A435" s="53"/>
      <c r="B435" s="53"/>
      <c r="C435" s="53"/>
      <c r="D435" s="53"/>
      <c r="E435" s="42"/>
      <c r="F435" s="42"/>
      <c r="G435" s="42"/>
      <c r="H435" s="42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43"/>
      <c r="T435" s="43"/>
      <c r="U435" s="43"/>
      <c r="V435" s="43"/>
      <c r="W435" s="43"/>
      <c r="X435" s="43"/>
      <c r="Y435" s="43"/>
      <c r="Z435" s="43"/>
    </row>
    <row r="436" ht="15.75" customHeight="1">
      <c r="A436" s="53"/>
      <c r="B436" s="53"/>
      <c r="C436" s="53"/>
      <c r="D436" s="53"/>
      <c r="E436" s="42"/>
      <c r="F436" s="42"/>
      <c r="G436" s="42"/>
      <c r="H436" s="42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43"/>
      <c r="T436" s="43"/>
      <c r="U436" s="43"/>
      <c r="V436" s="43"/>
      <c r="W436" s="43"/>
      <c r="X436" s="43"/>
      <c r="Y436" s="43"/>
      <c r="Z436" s="43"/>
    </row>
    <row r="437" ht="15.75" customHeight="1">
      <c r="A437" s="53"/>
      <c r="B437" s="53"/>
      <c r="C437" s="53"/>
      <c r="D437" s="53"/>
      <c r="E437" s="42"/>
      <c r="F437" s="42"/>
      <c r="G437" s="42"/>
      <c r="H437" s="42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43"/>
      <c r="T437" s="43"/>
      <c r="U437" s="43"/>
      <c r="V437" s="43"/>
      <c r="W437" s="43"/>
      <c r="X437" s="43"/>
      <c r="Y437" s="43"/>
      <c r="Z437" s="43"/>
    </row>
    <row r="438" ht="15.75" customHeight="1">
      <c r="A438" s="53"/>
      <c r="B438" s="53"/>
      <c r="C438" s="53"/>
      <c r="D438" s="53"/>
      <c r="E438" s="42"/>
      <c r="F438" s="42"/>
      <c r="G438" s="42"/>
      <c r="H438" s="42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43"/>
      <c r="T438" s="43"/>
      <c r="U438" s="43"/>
      <c r="V438" s="43"/>
      <c r="W438" s="43"/>
      <c r="X438" s="43"/>
      <c r="Y438" s="43"/>
      <c r="Z438" s="43"/>
    </row>
    <row r="439" ht="15.75" customHeight="1">
      <c r="A439" s="53"/>
      <c r="B439" s="53"/>
      <c r="C439" s="53"/>
      <c r="D439" s="53"/>
      <c r="E439" s="42"/>
      <c r="F439" s="42"/>
      <c r="G439" s="42"/>
      <c r="H439" s="42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43"/>
      <c r="T439" s="43"/>
      <c r="U439" s="43"/>
      <c r="V439" s="43"/>
      <c r="W439" s="43"/>
      <c r="X439" s="43"/>
      <c r="Y439" s="43"/>
      <c r="Z439" s="43"/>
    </row>
    <row r="440" ht="15.75" customHeight="1">
      <c r="A440" s="53"/>
      <c r="B440" s="53"/>
      <c r="C440" s="53"/>
      <c r="D440" s="53"/>
      <c r="E440" s="42"/>
      <c r="F440" s="42"/>
      <c r="G440" s="42"/>
      <c r="H440" s="42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43"/>
      <c r="T440" s="43"/>
      <c r="U440" s="43"/>
      <c r="V440" s="43"/>
      <c r="W440" s="43"/>
      <c r="X440" s="43"/>
      <c r="Y440" s="43"/>
      <c r="Z440" s="43"/>
    </row>
    <row r="441" ht="15.75" customHeight="1">
      <c r="A441" s="53"/>
      <c r="B441" s="53"/>
      <c r="C441" s="53"/>
      <c r="D441" s="53"/>
      <c r="E441" s="42"/>
      <c r="F441" s="42"/>
      <c r="G441" s="42"/>
      <c r="H441" s="42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43"/>
      <c r="T441" s="43"/>
      <c r="U441" s="43"/>
      <c r="V441" s="43"/>
      <c r="W441" s="43"/>
      <c r="X441" s="43"/>
      <c r="Y441" s="43"/>
      <c r="Z441" s="43"/>
    </row>
    <row r="442" ht="15.75" customHeight="1">
      <c r="A442" s="53"/>
      <c r="B442" s="53"/>
      <c r="C442" s="53"/>
      <c r="D442" s="53"/>
      <c r="E442" s="42"/>
      <c r="F442" s="42"/>
      <c r="G442" s="42"/>
      <c r="H442" s="42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43"/>
      <c r="T442" s="43"/>
      <c r="U442" s="43"/>
      <c r="V442" s="43"/>
      <c r="W442" s="43"/>
      <c r="X442" s="43"/>
      <c r="Y442" s="43"/>
      <c r="Z442" s="43"/>
    </row>
    <row r="443" ht="15.75" customHeight="1">
      <c r="A443" s="53"/>
      <c r="B443" s="53"/>
      <c r="C443" s="53"/>
      <c r="D443" s="53"/>
      <c r="E443" s="42"/>
      <c r="F443" s="42"/>
      <c r="G443" s="42"/>
      <c r="H443" s="42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43"/>
      <c r="T443" s="43"/>
      <c r="U443" s="43"/>
      <c r="V443" s="43"/>
      <c r="W443" s="43"/>
      <c r="X443" s="43"/>
      <c r="Y443" s="43"/>
      <c r="Z443" s="43"/>
    </row>
    <row r="444" ht="15.75" customHeight="1">
      <c r="A444" s="53"/>
      <c r="B444" s="53"/>
      <c r="C444" s="53"/>
      <c r="D444" s="53"/>
      <c r="E444" s="42"/>
      <c r="F444" s="42"/>
      <c r="G444" s="42"/>
      <c r="H444" s="42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43"/>
      <c r="T444" s="43"/>
      <c r="U444" s="43"/>
      <c r="V444" s="43"/>
      <c r="W444" s="43"/>
      <c r="X444" s="43"/>
      <c r="Y444" s="43"/>
      <c r="Z444" s="43"/>
    </row>
    <row r="445" ht="15.75" customHeight="1">
      <c r="A445" s="53"/>
      <c r="B445" s="53"/>
      <c r="C445" s="53"/>
      <c r="D445" s="53"/>
      <c r="E445" s="42"/>
      <c r="F445" s="42"/>
      <c r="G445" s="42"/>
      <c r="H445" s="42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43"/>
      <c r="T445" s="43"/>
      <c r="U445" s="43"/>
      <c r="V445" s="43"/>
      <c r="W445" s="43"/>
      <c r="X445" s="43"/>
      <c r="Y445" s="43"/>
      <c r="Z445" s="43"/>
    </row>
    <row r="446" ht="15.75" customHeight="1">
      <c r="A446" s="53"/>
      <c r="B446" s="53"/>
      <c r="C446" s="53"/>
      <c r="D446" s="53"/>
      <c r="E446" s="42"/>
      <c r="F446" s="42"/>
      <c r="G446" s="42"/>
      <c r="H446" s="42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43"/>
      <c r="T446" s="43"/>
      <c r="U446" s="43"/>
      <c r="V446" s="43"/>
      <c r="W446" s="43"/>
      <c r="X446" s="43"/>
      <c r="Y446" s="43"/>
      <c r="Z446" s="43"/>
    </row>
    <row r="447" ht="15.75" customHeight="1">
      <c r="A447" s="53"/>
      <c r="B447" s="53"/>
      <c r="C447" s="53"/>
      <c r="D447" s="53"/>
      <c r="E447" s="42"/>
      <c r="F447" s="42"/>
      <c r="G447" s="42"/>
      <c r="H447" s="42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43"/>
      <c r="T447" s="43"/>
      <c r="U447" s="43"/>
      <c r="V447" s="43"/>
      <c r="W447" s="43"/>
      <c r="X447" s="43"/>
      <c r="Y447" s="43"/>
      <c r="Z447" s="43"/>
    </row>
    <row r="448" ht="15.75" customHeight="1">
      <c r="A448" s="53"/>
      <c r="B448" s="53"/>
      <c r="C448" s="53"/>
      <c r="D448" s="53"/>
      <c r="E448" s="42"/>
      <c r="F448" s="42"/>
      <c r="G448" s="42"/>
      <c r="H448" s="42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43"/>
      <c r="T448" s="43"/>
      <c r="U448" s="43"/>
      <c r="V448" s="43"/>
      <c r="W448" s="43"/>
      <c r="X448" s="43"/>
      <c r="Y448" s="43"/>
      <c r="Z448" s="43"/>
    </row>
    <row r="449" ht="15.75" customHeight="1">
      <c r="A449" s="53"/>
      <c r="B449" s="53"/>
      <c r="C449" s="53"/>
      <c r="D449" s="53"/>
      <c r="E449" s="42"/>
      <c r="F449" s="42"/>
      <c r="G449" s="42"/>
      <c r="H449" s="42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43"/>
      <c r="T449" s="43"/>
      <c r="U449" s="43"/>
      <c r="V449" s="43"/>
      <c r="W449" s="43"/>
      <c r="X449" s="43"/>
      <c r="Y449" s="43"/>
      <c r="Z449" s="43"/>
    </row>
    <row r="450" ht="15.75" customHeight="1">
      <c r="A450" s="53"/>
      <c r="B450" s="53"/>
      <c r="C450" s="53"/>
      <c r="D450" s="53"/>
      <c r="E450" s="42"/>
      <c r="F450" s="42"/>
      <c r="G450" s="42"/>
      <c r="H450" s="42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43"/>
      <c r="T450" s="43"/>
      <c r="U450" s="43"/>
      <c r="V450" s="43"/>
      <c r="W450" s="43"/>
      <c r="X450" s="43"/>
      <c r="Y450" s="43"/>
      <c r="Z450" s="43"/>
    </row>
    <row r="451" ht="15.75" customHeight="1">
      <c r="A451" s="53"/>
      <c r="B451" s="53"/>
      <c r="C451" s="53"/>
      <c r="D451" s="53"/>
      <c r="E451" s="42"/>
      <c r="F451" s="42"/>
      <c r="G451" s="42"/>
      <c r="H451" s="42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43"/>
      <c r="T451" s="43"/>
      <c r="U451" s="43"/>
      <c r="V451" s="43"/>
      <c r="W451" s="43"/>
      <c r="X451" s="43"/>
      <c r="Y451" s="43"/>
      <c r="Z451" s="43"/>
    </row>
    <row r="452" ht="15.75" customHeight="1">
      <c r="A452" s="53"/>
      <c r="B452" s="53"/>
      <c r="C452" s="53"/>
      <c r="D452" s="53"/>
      <c r="E452" s="42"/>
      <c r="F452" s="42"/>
      <c r="G452" s="42"/>
      <c r="H452" s="42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43"/>
      <c r="T452" s="43"/>
      <c r="U452" s="43"/>
      <c r="V452" s="43"/>
      <c r="W452" s="43"/>
      <c r="X452" s="43"/>
      <c r="Y452" s="43"/>
      <c r="Z452" s="43"/>
    </row>
    <row r="453" ht="15.75" customHeight="1">
      <c r="A453" s="53"/>
      <c r="B453" s="53"/>
      <c r="C453" s="53"/>
      <c r="D453" s="53"/>
      <c r="E453" s="42"/>
      <c r="F453" s="42"/>
      <c r="G453" s="42"/>
      <c r="H453" s="42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43"/>
      <c r="T453" s="43"/>
      <c r="U453" s="43"/>
      <c r="V453" s="43"/>
      <c r="W453" s="43"/>
      <c r="X453" s="43"/>
      <c r="Y453" s="43"/>
      <c r="Z453" s="43"/>
    </row>
    <row r="454" ht="15.75" customHeight="1">
      <c r="A454" s="53"/>
      <c r="B454" s="53"/>
      <c r="C454" s="53"/>
      <c r="D454" s="53"/>
      <c r="E454" s="42"/>
      <c r="F454" s="42"/>
      <c r="G454" s="42"/>
      <c r="H454" s="42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43"/>
      <c r="T454" s="43"/>
      <c r="U454" s="43"/>
      <c r="V454" s="43"/>
      <c r="W454" s="43"/>
      <c r="X454" s="43"/>
      <c r="Y454" s="43"/>
      <c r="Z454" s="43"/>
    </row>
    <row r="455" ht="15.75" customHeight="1">
      <c r="A455" s="53"/>
      <c r="B455" s="53"/>
      <c r="C455" s="53"/>
      <c r="D455" s="53"/>
      <c r="E455" s="42"/>
      <c r="F455" s="42"/>
      <c r="G455" s="42"/>
      <c r="H455" s="42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43"/>
      <c r="T455" s="43"/>
      <c r="U455" s="43"/>
      <c r="V455" s="43"/>
      <c r="W455" s="43"/>
      <c r="X455" s="43"/>
      <c r="Y455" s="43"/>
      <c r="Z455" s="43"/>
    </row>
    <row r="456" ht="15.75" customHeight="1">
      <c r="A456" s="53"/>
      <c r="B456" s="53"/>
      <c r="C456" s="53"/>
      <c r="D456" s="53"/>
      <c r="E456" s="42"/>
      <c r="F456" s="42"/>
      <c r="G456" s="42"/>
      <c r="H456" s="42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43"/>
      <c r="T456" s="43"/>
      <c r="U456" s="43"/>
      <c r="V456" s="43"/>
      <c r="W456" s="43"/>
      <c r="X456" s="43"/>
      <c r="Y456" s="43"/>
      <c r="Z456" s="43"/>
    </row>
    <row r="457" ht="15.75" customHeight="1">
      <c r="A457" s="53"/>
      <c r="B457" s="53"/>
      <c r="C457" s="53"/>
      <c r="D457" s="53"/>
      <c r="E457" s="42"/>
      <c r="F457" s="42"/>
      <c r="G457" s="42"/>
      <c r="H457" s="42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43"/>
      <c r="T457" s="43"/>
      <c r="U457" s="43"/>
      <c r="V457" s="43"/>
      <c r="W457" s="43"/>
      <c r="X457" s="43"/>
      <c r="Y457" s="43"/>
      <c r="Z457" s="43"/>
    </row>
    <row r="458" ht="15.75" customHeight="1">
      <c r="A458" s="53"/>
      <c r="B458" s="53"/>
      <c r="C458" s="53"/>
      <c r="D458" s="53"/>
      <c r="E458" s="42"/>
      <c r="F458" s="42"/>
      <c r="G458" s="42"/>
      <c r="H458" s="42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43"/>
      <c r="T458" s="43"/>
      <c r="U458" s="43"/>
      <c r="V458" s="43"/>
      <c r="W458" s="43"/>
      <c r="X458" s="43"/>
      <c r="Y458" s="43"/>
      <c r="Z458" s="43"/>
    </row>
    <row r="459" ht="15.75" customHeight="1">
      <c r="A459" s="53"/>
      <c r="B459" s="53"/>
      <c r="C459" s="53"/>
      <c r="D459" s="53"/>
      <c r="E459" s="42"/>
      <c r="F459" s="42"/>
      <c r="G459" s="42"/>
      <c r="H459" s="42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43"/>
      <c r="T459" s="43"/>
      <c r="U459" s="43"/>
      <c r="V459" s="43"/>
      <c r="W459" s="43"/>
      <c r="X459" s="43"/>
      <c r="Y459" s="43"/>
      <c r="Z459" s="43"/>
    </row>
    <row r="460" ht="15.75" customHeight="1">
      <c r="A460" s="53"/>
      <c r="B460" s="53"/>
      <c r="C460" s="53"/>
      <c r="D460" s="53"/>
      <c r="E460" s="42"/>
      <c r="F460" s="42"/>
      <c r="G460" s="42"/>
      <c r="H460" s="42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43"/>
      <c r="T460" s="43"/>
      <c r="U460" s="43"/>
      <c r="V460" s="43"/>
      <c r="W460" s="43"/>
      <c r="X460" s="43"/>
      <c r="Y460" s="43"/>
      <c r="Z460" s="43"/>
    </row>
    <row r="461" ht="15.75" customHeight="1">
      <c r="A461" s="53"/>
      <c r="B461" s="53"/>
      <c r="C461" s="53"/>
      <c r="D461" s="53"/>
      <c r="E461" s="42"/>
      <c r="F461" s="42"/>
      <c r="G461" s="42"/>
      <c r="H461" s="42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43"/>
      <c r="T461" s="43"/>
      <c r="U461" s="43"/>
      <c r="V461" s="43"/>
      <c r="W461" s="43"/>
      <c r="X461" s="43"/>
      <c r="Y461" s="43"/>
      <c r="Z461" s="43"/>
    </row>
    <row r="462" ht="15.75" customHeight="1">
      <c r="A462" s="53"/>
      <c r="B462" s="53"/>
      <c r="C462" s="53"/>
      <c r="D462" s="53"/>
      <c r="E462" s="42"/>
      <c r="F462" s="42"/>
      <c r="G462" s="42"/>
      <c r="H462" s="42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43"/>
      <c r="T462" s="43"/>
      <c r="U462" s="43"/>
      <c r="V462" s="43"/>
      <c r="W462" s="43"/>
      <c r="X462" s="43"/>
      <c r="Y462" s="43"/>
      <c r="Z462" s="43"/>
    </row>
    <row r="463" ht="15.75" customHeight="1">
      <c r="A463" s="53"/>
      <c r="B463" s="53"/>
      <c r="C463" s="53"/>
      <c r="D463" s="53"/>
      <c r="E463" s="42"/>
      <c r="F463" s="42"/>
      <c r="G463" s="42"/>
      <c r="H463" s="42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43"/>
      <c r="T463" s="43"/>
      <c r="U463" s="43"/>
      <c r="V463" s="43"/>
      <c r="W463" s="43"/>
      <c r="X463" s="43"/>
      <c r="Y463" s="43"/>
      <c r="Z463" s="43"/>
    </row>
    <row r="464" ht="15.75" customHeight="1">
      <c r="A464" s="53"/>
      <c r="B464" s="53"/>
      <c r="C464" s="53"/>
      <c r="D464" s="53"/>
      <c r="E464" s="42"/>
      <c r="F464" s="42"/>
      <c r="G464" s="42"/>
      <c r="H464" s="42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43"/>
      <c r="T464" s="43"/>
      <c r="U464" s="43"/>
      <c r="V464" s="43"/>
      <c r="W464" s="43"/>
      <c r="X464" s="43"/>
      <c r="Y464" s="43"/>
      <c r="Z464" s="43"/>
    </row>
    <row r="465" ht="15.75" customHeight="1">
      <c r="A465" s="53"/>
      <c r="B465" s="53"/>
      <c r="C465" s="53"/>
      <c r="D465" s="53"/>
      <c r="E465" s="42"/>
      <c r="F465" s="42"/>
      <c r="G465" s="42"/>
      <c r="H465" s="42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43"/>
      <c r="T465" s="43"/>
      <c r="U465" s="43"/>
      <c r="V465" s="43"/>
      <c r="W465" s="43"/>
      <c r="X465" s="43"/>
      <c r="Y465" s="43"/>
      <c r="Z465" s="43"/>
    </row>
    <row r="466" ht="15.75" customHeight="1">
      <c r="A466" s="53"/>
      <c r="B466" s="53"/>
      <c r="C466" s="53"/>
      <c r="D466" s="53"/>
      <c r="E466" s="42"/>
      <c r="F466" s="42"/>
      <c r="G466" s="42"/>
      <c r="H466" s="42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43"/>
      <c r="T466" s="43"/>
      <c r="U466" s="43"/>
      <c r="V466" s="43"/>
      <c r="W466" s="43"/>
      <c r="X466" s="43"/>
      <c r="Y466" s="43"/>
      <c r="Z466" s="43"/>
    </row>
    <row r="467" ht="15.75" customHeight="1">
      <c r="A467" s="53"/>
      <c r="B467" s="53"/>
      <c r="C467" s="53"/>
      <c r="D467" s="53"/>
      <c r="E467" s="42"/>
      <c r="F467" s="42"/>
      <c r="G467" s="42"/>
      <c r="H467" s="42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43"/>
      <c r="T467" s="43"/>
      <c r="U467" s="43"/>
      <c r="V467" s="43"/>
      <c r="W467" s="43"/>
      <c r="X467" s="43"/>
      <c r="Y467" s="43"/>
      <c r="Z467" s="43"/>
    </row>
    <row r="468" ht="15.75" customHeight="1">
      <c r="A468" s="53"/>
      <c r="B468" s="53"/>
      <c r="C468" s="53"/>
      <c r="D468" s="53"/>
      <c r="E468" s="42"/>
      <c r="F468" s="42"/>
      <c r="G468" s="42"/>
      <c r="H468" s="42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43"/>
      <c r="T468" s="43"/>
      <c r="U468" s="43"/>
      <c r="V468" s="43"/>
      <c r="W468" s="43"/>
      <c r="X468" s="43"/>
      <c r="Y468" s="43"/>
      <c r="Z468" s="43"/>
    </row>
    <row r="469" ht="15.75" customHeight="1">
      <c r="A469" s="53"/>
      <c r="B469" s="53"/>
      <c r="C469" s="53"/>
      <c r="D469" s="53"/>
      <c r="E469" s="42"/>
      <c r="F469" s="42"/>
      <c r="G469" s="42"/>
      <c r="H469" s="42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43"/>
      <c r="T469" s="43"/>
      <c r="U469" s="43"/>
      <c r="V469" s="43"/>
      <c r="W469" s="43"/>
      <c r="X469" s="43"/>
      <c r="Y469" s="43"/>
      <c r="Z469" s="43"/>
    </row>
    <row r="470" ht="15.75" customHeight="1">
      <c r="A470" s="53"/>
      <c r="B470" s="53"/>
      <c r="C470" s="53"/>
      <c r="D470" s="53"/>
      <c r="E470" s="42"/>
      <c r="F470" s="42"/>
      <c r="G470" s="42"/>
      <c r="H470" s="42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43"/>
      <c r="T470" s="43"/>
      <c r="U470" s="43"/>
      <c r="V470" s="43"/>
      <c r="W470" s="43"/>
      <c r="X470" s="43"/>
      <c r="Y470" s="43"/>
      <c r="Z470" s="43"/>
    </row>
    <row r="471" ht="15.75" customHeight="1">
      <c r="A471" s="53"/>
      <c r="B471" s="53"/>
      <c r="C471" s="53"/>
      <c r="D471" s="53"/>
      <c r="E471" s="42"/>
      <c r="F471" s="42"/>
      <c r="G471" s="42"/>
      <c r="H471" s="42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43"/>
      <c r="T471" s="43"/>
      <c r="U471" s="43"/>
      <c r="V471" s="43"/>
      <c r="W471" s="43"/>
      <c r="X471" s="43"/>
      <c r="Y471" s="43"/>
      <c r="Z471" s="43"/>
    </row>
    <row r="472" ht="15.75" customHeight="1">
      <c r="A472" s="53"/>
      <c r="B472" s="53"/>
      <c r="C472" s="53"/>
      <c r="D472" s="53"/>
      <c r="E472" s="42"/>
      <c r="F472" s="42"/>
      <c r="G472" s="42"/>
      <c r="H472" s="42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43"/>
      <c r="T472" s="43"/>
      <c r="U472" s="43"/>
      <c r="V472" s="43"/>
      <c r="W472" s="43"/>
      <c r="X472" s="43"/>
      <c r="Y472" s="43"/>
      <c r="Z472" s="43"/>
    </row>
    <row r="473" ht="15.75" customHeight="1">
      <c r="A473" s="53"/>
      <c r="B473" s="53"/>
      <c r="C473" s="53"/>
      <c r="D473" s="53"/>
      <c r="E473" s="42"/>
      <c r="F473" s="42"/>
      <c r="G473" s="42"/>
      <c r="H473" s="42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43"/>
      <c r="T473" s="43"/>
      <c r="U473" s="43"/>
      <c r="V473" s="43"/>
      <c r="W473" s="43"/>
      <c r="X473" s="43"/>
      <c r="Y473" s="43"/>
      <c r="Z473" s="43"/>
    </row>
    <row r="474" ht="15.75" customHeight="1">
      <c r="A474" s="53"/>
      <c r="B474" s="53"/>
      <c r="C474" s="53"/>
      <c r="D474" s="53"/>
      <c r="E474" s="42"/>
      <c r="F474" s="42"/>
      <c r="G474" s="42"/>
      <c r="H474" s="42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43"/>
      <c r="T474" s="43"/>
      <c r="U474" s="43"/>
      <c r="V474" s="43"/>
      <c r="W474" s="43"/>
      <c r="X474" s="43"/>
      <c r="Y474" s="43"/>
      <c r="Z474" s="43"/>
    </row>
    <row r="475" ht="15.75" customHeight="1">
      <c r="A475" s="53"/>
      <c r="B475" s="53"/>
      <c r="C475" s="53"/>
      <c r="D475" s="53"/>
      <c r="E475" s="42"/>
      <c r="F475" s="42"/>
      <c r="G475" s="42"/>
      <c r="H475" s="42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43"/>
      <c r="T475" s="43"/>
      <c r="U475" s="43"/>
      <c r="V475" s="43"/>
      <c r="W475" s="43"/>
      <c r="X475" s="43"/>
      <c r="Y475" s="43"/>
      <c r="Z475" s="43"/>
    </row>
    <row r="476" ht="15.75" customHeight="1">
      <c r="A476" s="53"/>
      <c r="B476" s="53"/>
      <c r="C476" s="53"/>
      <c r="D476" s="53"/>
      <c r="E476" s="42"/>
      <c r="F476" s="42"/>
      <c r="G476" s="42"/>
      <c r="H476" s="42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43"/>
      <c r="T476" s="43"/>
      <c r="U476" s="43"/>
      <c r="V476" s="43"/>
      <c r="W476" s="43"/>
      <c r="X476" s="43"/>
      <c r="Y476" s="43"/>
      <c r="Z476" s="43"/>
    </row>
    <row r="477" ht="15.75" customHeight="1">
      <c r="A477" s="53"/>
      <c r="B477" s="53"/>
      <c r="C477" s="53"/>
      <c r="D477" s="53"/>
      <c r="E477" s="42"/>
      <c r="F477" s="42"/>
      <c r="G477" s="42"/>
      <c r="H477" s="42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43"/>
      <c r="T477" s="43"/>
      <c r="U477" s="43"/>
      <c r="V477" s="43"/>
      <c r="W477" s="43"/>
      <c r="X477" s="43"/>
      <c r="Y477" s="43"/>
      <c r="Z477" s="43"/>
    </row>
    <row r="478" ht="15.75" customHeight="1">
      <c r="A478" s="53"/>
      <c r="B478" s="53"/>
      <c r="C478" s="53"/>
      <c r="D478" s="53"/>
      <c r="E478" s="42"/>
      <c r="F478" s="42"/>
      <c r="G478" s="42"/>
      <c r="H478" s="42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43"/>
      <c r="T478" s="43"/>
      <c r="U478" s="43"/>
      <c r="V478" s="43"/>
      <c r="W478" s="43"/>
      <c r="X478" s="43"/>
      <c r="Y478" s="43"/>
      <c r="Z478" s="43"/>
    </row>
    <row r="479" ht="15.75" customHeight="1">
      <c r="A479" s="53"/>
      <c r="B479" s="53"/>
      <c r="C479" s="53"/>
      <c r="D479" s="53"/>
      <c r="E479" s="42"/>
      <c r="F479" s="42"/>
      <c r="G479" s="42"/>
      <c r="H479" s="42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43"/>
      <c r="T479" s="43"/>
      <c r="U479" s="43"/>
      <c r="V479" s="43"/>
      <c r="W479" s="43"/>
      <c r="X479" s="43"/>
      <c r="Y479" s="43"/>
      <c r="Z479" s="43"/>
    </row>
    <row r="480" ht="15.75" customHeight="1">
      <c r="A480" s="53"/>
      <c r="B480" s="53"/>
      <c r="C480" s="53"/>
      <c r="D480" s="53"/>
      <c r="E480" s="42"/>
      <c r="F480" s="42"/>
      <c r="G480" s="42"/>
      <c r="H480" s="42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43"/>
      <c r="T480" s="43"/>
      <c r="U480" s="43"/>
      <c r="V480" s="43"/>
      <c r="W480" s="43"/>
      <c r="X480" s="43"/>
      <c r="Y480" s="43"/>
      <c r="Z480" s="43"/>
    </row>
    <row r="481" ht="15.75" customHeight="1">
      <c r="A481" s="53"/>
      <c r="B481" s="53"/>
      <c r="C481" s="53"/>
      <c r="D481" s="53"/>
      <c r="E481" s="42"/>
      <c r="F481" s="42"/>
      <c r="G481" s="42"/>
      <c r="H481" s="42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43"/>
      <c r="T481" s="43"/>
      <c r="U481" s="43"/>
      <c r="V481" s="43"/>
      <c r="W481" s="43"/>
      <c r="X481" s="43"/>
      <c r="Y481" s="43"/>
      <c r="Z481" s="43"/>
    </row>
    <row r="482" ht="15.75" customHeight="1">
      <c r="A482" s="53"/>
      <c r="B482" s="53"/>
      <c r="C482" s="53"/>
      <c r="D482" s="53"/>
      <c r="E482" s="42"/>
      <c r="F482" s="42"/>
      <c r="G482" s="42"/>
      <c r="H482" s="42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43"/>
      <c r="T482" s="43"/>
      <c r="U482" s="43"/>
      <c r="V482" s="43"/>
      <c r="W482" s="43"/>
      <c r="X482" s="43"/>
      <c r="Y482" s="43"/>
      <c r="Z482" s="43"/>
    </row>
    <row r="483" ht="15.75" customHeight="1">
      <c r="A483" s="53"/>
      <c r="B483" s="53"/>
      <c r="C483" s="53"/>
      <c r="D483" s="53"/>
      <c r="E483" s="42"/>
      <c r="F483" s="42"/>
      <c r="G483" s="42"/>
      <c r="H483" s="42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43"/>
      <c r="T483" s="43"/>
      <c r="U483" s="43"/>
      <c r="V483" s="43"/>
      <c r="W483" s="43"/>
      <c r="X483" s="43"/>
      <c r="Y483" s="43"/>
      <c r="Z483" s="43"/>
    </row>
    <row r="484" ht="15.75" customHeight="1">
      <c r="A484" s="53"/>
      <c r="B484" s="53"/>
      <c r="C484" s="53"/>
      <c r="D484" s="53"/>
      <c r="E484" s="42"/>
      <c r="F484" s="42"/>
      <c r="G484" s="42"/>
      <c r="H484" s="42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43"/>
      <c r="T484" s="43"/>
      <c r="U484" s="43"/>
      <c r="V484" s="43"/>
      <c r="W484" s="43"/>
      <c r="X484" s="43"/>
      <c r="Y484" s="43"/>
      <c r="Z484" s="43"/>
    </row>
    <row r="485" ht="15.75" customHeight="1">
      <c r="A485" s="53"/>
      <c r="B485" s="53"/>
      <c r="C485" s="53"/>
      <c r="D485" s="53"/>
      <c r="E485" s="42"/>
      <c r="F485" s="42"/>
      <c r="G485" s="42"/>
      <c r="H485" s="42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43"/>
      <c r="T485" s="43"/>
      <c r="U485" s="43"/>
      <c r="V485" s="43"/>
      <c r="W485" s="43"/>
      <c r="X485" s="43"/>
      <c r="Y485" s="43"/>
      <c r="Z485" s="43"/>
    </row>
    <row r="486" ht="15.75" customHeight="1">
      <c r="A486" s="53"/>
      <c r="B486" s="53"/>
      <c r="C486" s="53"/>
      <c r="D486" s="53"/>
      <c r="E486" s="42"/>
      <c r="F486" s="42"/>
      <c r="G486" s="42"/>
      <c r="H486" s="42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43"/>
      <c r="T486" s="43"/>
      <c r="U486" s="43"/>
      <c r="V486" s="43"/>
      <c r="W486" s="43"/>
      <c r="X486" s="43"/>
      <c r="Y486" s="43"/>
      <c r="Z486" s="43"/>
    </row>
    <row r="487" ht="15.75" customHeight="1">
      <c r="A487" s="53"/>
      <c r="B487" s="53"/>
      <c r="C487" s="53"/>
      <c r="D487" s="53"/>
      <c r="E487" s="42"/>
      <c r="F487" s="42"/>
      <c r="G487" s="42"/>
      <c r="H487" s="42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43"/>
      <c r="T487" s="43"/>
      <c r="U487" s="43"/>
      <c r="V487" s="43"/>
      <c r="W487" s="43"/>
      <c r="X487" s="43"/>
      <c r="Y487" s="43"/>
      <c r="Z487" s="43"/>
    </row>
    <row r="488" ht="15.75" customHeight="1">
      <c r="A488" s="53"/>
      <c r="B488" s="53"/>
      <c r="C488" s="53"/>
      <c r="D488" s="53"/>
      <c r="E488" s="42"/>
      <c r="F488" s="42"/>
      <c r="G488" s="42"/>
      <c r="H488" s="42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43"/>
      <c r="T488" s="43"/>
      <c r="U488" s="43"/>
      <c r="V488" s="43"/>
      <c r="W488" s="43"/>
      <c r="X488" s="43"/>
      <c r="Y488" s="43"/>
      <c r="Z488" s="43"/>
    </row>
    <row r="489" ht="15.75" customHeight="1">
      <c r="A489" s="53"/>
      <c r="B489" s="53"/>
      <c r="C489" s="53"/>
      <c r="D489" s="53"/>
      <c r="E489" s="42"/>
      <c r="F489" s="42"/>
      <c r="G489" s="42"/>
      <c r="H489" s="42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43"/>
      <c r="T489" s="43"/>
      <c r="U489" s="43"/>
      <c r="V489" s="43"/>
      <c r="W489" s="43"/>
      <c r="X489" s="43"/>
      <c r="Y489" s="43"/>
      <c r="Z489" s="43"/>
    </row>
    <row r="490" ht="15.75" customHeight="1">
      <c r="A490" s="53"/>
      <c r="B490" s="53"/>
      <c r="C490" s="53"/>
      <c r="D490" s="53"/>
      <c r="E490" s="42"/>
      <c r="F490" s="42"/>
      <c r="G490" s="42"/>
      <c r="H490" s="42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43"/>
      <c r="T490" s="43"/>
      <c r="U490" s="43"/>
      <c r="V490" s="43"/>
      <c r="W490" s="43"/>
      <c r="X490" s="43"/>
      <c r="Y490" s="43"/>
      <c r="Z490" s="43"/>
    </row>
    <row r="491" ht="15.75" customHeight="1">
      <c r="A491" s="53"/>
      <c r="B491" s="53"/>
      <c r="C491" s="53"/>
      <c r="D491" s="53"/>
      <c r="E491" s="42"/>
      <c r="F491" s="42"/>
      <c r="G491" s="42"/>
      <c r="H491" s="42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43"/>
      <c r="T491" s="43"/>
      <c r="U491" s="43"/>
      <c r="V491" s="43"/>
      <c r="W491" s="43"/>
      <c r="X491" s="43"/>
      <c r="Y491" s="43"/>
      <c r="Z491" s="43"/>
    </row>
    <row r="492" ht="15.75" customHeight="1">
      <c r="A492" s="53"/>
      <c r="B492" s="53"/>
      <c r="C492" s="53"/>
      <c r="D492" s="53"/>
      <c r="E492" s="42"/>
      <c r="F492" s="42"/>
      <c r="G492" s="42"/>
      <c r="H492" s="42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43"/>
      <c r="T492" s="43"/>
      <c r="U492" s="43"/>
      <c r="V492" s="43"/>
      <c r="W492" s="43"/>
      <c r="X492" s="43"/>
      <c r="Y492" s="43"/>
      <c r="Z492" s="43"/>
    </row>
    <row r="493" ht="15.75" customHeight="1">
      <c r="A493" s="53"/>
      <c r="B493" s="53"/>
      <c r="C493" s="53"/>
      <c r="D493" s="53"/>
      <c r="E493" s="42"/>
      <c r="F493" s="42"/>
      <c r="G493" s="42"/>
      <c r="H493" s="42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43"/>
      <c r="T493" s="43"/>
      <c r="U493" s="43"/>
      <c r="V493" s="43"/>
      <c r="W493" s="43"/>
      <c r="X493" s="43"/>
      <c r="Y493" s="43"/>
      <c r="Z493" s="43"/>
    </row>
    <row r="494" ht="15.75" customHeight="1">
      <c r="A494" s="53"/>
      <c r="B494" s="53"/>
      <c r="C494" s="53"/>
      <c r="D494" s="53"/>
      <c r="E494" s="42"/>
      <c r="F494" s="42"/>
      <c r="G494" s="42"/>
      <c r="H494" s="42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43"/>
      <c r="T494" s="43"/>
      <c r="U494" s="43"/>
      <c r="V494" s="43"/>
      <c r="W494" s="43"/>
      <c r="X494" s="43"/>
      <c r="Y494" s="43"/>
      <c r="Z494" s="43"/>
    </row>
    <row r="495" ht="15.75" customHeight="1">
      <c r="A495" s="53"/>
      <c r="B495" s="53"/>
      <c r="C495" s="53"/>
      <c r="D495" s="53"/>
      <c r="E495" s="42"/>
      <c r="F495" s="42"/>
      <c r="G495" s="42"/>
      <c r="H495" s="42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43"/>
      <c r="T495" s="43"/>
      <c r="U495" s="43"/>
      <c r="V495" s="43"/>
      <c r="W495" s="43"/>
      <c r="X495" s="43"/>
      <c r="Y495" s="43"/>
      <c r="Z495" s="43"/>
    </row>
    <row r="496" ht="15.75" customHeight="1">
      <c r="A496" s="53"/>
      <c r="B496" s="53"/>
      <c r="C496" s="53"/>
      <c r="D496" s="53"/>
      <c r="E496" s="42"/>
      <c r="F496" s="42"/>
      <c r="G496" s="42"/>
      <c r="H496" s="42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43"/>
      <c r="T496" s="43"/>
      <c r="U496" s="43"/>
      <c r="V496" s="43"/>
      <c r="W496" s="43"/>
      <c r="X496" s="43"/>
      <c r="Y496" s="43"/>
      <c r="Z496" s="43"/>
    </row>
    <row r="497" ht="15.75" customHeight="1">
      <c r="A497" s="53"/>
      <c r="B497" s="53"/>
      <c r="C497" s="53"/>
      <c r="D497" s="53"/>
      <c r="E497" s="42"/>
      <c r="F497" s="42"/>
      <c r="G497" s="42"/>
      <c r="H497" s="42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43"/>
      <c r="T497" s="43"/>
      <c r="U497" s="43"/>
      <c r="V497" s="43"/>
      <c r="W497" s="43"/>
      <c r="X497" s="43"/>
      <c r="Y497" s="43"/>
      <c r="Z497" s="43"/>
    </row>
    <row r="498" ht="15.75" customHeight="1">
      <c r="A498" s="53"/>
      <c r="B498" s="53"/>
      <c r="C498" s="53"/>
      <c r="D498" s="53"/>
      <c r="E498" s="42"/>
      <c r="F498" s="42"/>
      <c r="G498" s="42"/>
      <c r="H498" s="42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43"/>
      <c r="T498" s="43"/>
      <c r="U498" s="43"/>
      <c r="V498" s="43"/>
      <c r="W498" s="43"/>
      <c r="X498" s="43"/>
      <c r="Y498" s="43"/>
      <c r="Z498" s="43"/>
    </row>
    <row r="499" ht="15.75" customHeight="1">
      <c r="A499" s="53"/>
      <c r="B499" s="53"/>
      <c r="C499" s="53"/>
      <c r="D499" s="53"/>
      <c r="E499" s="42"/>
      <c r="F499" s="42"/>
      <c r="G499" s="42"/>
      <c r="H499" s="42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43"/>
      <c r="T499" s="43"/>
      <c r="U499" s="43"/>
      <c r="V499" s="43"/>
      <c r="W499" s="43"/>
      <c r="X499" s="43"/>
      <c r="Y499" s="43"/>
      <c r="Z499" s="43"/>
    </row>
    <row r="500" ht="15.75" customHeight="1">
      <c r="A500" s="53"/>
      <c r="B500" s="53"/>
      <c r="C500" s="53"/>
      <c r="D500" s="53"/>
      <c r="E500" s="42"/>
      <c r="F500" s="42"/>
      <c r="G500" s="42"/>
      <c r="H500" s="42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43"/>
      <c r="T500" s="43"/>
      <c r="U500" s="43"/>
      <c r="V500" s="43"/>
      <c r="W500" s="43"/>
      <c r="X500" s="43"/>
      <c r="Y500" s="43"/>
      <c r="Z500" s="43"/>
    </row>
    <row r="501" ht="15.75" customHeight="1">
      <c r="A501" s="53"/>
      <c r="B501" s="53"/>
      <c r="C501" s="53"/>
      <c r="D501" s="53"/>
      <c r="E501" s="42"/>
      <c r="F501" s="42"/>
      <c r="G501" s="42"/>
      <c r="H501" s="42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43"/>
      <c r="T501" s="43"/>
      <c r="U501" s="43"/>
      <c r="V501" s="43"/>
      <c r="W501" s="43"/>
      <c r="X501" s="43"/>
      <c r="Y501" s="43"/>
      <c r="Z501" s="43"/>
    </row>
    <row r="502" ht="15.75" customHeight="1">
      <c r="A502" s="53"/>
      <c r="B502" s="53"/>
      <c r="C502" s="53"/>
      <c r="D502" s="53"/>
      <c r="E502" s="42"/>
      <c r="F502" s="42"/>
      <c r="G502" s="42"/>
      <c r="H502" s="42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43"/>
      <c r="T502" s="43"/>
      <c r="U502" s="43"/>
      <c r="V502" s="43"/>
      <c r="W502" s="43"/>
      <c r="X502" s="43"/>
      <c r="Y502" s="43"/>
      <c r="Z502" s="43"/>
    </row>
    <row r="503" ht="15.75" customHeight="1">
      <c r="A503" s="53"/>
      <c r="B503" s="53"/>
      <c r="C503" s="53"/>
      <c r="D503" s="53"/>
      <c r="E503" s="42"/>
      <c r="F503" s="42"/>
      <c r="G503" s="42"/>
      <c r="H503" s="42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43"/>
      <c r="T503" s="43"/>
      <c r="U503" s="43"/>
      <c r="V503" s="43"/>
      <c r="W503" s="43"/>
      <c r="X503" s="43"/>
      <c r="Y503" s="43"/>
      <c r="Z503" s="43"/>
    </row>
    <row r="504" ht="15.75" customHeight="1">
      <c r="A504" s="53"/>
      <c r="B504" s="53"/>
      <c r="C504" s="53"/>
      <c r="D504" s="53"/>
      <c r="E504" s="42"/>
      <c r="F504" s="42"/>
      <c r="G504" s="42"/>
      <c r="H504" s="42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43"/>
      <c r="T504" s="43"/>
      <c r="U504" s="43"/>
      <c r="V504" s="43"/>
      <c r="W504" s="43"/>
      <c r="X504" s="43"/>
      <c r="Y504" s="43"/>
      <c r="Z504" s="43"/>
    </row>
    <row r="505" ht="15.75" customHeight="1">
      <c r="A505" s="53"/>
      <c r="B505" s="53"/>
      <c r="C505" s="53"/>
      <c r="D505" s="53"/>
      <c r="E505" s="42"/>
      <c r="F505" s="42"/>
      <c r="G505" s="42"/>
      <c r="H505" s="42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43"/>
      <c r="T505" s="43"/>
      <c r="U505" s="43"/>
      <c r="V505" s="43"/>
      <c r="W505" s="43"/>
      <c r="X505" s="43"/>
      <c r="Y505" s="43"/>
      <c r="Z505" s="43"/>
    </row>
    <row r="506" ht="15.75" customHeight="1">
      <c r="A506" s="53"/>
      <c r="B506" s="53"/>
      <c r="C506" s="53"/>
      <c r="D506" s="53"/>
      <c r="E506" s="42"/>
      <c r="F506" s="42"/>
      <c r="G506" s="42"/>
      <c r="H506" s="42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43"/>
      <c r="T506" s="43"/>
      <c r="U506" s="43"/>
      <c r="V506" s="43"/>
      <c r="W506" s="43"/>
      <c r="X506" s="43"/>
      <c r="Y506" s="43"/>
      <c r="Z506" s="43"/>
    </row>
    <row r="507" ht="15.75" customHeight="1">
      <c r="A507" s="53"/>
      <c r="B507" s="53"/>
      <c r="C507" s="53"/>
      <c r="D507" s="53"/>
      <c r="E507" s="42"/>
      <c r="F507" s="42"/>
      <c r="G507" s="42"/>
      <c r="H507" s="42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43"/>
      <c r="T507" s="43"/>
      <c r="U507" s="43"/>
      <c r="V507" s="43"/>
      <c r="W507" s="43"/>
      <c r="X507" s="43"/>
      <c r="Y507" s="43"/>
      <c r="Z507" s="43"/>
    </row>
    <row r="508" ht="15.75" customHeight="1">
      <c r="A508" s="53"/>
      <c r="B508" s="53"/>
      <c r="C508" s="53"/>
      <c r="D508" s="53"/>
      <c r="E508" s="42"/>
      <c r="F508" s="42"/>
      <c r="G508" s="42"/>
      <c r="H508" s="42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43"/>
      <c r="T508" s="43"/>
      <c r="U508" s="43"/>
      <c r="V508" s="43"/>
      <c r="W508" s="43"/>
      <c r="X508" s="43"/>
      <c r="Y508" s="43"/>
      <c r="Z508" s="43"/>
    </row>
    <row r="509" ht="15.75" customHeight="1">
      <c r="A509" s="53"/>
      <c r="B509" s="53"/>
      <c r="C509" s="53"/>
      <c r="D509" s="53"/>
      <c r="E509" s="42"/>
      <c r="F509" s="42"/>
      <c r="G509" s="42"/>
      <c r="H509" s="42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43"/>
      <c r="T509" s="43"/>
      <c r="U509" s="43"/>
      <c r="V509" s="43"/>
      <c r="W509" s="43"/>
      <c r="X509" s="43"/>
      <c r="Y509" s="43"/>
      <c r="Z509" s="43"/>
    </row>
    <row r="510" ht="15.75" customHeight="1">
      <c r="A510" s="53"/>
      <c r="B510" s="53"/>
      <c r="C510" s="53"/>
      <c r="D510" s="53"/>
      <c r="E510" s="42"/>
      <c r="F510" s="42"/>
      <c r="G510" s="42"/>
      <c r="H510" s="42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43"/>
      <c r="T510" s="43"/>
      <c r="U510" s="43"/>
      <c r="V510" s="43"/>
      <c r="W510" s="43"/>
      <c r="X510" s="43"/>
      <c r="Y510" s="43"/>
      <c r="Z510" s="43"/>
    </row>
    <row r="511" ht="15.75" customHeight="1">
      <c r="A511" s="53"/>
      <c r="B511" s="53"/>
      <c r="C511" s="53"/>
      <c r="D511" s="53"/>
      <c r="E511" s="42"/>
      <c r="F511" s="42"/>
      <c r="G511" s="42"/>
      <c r="H511" s="42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43"/>
      <c r="T511" s="43"/>
      <c r="U511" s="43"/>
      <c r="V511" s="43"/>
      <c r="W511" s="43"/>
      <c r="X511" s="43"/>
      <c r="Y511" s="43"/>
      <c r="Z511" s="43"/>
    </row>
    <row r="512" ht="15.75" customHeight="1">
      <c r="A512" s="53"/>
      <c r="B512" s="53"/>
      <c r="C512" s="53"/>
      <c r="D512" s="53"/>
      <c r="E512" s="42"/>
      <c r="F512" s="42"/>
      <c r="G512" s="42"/>
      <c r="H512" s="42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43"/>
      <c r="T512" s="43"/>
      <c r="U512" s="43"/>
      <c r="V512" s="43"/>
      <c r="W512" s="43"/>
      <c r="X512" s="43"/>
      <c r="Y512" s="43"/>
      <c r="Z512" s="43"/>
    </row>
    <row r="513" ht="15.75" customHeight="1">
      <c r="A513" s="53"/>
      <c r="B513" s="53"/>
      <c r="C513" s="53"/>
      <c r="D513" s="53"/>
      <c r="E513" s="42"/>
      <c r="F513" s="42"/>
      <c r="G513" s="42"/>
      <c r="H513" s="42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43"/>
      <c r="T513" s="43"/>
      <c r="U513" s="43"/>
      <c r="V513" s="43"/>
      <c r="W513" s="43"/>
      <c r="X513" s="43"/>
      <c r="Y513" s="43"/>
      <c r="Z513" s="43"/>
    </row>
    <row r="514" ht="15.75" customHeight="1">
      <c r="A514" s="53"/>
      <c r="B514" s="53"/>
      <c r="C514" s="53"/>
      <c r="D514" s="53"/>
      <c r="E514" s="42"/>
      <c r="F514" s="42"/>
      <c r="G514" s="42"/>
      <c r="H514" s="42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43"/>
      <c r="T514" s="43"/>
      <c r="U514" s="43"/>
      <c r="V514" s="43"/>
      <c r="W514" s="43"/>
      <c r="X514" s="43"/>
      <c r="Y514" s="43"/>
      <c r="Z514" s="43"/>
    </row>
    <row r="515" ht="15.75" customHeight="1">
      <c r="A515" s="53"/>
      <c r="B515" s="53"/>
      <c r="C515" s="53"/>
      <c r="D515" s="53"/>
      <c r="E515" s="42"/>
      <c r="F515" s="42"/>
      <c r="G515" s="42"/>
      <c r="H515" s="42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43"/>
      <c r="T515" s="43"/>
      <c r="U515" s="43"/>
      <c r="V515" s="43"/>
      <c r="W515" s="43"/>
      <c r="X515" s="43"/>
      <c r="Y515" s="43"/>
      <c r="Z515" s="43"/>
    </row>
    <row r="516" ht="15.75" customHeight="1">
      <c r="A516" s="53"/>
      <c r="B516" s="53"/>
      <c r="C516" s="53"/>
      <c r="D516" s="53"/>
      <c r="E516" s="42"/>
      <c r="F516" s="42"/>
      <c r="G516" s="42"/>
      <c r="H516" s="42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43"/>
      <c r="T516" s="43"/>
      <c r="U516" s="43"/>
      <c r="V516" s="43"/>
      <c r="W516" s="43"/>
      <c r="X516" s="43"/>
      <c r="Y516" s="43"/>
      <c r="Z516" s="43"/>
    </row>
    <row r="517" ht="15.75" customHeight="1">
      <c r="A517" s="53"/>
      <c r="B517" s="53"/>
      <c r="C517" s="53"/>
      <c r="D517" s="53"/>
      <c r="E517" s="42"/>
      <c r="F517" s="42"/>
      <c r="G517" s="42"/>
      <c r="H517" s="42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43"/>
      <c r="T517" s="43"/>
      <c r="U517" s="43"/>
      <c r="V517" s="43"/>
      <c r="W517" s="43"/>
      <c r="X517" s="43"/>
      <c r="Y517" s="43"/>
      <c r="Z517" s="43"/>
    </row>
    <row r="518" ht="15.75" customHeight="1">
      <c r="A518" s="53"/>
      <c r="B518" s="53"/>
      <c r="C518" s="53"/>
      <c r="D518" s="53"/>
      <c r="E518" s="42"/>
      <c r="F518" s="42"/>
      <c r="G518" s="42"/>
      <c r="H518" s="42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43"/>
      <c r="T518" s="43"/>
      <c r="U518" s="43"/>
      <c r="V518" s="43"/>
      <c r="W518" s="43"/>
      <c r="X518" s="43"/>
      <c r="Y518" s="43"/>
      <c r="Z518" s="43"/>
    </row>
    <row r="519" ht="15.75" customHeight="1">
      <c r="A519" s="53"/>
      <c r="B519" s="53"/>
      <c r="C519" s="53"/>
      <c r="D519" s="53"/>
      <c r="E519" s="42"/>
      <c r="F519" s="42"/>
      <c r="G519" s="42"/>
      <c r="H519" s="42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43"/>
      <c r="T519" s="43"/>
      <c r="U519" s="43"/>
      <c r="V519" s="43"/>
      <c r="W519" s="43"/>
      <c r="X519" s="43"/>
      <c r="Y519" s="43"/>
      <c r="Z519" s="43"/>
    </row>
    <row r="520" ht="15.75" customHeight="1">
      <c r="A520" s="53"/>
      <c r="B520" s="53"/>
      <c r="C520" s="53"/>
      <c r="D520" s="53"/>
      <c r="E520" s="42"/>
      <c r="F520" s="42"/>
      <c r="G520" s="42"/>
      <c r="H520" s="42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43"/>
      <c r="T520" s="43"/>
      <c r="U520" s="43"/>
      <c r="V520" s="43"/>
      <c r="W520" s="43"/>
      <c r="X520" s="43"/>
      <c r="Y520" s="43"/>
      <c r="Z520" s="43"/>
    </row>
    <row r="521" ht="15.75" customHeight="1">
      <c r="A521" s="53"/>
      <c r="B521" s="53"/>
      <c r="C521" s="53"/>
      <c r="D521" s="53"/>
      <c r="E521" s="42"/>
      <c r="F521" s="42"/>
      <c r="G521" s="42"/>
      <c r="H521" s="42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43"/>
      <c r="T521" s="43"/>
      <c r="U521" s="43"/>
      <c r="V521" s="43"/>
      <c r="W521" s="43"/>
      <c r="X521" s="43"/>
      <c r="Y521" s="43"/>
      <c r="Z521" s="43"/>
    </row>
    <row r="522" ht="15.75" customHeight="1">
      <c r="A522" s="53"/>
      <c r="B522" s="53"/>
      <c r="C522" s="53"/>
      <c r="D522" s="53"/>
      <c r="E522" s="42"/>
      <c r="F522" s="42"/>
      <c r="G522" s="42"/>
      <c r="H522" s="42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43"/>
      <c r="T522" s="43"/>
      <c r="U522" s="43"/>
      <c r="V522" s="43"/>
      <c r="W522" s="43"/>
      <c r="X522" s="43"/>
      <c r="Y522" s="43"/>
      <c r="Z522" s="43"/>
    </row>
    <row r="523" ht="15.75" customHeight="1">
      <c r="A523" s="53"/>
      <c r="B523" s="53"/>
      <c r="C523" s="53"/>
      <c r="D523" s="53"/>
      <c r="E523" s="42"/>
      <c r="F523" s="42"/>
      <c r="G523" s="42"/>
      <c r="H523" s="42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43"/>
      <c r="T523" s="43"/>
      <c r="U523" s="43"/>
      <c r="V523" s="43"/>
      <c r="W523" s="43"/>
      <c r="X523" s="43"/>
      <c r="Y523" s="43"/>
      <c r="Z523" s="43"/>
    </row>
    <row r="524" ht="15.75" customHeight="1">
      <c r="A524" s="53"/>
      <c r="B524" s="53"/>
      <c r="C524" s="53"/>
      <c r="D524" s="53"/>
      <c r="E524" s="42"/>
      <c r="F524" s="42"/>
      <c r="G524" s="42"/>
      <c r="H524" s="42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43"/>
      <c r="T524" s="43"/>
      <c r="U524" s="43"/>
      <c r="V524" s="43"/>
      <c r="W524" s="43"/>
      <c r="X524" s="43"/>
      <c r="Y524" s="43"/>
      <c r="Z524" s="43"/>
    </row>
    <row r="525" ht="15.75" customHeight="1">
      <c r="A525" s="53"/>
      <c r="B525" s="53"/>
      <c r="C525" s="53"/>
      <c r="D525" s="53"/>
      <c r="E525" s="42"/>
      <c r="F525" s="42"/>
      <c r="G525" s="42"/>
      <c r="H525" s="42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43"/>
      <c r="T525" s="43"/>
      <c r="U525" s="43"/>
      <c r="V525" s="43"/>
      <c r="W525" s="43"/>
      <c r="X525" s="43"/>
      <c r="Y525" s="43"/>
      <c r="Z525" s="43"/>
    </row>
    <row r="526" ht="15.75" customHeight="1">
      <c r="A526" s="53"/>
      <c r="B526" s="53"/>
      <c r="C526" s="53"/>
      <c r="D526" s="53"/>
      <c r="E526" s="42"/>
      <c r="F526" s="42"/>
      <c r="G526" s="42"/>
      <c r="H526" s="42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43"/>
      <c r="T526" s="43"/>
      <c r="U526" s="43"/>
      <c r="V526" s="43"/>
      <c r="W526" s="43"/>
      <c r="X526" s="43"/>
      <c r="Y526" s="43"/>
      <c r="Z526" s="43"/>
    </row>
    <row r="527" ht="15.75" customHeight="1">
      <c r="A527" s="53"/>
      <c r="B527" s="53"/>
      <c r="C527" s="53"/>
      <c r="D527" s="53"/>
      <c r="E527" s="42"/>
      <c r="F527" s="42"/>
      <c r="G527" s="42"/>
      <c r="H527" s="42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43"/>
      <c r="T527" s="43"/>
      <c r="U527" s="43"/>
      <c r="V527" s="43"/>
      <c r="W527" s="43"/>
      <c r="X527" s="43"/>
      <c r="Y527" s="43"/>
      <c r="Z527" s="43"/>
    </row>
    <row r="528" ht="15.75" customHeight="1">
      <c r="A528" s="53"/>
      <c r="B528" s="53"/>
      <c r="C528" s="53"/>
      <c r="D528" s="53"/>
      <c r="E528" s="42"/>
      <c r="F528" s="42"/>
      <c r="G528" s="42"/>
      <c r="H528" s="42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43"/>
      <c r="T528" s="43"/>
      <c r="U528" s="43"/>
      <c r="V528" s="43"/>
      <c r="W528" s="43"/>
      <c r="X528" s="43"/>
      <c r="Y528" s="43"/>
      <c r="Z528" s="43"/>
    </row>
    <row r="529" ht="15.75" customHeight="1">
      <c r="A529" s="53"/>
      <c r="B529" s="53"/>
      <c r="C529" s="53"/>
      <c r="D529" s="53"/>
      <c r="E529" s="42"/>
      <c r="F529" s="42"/>
      <c r="G529" s="42"/>
      <c r="H529" s="42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43"/>
      <c r="T529" s="43"/>
      <c r="U529" s="43"/>
      <c r="V529" s="43"/>
      <c r="W529" s="43"/>
      <c r="X529" s="43"/>
      <c r="Y529" s="43"/>
      <c r="Z529" s="43"/>
    </row>
    <row r="530" ht="15.75" customHeight="1">
      <c r="A530" s="53"/>
      <c r="B530" s="53"/>
      <c r="C530" s="53"/>
      <c r="D530" s="53"/>
      <c r="E530" s="42"/>
      <c r="F530" s="42"/>
      <c r="G530" s="42"/>
      <c r="H530" s="42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43"/>
      <c r="T530" s="43"/>
      <c r="U530" s="43"/>
      <c r="V530" s="43"/>
      <c r="W530" s="43"/>
      <c r="X530" s="43"/>
      <c r="Y530" s="43"/>
      <c r="Z530" s="43"/>
    </row>
    <row r="531" ht="15.75" customHeight="1">
      <c r="A531" s="53"/>
      <c r="B531" s="53"/>
      <c r="C531" s="53"/>
      <c r="D531" s="53"/>
      <c r="E531" s="42"/>
      <c r="F531" s="42"/>
      <c r="G531" s="42"/>
      <c r="H531" s="42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43"/>
      <c r="T531" s="43"/>
      <c r="U531" s="43"/>
      <c r="V531" s="43"/>
      <c r="W531" s="43"/>
      <c r="X531" s="43"/>
      <c r="Y531" s="43"/>
      <c r="Z531" s="43"/>
    </row>
    <row r="532" ht="15.75" customHeight="1">
      <c r="A532" s="53"/>
      <c r="B532" s="53"/>
      <c r="C532" s="53"/>
      <c r="D532" s="53"/>
      <c r="E532" s="42"/>
      <c r="F532" s="42"/>
      <c r="G532" s="42"/>
      <c r="H532" s="42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43"/>
      <c r="T532" s="43"/>
      <c r="U532" s="43"/>
      <c r="V532" s="43"/>
      <c r="W532" s="43"/>
      <c r="X532" s="43"/>
      <c r="Y532" s="43"/>
      <c r="Z532" s="43"/>
    </row>
    <row r="533" ht="15.75" customHeight="1">
      <c r="A533" s="53"/>
      <c r="B533" s="53"/>
      <c r="C533" s="53"/>
      <c r="D533" s="53"/>
      <c r="E533" s="42"/>
      <c r="F533" s="42"/>
      <c r="G533" s="42"/>
      <c r="H533" s="42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43"/>
      <c r="T533" s="43"/>
      <c r="U533" s="43"/>
      <c r="V533" s="43"/>
      <c r="W533" s="43"/>
      <c r="X533" s="43"/>
      <c r="Y533" s="43"/>
      <c r="Z533" s="43"/>
    </row>
    <row r="534" ht="15.75" customHeight="1">
      <c r="A534" s="53"/>
      <c r="B534" s="53"/>
      <c r="C534" s="53"/>
      <c r="D534" s="53"/>
      <c r="E534" s="42"/>
      <c r="F534" s="42"/>
      <c r="G534" s="42"/>
      <c r="H534" s="42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43"/>
      <c r="T534" s="43"/>
      <c r="U534" s="43"/>
      <c r="V534" s="43"/>
      <c r="W534" s="43"/>
      <c r="X534" s="43"/>
      <c r="Y534" s="43"/>
      <c r="Z534" s="43"/>
    </row>
    <row r="535" ht="15.75" customHeight="1">
      <c r="A535" s="53"/>
      <c r="B535" s="53"/>
      <c r="C535" s="53"/>
      <c r="D535" s="53"/>
      <c r="E535" s="42"/>
      <c r="F535" s="42"/>
      <c r="G535" s="42"/>
      <c r="H535" s="42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43"/>
      <c r="T535" s="43"/>
      <c r="U535" s="43"/>
      <c r="V535" s="43"/>
      <c r="W535" s="43"/>
      <c r="X535" s="43"/>
      <c r="Y535" s="43"/>
      <c r="Z535" s="43"/>
    </row>
    <row r="536" ht="15.75" customHeight="1">
      <c r="A536" s="53"/>
      <c r="B536" s="53"/>
      <c r="C536" s="53"/>
      <c r="D536" s="53"/>
      <c r="E536" s="42"/>
      <c r="F536" s="42"/>
      <c r="G536" s="42"/>
      <c r="H536" s="42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43"/>
      <c r="T536" s="43"/>
      <c r="U536" s="43"/>
      <c r="V536" s="43"/>
      <c r="W536" s="43"/>
      <c r="X536" s="43"/>
      <c r="Y536" s="43"/>
      <c r="Z536" s="43"/>
    </row>
    <row r="537" ht="15.75" customHeight="1">
      <c r="A537" s="53"/>
      <c r="B537" s="53"/>
      <c r="C537" s="53"/>
      <c r="D537" s="53"/>
      <c r="E537" s="42"/>
      <c r="F537" s="42"/>
      <c r="G537" s="42"/>
      <c r="H537" s="42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43"/>
      <c r="T537" s="43"/>
      <c r="U537" s="43"/>
      <c r="V537" s="43"/>
      <c r="W537" s="43"/>
      <c r="X537" s="43"/>
      <c r="Y537" s="43"/>
      <c r="Z537" s="43"/>
    </row>
    <row r="538" ht="15.75" customHeight="1">
      <c r="A538" s="53"/>
      <c r="B538" s="53"/>
      <c r="C538" s="53"/>
      <c r="D538" s="53"/>
      <c r="E538" s="42"/>
      <c r="F538" s="42"/>
      <c r="G538" s="42"/>
      <c r="H538" s="42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43"/>
      <c r="T538" s="43"/>
      <c r="U538" s="43"/>
      <c r="V538" s="43"/>
      <c r="W538" s="43"/>
      <c r="X538" s="43"/>
      <c r="Y538" s="43"/>
      <c r="Z538" s="43"/>
    </row>
    <row r="539" ht="15.75" customHeight="1">
      <c r="A539" s="53"/>
      <c r="B539" s="53"/>
      <c r="C539" s="53"/>
      <c r="D539" s="53"/>
      <c r="E539" s="42"/>
      <c r="F539" s="42"/>
      <c r="G539" s="42"/>
      <c r="H539" s="42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43"/>
      <c r="T539" s="43"/>
      <c r="U539" s="43"/>
      <c r="V539" s="43"/>
      <c r="W539" s="43"/>
      <c r="X539" s="43"/>
      <c r="Y539" s="43"/>
      <c r="Z539" s="43"/>
    </row>
    <row r="540" ht="15.75" customHeight="1">
      <c r="A540" s="53"/>
      <c r="B540" s="53"/>
      <c r="C540" s="53"/>
      <c r="D540" s="53"/>
      <c r="E540" s="42"/>
      <c r="F540" s="42"/>
      <c r="G540" s="42"/>
      <c r="H540" s="42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43"/>
      <c r="T540" s="43"/>
      <c r="U540" s="43"/>
      <c r="V540" s="43"/>
      <c r="W540" s="43"/>
      <c r="X540" s="43"/>
      <c r="Y540" s="43"/>
      <c r="Z540" s="43"/>
    </row>
    <row r="541" ht="15.75" customHeight="1">
      <c r="A541" s="53"/>
      <c r="B541" s="53"/>
      <c r="C541" s="53"/>
      <c r="D541" s="53"/>
      <c r="E541" s="42"/>
      <c r="F541" s="42"/>
      <c r="G541" s="42"/>
      <c r="H541" s="42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43"/>
      <c r="T541" s="43"/>
      <c r="U541" s="43"/>
      <c r="V541" s="43"/>
      <c r="W541" s="43"/>
      <c r="X541" s="43"/>
      <c r="Y541" s="43"/>
      <c r="Z541" s="43"/>
    </row>
    <row r="542" ht="15.75" customHeight="1">
      <c r="A542" s="53"/>
      <c r="B542" s="53"/>
      <c r="C542" s="53"/>
      <c r="D542" s="53"/>
      <c r="E542" s="42"/>
      <c r="F542" s="42"/>
      <c r="G542" s="42"/>
      <c r="H542" s="42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43"/>
      <c r="T542" s="43"/>
      <c r="U542" s="43"/>
      <c r="V542" s="43"/>
      <c r="W542" s="43"/>
      <c r="X542" s="43"/>
      <c r="Y542" s="43"/>
      <c r="Z542" s="43"/>
    </row>
    <row r="543" ht="15.75" customHeight="1">
      <c r="A543" s="53"/>
      <c r="B543" s="53"/>
      <c r="C543" s="53"/>
      <c r="D543" s="53"/>
      <c r="E543" s="42"/>
      <c r="F543" s="42"/>
      <c r="G543" s="42"/>
      <c r="H543" s="42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43"/>
      <c r="T543" s="43"/>
      <c r="U543" s="43"/>
      <c r="V543" s="43"/>
      <c r="W543" s="43"/>
      <c r="X543" s="43"/>
      <c r="Y543" s="43"/>
      <c r="Z543" s="43"/>
    </row>
    <row r="544" ht="15.75" customHeight="1">
      <c r="A544" s="53"/>
      <c r="B544" s="53"/>
      <c r="C544" s="53"/>
      <c r="D544" s="53"/>
      <c r="E544" s="42"/>
      <c r="F544" s="42"/>
      <c r="G544" s="42"/>
      <c r="H544" s="42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43"/>
      <c r="T544" s="43"/>
      <c r="U544" s="43"/>
      <c r="V544" s="43"/>
      <c r="W544" s="43"/>
      <c r="X544" s="43"/>
      <c r="Y544" s="43"/>
      <c r="Z544" s="43"/>
    </row>
    <row r="545" ht="15.75" customHeight="1">
      <c r="A545" s="53"/>
      <c r="B545" s="53"/>
      <c r="C545" s="53"/>
      <c r="D545" s="53"/>
      <c r="E545" s="42"/>
      <c r="F545" s="42"/>
      <c r="G545" s="42"/>
      <c r="H545" s="42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43"/>
      <c r="T545" s="43"/>
      <c r="U545" s="43"/>
      <c r="V545" s="43"/>
      <c r="W545" s="43"/>
      <c r="X545" s="43"/>
      <c r="Y545" s="43"/>
      <c r="Z545" s="43"/>
    </row>
    <row r="546" ht="15.75" customHeight="1">
      <c r="A546" s="53"/>
      <c r="B546" s="53"/>
      <c r="C546" s="53"/>
      <c r="D546" s="53"/>
      <c r="E546" s="42"/>
      <c r="F546" s="42"/>
      <c r="G546" s="42"/>
      <c r="H546" s="42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43"/>
      <c r="T546" s="43"/>
      <c r="U546" s="43"/>
      <c r="V546" s="43"/>
      <c r="W546" s="43"/>
      <c r="X546" s="43"/>
      <c r="Y546" s="43"/>
      <c r="Z546" s="43"/>
    </row>
    <row r="547" ht="15.75" customHeight="1">
      <c r="A547" s="53"/>
      <c r="B547" s="53"/>
      <c r="C547" s="53"/>
      <c r="D547" s="53"/>
      <c r="E547" s="42"/>
      <c r="F547" s="42"/>
      <c r="G547" s="42"/>
      <c r="H547" s="42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43"/>
      <c r="T547" s="43"/>
      <c r="U547" s="43"/>
      <c r="V547" s="43"/>
      <c r="W547" s="43"/>
      <c r="X547" s="43"/>
      <c r="Y547" s="43"/>
      <c r="Z547" s="43"/>
    </row>
    <row r="548" ht="15.75" customHeight="1">
      <c r="A548" s="53"/>
      <c r="B548" s="53"/>
      <c r="C548" s="53"/>
      <c r="D548" s="53"/>
      <c r="E548" s="42"/>
      <c r="F548" s="42"/>
      <c r="G548" s="42"/>
      <c r="H548" s="42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43"/>
      <c r="T548" s="43"/>
      <c r="U548" s="43"/>
      <c r="V548" s="43"/>
      <c r="W548" s="43"/>
      <c r="X548" s="43"/>
      <c r="Y548" s="43"/>
      <c r="Z548" s="43"/>
    </row>
    <row r="549" ht="15.75" customHeight="1">
      <c r="A549" s="53"/>
      <c r="B549" s="53"/>
      <c r="C549" s="53"/>
      <c r="D549" s="53"/>
      <c r="E549" s="42"/>
      <c r="F549" s="42"/>
      <c r="G549" s="42"/>
      <c r="H549" s="42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43"/>
      <c r="T549" s="43"/>
      <c r="U549" s="43"/>
      <c r="V549" s="43"/>
      <c r="W549" s="43"/>
      <c r="X549" s="43"/>
      <c r="Y549" s="43"/>
      <c r="Z549" s="43"/>
    </row>
    <row r="550" ht="15.75" customHeight="1">
      <c r="A550" s="53"/>
      <c r="B550" s="53"/>
      <c r="C550" s="53"/>
      <c r="D550" s="53"/>
      <c r="E550" s="42"/>
      <c r="F550" s="42"/>
      <c r="G550" s="42"/>
      <c r="H550" s="42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43"/>
      <c r="T550" s="43"/>
      <c r="U550" s="43"/>
      <c r="V550" s="43"/>
      <c r="W550" s="43"/>
      <c r="X550" s="43"/>
      <c r="Y550" s="43"/>
      <c r="Z550" s="43"/>
    </row>
    <row r="551" ht="15.75" customHeight="1">
      <c r="A551" s="53"/>
      <c r="B551" s="53"/>
      <c r="C551" s="53"/>
      <c r="D551" s="53"/>
      <c r="E551" s="42"/>
      <c r="F551" s="42"/>
      <c r="G551" s="42"/>
      <c r="H551" s="42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43"/>
      <c r="T551" s="43"/>
      <c r="U551" s="43"/>
      <c r="V551" s="43"/>
      <c r="W551" s="43"/>
      <c r="X551" s="43"/>
      <c r="Y551" s="43"/>
      <c r="Z551" s="43"/>
    </row>
    <row r="552" ht="15.75" customHeight="1">
      <c r="A552" s="53"/>
      <c r="B552" s="53"/>
      <c r="C552" s="53"/>
      <c r="D552" s="53"/>
      <c r="E552" s="42"/>
      <c r="F552" s="42"/>
      <c r="G552" s="42"/>
      <c r="H552" s="42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43"/>
      <c r="T552" s="43"/>
      <c r="U552" s="43"/>
      <c r="V552" s="43"/>
      <c r="W552" s="43"/>
      <c r="X552" s="43"/>
      <c r="Y552" s="43"/>
      <c r="Z552" s="43"/>
    </row>
    <row r="553" ht="15.75" customHeight="1">
      <c r="A553" s="53"/>
      <c r="B553" s="53"/>
      <c r="C553" s="53"/>
      <c r="D553" s="53"/>
      <c r="E553" s="42"/>
      <c r="F553" s="42"/>
      <c r="G553" s="42"/>
      <c r="H553" s="42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43"/>
      <c r="T553" s="43"/>
      <c r="U553" s="43"/>
      <c r="V553" s="43"/>
      <c r="W553" s="43"/>
      <c r="X553" s="43"/>
      <c r="Y553" s="43"/>
      <c r="Z553" s="43"/>
    </row>
    <row r="554" ht="15.75" customHeight="1">
      <c r="A554" s="53"/>
      <c r="B554" s="53"/>
      <c r="C554" s="53"/>
      <c r="D554" s="53"/>
      <c r="E554" s="42"/>
      <c r="F554" s="42"/>
      <c r="G554" s="42"/>
      <c r="H554" s="42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43"/>
      <c r="T554" s="43"/>
      <c r="U554" s="43"/>
      <c r="V554" s="43"/>
      <c r="W554" s="43"/>
      <c r="X554" s="43"/>
      <c r="Y554" s="43"/>
      <c r="Z554" s="43"/>
    </row>
    <row r="555" ht="15.75" customHeight="1">
      <c r="A555" s="53"/>
      <c r="B555" s="53"/>
      <c r="C555" s="53"/>
      <c r="D555" s="53"/>
      <c r="E555" s="42"/>
      <c r="F555" s="42"/>
      <c r="G555" s="42"/>
      <c r="H555" s="42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43"/>
      <c r="T555" s="43"/>
      <c r="U555" s="43"/>
      <c r="V555" s="43"/>
      <c r="W555" s="43"/>
      <c r="X555" s="43"/>
      <c r="Y555" s="43"/>
      <c r="Z555" s="43"/>
    </row>
    <row r="556" ht="15.75" customHeight="1">
      <c r="A556" s="53"/>
      <c r="B556" s="53"/>
      <c r="C556" s="53"/>
      <c r="D556" s="53"/>
      <c r="E556" s="42"/>
      <c r="F556" s="42"/>
      <c r="G556" s="42"/>
      <c r="H556" s="42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43"/>
      <c r="T556" s="43"/>
      <c r="U556" s="43"/>
      <c r="V556" s="43"/>
      <c r="W556" s="43"/>
      <c r="X556" s="43"/>
      <c r="Y556" s="43"/>
      <c r="Z556" s="43"/>
    </row>
    <row r="557" ht="15.75" customHeight="1">
      <c r="A557" s="53"/>
      <c r="B557" s="53"/>
      <c r="C557" s="53"/>
      <c r="D557" s="53"/>
      <c r="E557" s="42"/>
      <c r="F557" s="42"/>
      <c r="G557" s="42"/>
      <c r="H557" s="42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43"/>
      <c r="T557" s="43"/>
      <c r="U557" s="43"/>
      <c r="V557" s="43"/>
      <c r="W557" s="43"/>
      <c r="X557" s="43"/>
      <c r="Y557" s="43"/>
      <c r="Z557" s="43"/>
    </row>
    <row r="558" ht="15.75" customHeight="1">
      <c r="A558" s="53"/>
      <c r="B558" s="53"/>
      <c r="C558" s="53"/>
      <c r="D558" s="53"/>
      <c r="E558" s="42"/>
      <c r="F558" s="42"/>
      <c r="G558" s="42"/>
      <c r="H558" s="42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43"/>
      <c r="T558" s="43"/>
      <c r="U558" s="43"/>
      <c r="V558" s="43"/>
      <c r="W558" s="43"/>
      <c r="X558" s="43"/>
      <c r="Y558" s="43"/>
      <c r="Z558" s="43"/>
    </row>
    <row r="559" ht="15.75" customHeight="1">
      <c r="A559" s="53"/>
      <c r="B559" s="53"/>
      <c r="C559" s="53"/>
      <c r="D559" s="53"/>
      <c r="E559" s="42"/>
      <c r="F559" s="42"/>
      <c r="G559" s="42"/>
      <c r="H559" s="42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43"/>
      <c r="T559" s="43"/>
      <c r="U559" s="43"/>
      <c r="V559" s="43"/>
      <c r="W559" s="43"/>
      <c r="X559" s="43"/>
      <c r="Y559" s="43"/>
      <c r="Z559" s="43"/>
    </row>
    <row r="560" ht="15.75" customHeight="1">
      <c r="A560" s="53"/>
      <c r="B560" s="53"/>
      <c r="C560" s="53"/>
      <c r="D560" s="53"/>
      <c r="E560" s="42"/>
      <c r="F560" s="42"/>
      <c r="G560" s="42"/>
      <c r="H560" s="42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43"/>
      <c r="T560" s="43"/>
      <c r="U560" s="43"/>
      <c r="V560" s="43"/>
      <c r="W560" s="43"/>
      <c r="X560" s="43"/>
      <c r="Y560" s="43"/>
      <c r="Z560" s="43"/>
    </row>
    <row r="561" ht="15.75" customHeight="1">
      <c r="A561" s="53"/>
      <c r="B561" s="53"/>
      <c r="C561" s="53"/>
      <c r="D561" s="53"/>
      <c r="E561" s="42"/>
      <c r="F561" s="42"/>
      <c r="G561" s="42"/>
      <c r="H561" s="42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43"/>
      <c r="T561" s="43"/>
      <c r="U561" s="43"/>
      <c r="V561" s="43"/>
      <c r="W561" s="43"/>
      <c r="X561" s="43"/>
      <c r="Y561" s="43"/>
      <c r="Z561" s="43"/>
    </row>
    <row r="562" ht="15.75" customHeight="1">
      <c r="A562" s="53"/>
      <c r="B562" s="53"/>
      <c r="C562" s="53"/>
      <c r="D562" s="53"/>
      <c r="E562" s="42"/>
      <c r="F562" s="42"/>
      <c r="G562" s="42"/>
      <c r="H562" s="42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43"/>
      <c r="T562" s="43"/>
      <c r="U562" s="43"/>
      <c r="V562" s="43"/>
      <c r="W562" s="43"/>
      <c r="X562" s="43"/>
      <c r="Y562" s="43"/>
      <c r="Z562" s="43"/>
    </row>
    <row r="563" ht="15.75" customHeight="1">
      <c r="A563" s="53"/>
      <c r="B563" s="53"/>
      <c r="C563" s="53"/>
      <c r="D563" s="53"/>
      <c r="E563" s="42"/>
      <c r="F563" s="42"/>
      <c r="G563" s="42"/>
      <c r="H563" s="42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43"/>
      <c r="T563" s="43"/>
      <c r="U563" s="43"/>
      <c r="V563" s="43"/>
      <c r="W563" s="43"/>
      <c r="X563" s="43"/>
      <c r="Y563" s="43"/>
      <c r="Z563" s="43"/>
    </row>
    <row r="564" ht="15.75" customHeight="1">
      <c r="A564" s="53"/>
      <c r="B564" s="53"/>
      <c r="C564" s="53"/>
      <c r="D564" s="53"/>
      <c r="E564" s="42"/>
      <c r="F564" s="42"/>
      <c r="G564" s="42"/>
      <c r="H564" s="42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43"/>
      <c r="T564" s="43"/>
      <c r="U564" s="43"/>
      <c r="V564" s="43"/>
      <c r="W564" s="43"/>
      <c r="X564" s="43"/>
      <c r="Y564" s="43"/>
      <c r="Z564" s="43"/>
    </row>
    <row r="565" ht="15.75" customHeight="1">
      <c r="A565" s="53"/>
      <c r="B565" s="53"/>
      <c r="C565" s="53"/>
      <c r="D565" s="53"/>
      <c r="E565" s="42"/>
      <c r="F565" s="42"/>
      <c r="G565" s="42"/>
      <c r="H565" s="42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43"/>
      <c r="T565" s="43"/>
      <c r="U565" s="43"/>
      <c r="V565" s="43"/>
      <c r="W565" s="43"/>
      <c r="X565" s="43"/>
      <c r="Y565" s="43"/>
      <c r="Z565" s="43"/>
    </row>
    <row r="566" ht="15.75" customHeight="1">
      <c r="A566" s="53"/>
      <c r="B566" s="53"/>
      <c r="C566" s="53"/>
      <c r="D566" s="53"/>
      <c r="E566" s="42"/>
      <c r="F566" s="42"/>
      <c r="G566" s="42"/>
      <c r="H566" s="42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43"/>
      <c r="T566" s="43"/>
      <c r="U566" s="43"/>
      <c r="V566" s="43"/>
      <c r="W566" s="43"/>
      <c r="X566" s="43"/>
      <c r="Y566" s="43"/>
      <c r="Z566" s="43"/>
    </row>
    <row r="567" ht="15.75" customHeight="1">
      <c r="A567" s="53"/>
      <c r="B567" s="53"/>
      <c r="C567" s="53"/>
      <c r="D567" s="53"/>
      <c r="E567" s="42"/>
      <c r="F567" s="42"/>
      <c r="G567" s="42"/>
      <c r="H567" s="42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43"/>
      <c r="T567" s="43"/>
      <c r="U567" s="43"/>
      <c r="V567" s="43"/>
      <c r="W567" s="43"/>
      <c r="X567" s="43"/>
      <c r="Y567" s="43"/>
      <c r="Z567" s="43"/>
    </row>
    <row r="568" ht="15.75" customHeight="1">
      <c r="A568" s="53"/>
      <c r="B568" s="53"/>
      <c r="C568" s="53"/>
      <c r="D568" s="53"/>
      <c r="E568" s="42"/>
      <c r="F568" s="42"/>
      <c r="G568" s="42"/>
      <c r="H568" s="42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43"/>
      <c r="T568" s="43"/>
      <c r="U568" s="43"/>
      <c r="V568" s="43"/>
      <c r="W568" s="43"/>
      <c r="X568" s="43"/>
      <c r="Y568" s="43"/>
      <c r="Z568" s="43"/>
    </row>
    <row r="569" ht="15.75" customHeight="1">
      <c r="A569" s="53"/>
      <c r="B569" s="53"/>
      <c r="C569" s="53"/>
      <c r="D569" s="53"/>
      <c r="E569" s="42"/>
      <c r="F569" s="42"/>
      <c r="G569" s="42"/>
      <c r="H569" s="42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43"/>
      <c r="T569" s="43"/>
      <c r="U569" s="43"/>
      <c r="V569" s="43"/>
      <c r="W569" s="43"/>
      <c r="X569" s="43"/>
      <c r="Y569" s="43"/>
      <c r="Z569" s="43"/>
    </row>
    <row r="570" ht="15.75" customHeight="1">
      <c r="A570" s="53"/>
      <c r="B570" s="53"/>
      <c r="C570" s="53"/>
      <c r="D570" s="53"/>
      <c r="E570" s="42"/>
      <c r="F570" s="42"/>
      <c r="G570" s="42"/>
      <c r="H570" s="42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43"/>
      <c r="T570" s="43"/>
      <c r="U570" s="43"/>
      <c r="V570" s="43"/>
      <c r="W570" s="43"/>
      <c r="X570" s="43"/>
      <c r="Y570" s="43"/>
      <c r="Z570" s="43"/>
    </row>
    <row r="571" ht="15.75" customHeight="1">
      <c r="A571" s="53"/>
      <c r="B571" s="53"/>
      <c r="C571" s="53"/>
      <c r="D571" s="53"/>
      <c r="E571" s="42"/>
      <c r="F571" s="42"/>
      <c r="G571" s="42"/>
      <c r="H571" s="42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43"/>
      <c r="T571" s="43"/>
      <c r="U571" s="43"/>
      <c r="V571" s="43"/>
      <c r="W571" s="43"/>
      <c r="X571" s="43"/>
      <c r="Y571" s="43"/>
      <c r="Z571" s="43"/>
    </row>
    <row r="572" ht="15.75" customHeight="1">
      <c r="A572" s="53"/>
      <c r="B572" s="53"/>
      <c r="C572" s="53"/>
      <c r="D572" s="53"/>
      <c r="E572" s="42"/>
      <c r="F572" s="42"/>
      <c r="G572" s="42"/>
      <c r="H572" s="42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43"/>
      <c r="T572" s="43"/>
      <c r="U572" s="43"/>
      <c r="V572" s="43"/>
      <c r="W572" s="43"/>
      <c r="X572" s="43"/>
      <c r="Y572" s="43"/>
      <c r="Z572" s="43"/>
    </row>
    <row r="573" ht="15.75" customHeight="1">
      <c r="A573" s="53"/>
      <c r="B573" s="53"/>
      <c r="C573" s="53"/>
      <c r="D573" s="53"/>
      <c r="E573" s="42"/>
      <c r="F573" s="42"/>
      <c r="G573" s="42"/>
      <c r="H573" s="42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43"/>
      <c r="T573" s="43"/>
      <c r="U573" s="43"/>
      <c r="V573" s="43"/>
      <c r="W573" s="43"/>
      <c r="X573" s="43"/>
      <c r="Y573" s="43"/>
      <c r="Z573" s="43"/>
    </row>
    <row r="574" ht="15.75" customHeight="1">
      <c r="A574" s="53"/>
      <c r="B574" s="53"/>
      <c r="C574" s="53"/>
      <c r="D574" s="53"/>
      <c r="E574" s="42"/>
      <c r="F574" s="42"/>
      <c r="G574" s="42"/>
      <c r="H574" s="42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43"/>
      <c r="T574" s="43"/>
      <c r="U574" s="43"/>
      <c r="V574" s="43"/>
      <c r="W574" s="43"/>
      <c r="X574" s="43"/>
      <c r="Y574" s="43"/>
      <c r="Z574" s="43"/>
    </row>
    <row r="575" ht="15.75" customHeight="1">
      <c r="A575" s="53"/>
      <c r="B575" s="53"/>
      <c r="C575" s="53"/>
      <c r="D575" s="53"/>
      <c r="E575" s="42"/>
      <c r="F575" s="42"/>
      <c r="G575" s="42"/>
      <c r="H575" s="42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43"/>
      <c r="T575" s="43"/>
      <c r="U575" s="43"/>
      <c r="V575" s="43"/>
      <c r="W575" s="43"/>
      <c r="X575" s="43"/>
      <c r="Y575" s="43"/>
      <c r="Z575" s="43"/>
    </row>
    <row r="576" ht="15.75" customHeight="1">
      <c r="A576" s="53"/>
      <c r="B576" s="53"/>
      <c r="C576" s="53"/>
      <c r="D576" s="53"/>
      <c r="E576" s="42"/>
      <c r="F576" s="42"/>
      <c r="G576" s="42"/>
      <c r="H576" s="42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43"/>
      <c r="T576" s="43"/>
      <c r="U576" s="43"/>
      <c r="V576" s="43"/>
      <c r="W576" s="43"/>
      <c r="X576" s="43"/>
      <c r="Y576" s="43"/>
      <c r="Z576" s="43"/>
    </row>
    <row r="577" ht="15.75" customHeight="1">
      <c r="A577" s="53"/>
      <c r="B577" s="53"/>
      <c r="C577" s="53"/>
      <c r="D577" s="53"/>
      <c r="E577" s="42"/>
      <c r="F577" s="42"/>
      <c r="G577" s="42"/>
      <c r="H577" s="42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43"/>
      <c r="T577" s="43"/>
      <c r="U577" s="43"/>
      <c r="V577" s="43"/>
      <c r="W577" s="43"/>
      <c r="X577" s="43"/>
      <c r="Y577" s="43"/>
      <c r="Z577" s="43"/>
    </row>
    <row r="578" ht="15.75" customHeight="1">
      <c r="A578" s="53"/>
      <c r="B578" s="53"/>
      <c r="C578" s="53"/>
      <c r="D578" s="53"/>
      <c r="E578" s="42"/>
      <c r="F578" s="42"/>
      <c r="G578" s="42"/>
      <c r="H578" s="42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43"/>
      <c r="T578" s="43"/>
      <c r="U578" s="43"/>
      <c r="V578" s="43"/>
      <c r="W578" s="43"/>
      <c r="X578" s="43"/>
      <c r="Y578" s="43"/>
      <c r="Z578" s="43"/>
    </row>
    <row r="579" ht="15.75" customHeight="1">
      <c r="A579" s="53"/>
      <c r="B579" s="53"/>
      <c r="C579" s="53"/>
      <c r="D579" s="53"/>
      <c r="E579" s="42"/>
      <c r="F579" s="42"/>
      <c r="G579" s="42"/>
      <c r="H579" s="42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43"/>
      <c r="T579" s="43"/>
      <c r="U579" s="43"/>
      <c r="V579" s="43"/>
      <c r="W579" s="43"/>
      <c r="X579" s="43"/>
      <c r="Y579" s="43"/>
      <c r="Z579" s="43"/>
    </row>
    <row r="580" ht="15.75" customHeight="1">
      <c r="A580" s="53"/>
      <c r="B580" s="53"/>
      <c r="C580" s="53"/>
      <c r="D580" s="53"/>
      <c r="E580" s="42"/>
      <c r="F580" s="42"/>
      <c r="G580" s="42"/>
      <c r="H580" s="42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43"/>
      <c r="T580" s="43"/>
      <c r="U580" s="43"/>
      <c r="V580" s="43"/>
      <c r="W580" s="43"/>
      <c r="X580" s="43"/>
      <c r="Y580" s="43"/>
      <c r="Z580" s="43"/>
    </row>
    <row r="581" ht="15.75" customHeight="1">
      <c r="A581" s="53"/>
      <c r="B581" s="53"/>
      <c r="C581" s="53"/>
      <c r="D581" s="53"/>
      <c r="E581" s="42"/>
      <c r="F581" s="42"/>
      <c r="G581" s="42"/>
      <c r="H581" s="42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43"/>
      <c r="T581" s="43"/>
      <c r="U581" s="43"/>
      <c r="V581" s="43"/>
      <c r="W581" s="43"/>
      <c r="X581" s="43"/>
      <c r="Y581" s="43"/>
      <c r="Z581" s="43"/>
    </row>
    <row r="582" ht="15.75" customHeight="1">
      <c r="A582" s="53"/>
      <c r="B582" s="53"/>
      <c r="C582" s="53"/>
      <c r="D582" s="53"/>
      <c r="E582" s="42"/>
      <c r="F582" s="42"/>
      <c r="G582" s="42"/>
      <c r="H582" s="42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43"/>
      <c r="T582" s="43"/>
      <c r="U582" s="43"/>
      <c r="V582" s="43"/>
      <c r="W582" s="43"/>
      <c r="X582" s="43"/>
      <c r="Y582" s="43"/>
      <c r="Z582" s="43"/>
    </row>
    <row r="583" ht="15.75" customHeight="1">
      <c r="A583" s="53"/>
      <c r="B583" s="53"/>
      <c r="C583" s="53"/>
      <c r="D583" s="53"/>
      <c r="E583" s="42"/>
      <c r="F583" s="42"/>
      <c r="G583" s="42"/>
      <c r="H583" s="42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43"/>
      <c r="T583" s="43"/>
      <c r="U583" s="43"/>
      <c r="V583" s="43"/>
      <c r="W583" s="43"/>
      <c r="X583" s="43"/>
      <c r="Y583" s="43"/>
      <c r="Z583" s="43"/>
    </row>
    <row r="584" ht="15.75" customHeight="1">
      <c r="A584" s="53"/>
      <c r="B584" s="53"/>
      <c r="C584" s="53"/>
      <c r="D584" s="53"/>
      <c r="E584" s="42"/>
      <c r="F584" s="42"/>
      <c r="G584" s="42"/>
      <c r="H584" s="42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43"/>
      <c r="T584" s="43"/>
      <c r="U584" s="43"/>
      <c r="V584" s="43"/>
      <c r="W584" s="43"/>
      <c r="X584" s="43"/>
      <c r="Y584" s="43"/>
      <c r="Z584" s="43"/>
    </row>
    <row r="585" ht="15.75" customHeight="1">
      <c r="A585" s="53"/>
      <c r="B585" s="53"/>
      <c r="C585" s="53"/>
      <c r="D585" s="53"/>
      <c r="E585" s="42"/>
      <c r="F585" s="42"/>
      <c r="G585" s="42"/>
      <c r="H585" s="42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43"/>
      <c r="T585" s="43"/>
      <c r="U585" s="43"/>
      <c r="V585" s="43"/>
      <c r="W585" s="43"/>
      <c r="X585" s="43"/>
      <c r="Y585" s="43"/>
      <c r="Z585" s="43"/>
    </row>
    <row r="586" ht="15.75" customHeight="1">
      <c r="A586" s="53"/>
      <c r="B586" s="53"/>
      <c r="C586" s="53"/>
      <c r="D586" s="53"/>
      <c r="E586" s="42"/>
      <c r="F586" s="42"/>
      <c r="G586" s="42"/>
      <c r="H586" s="42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43"/>
      <c r="T586" s="43"/>
      <c r="U586" s="43"/>
      <c r="V586" s="43"/>
      <c r="W586" s="43"/>
      <c r="X586" s="43"/>
      <c r="Y586" s="43"/>
      <c r="Z586" s="43"/>
    </row>
    <row r="587" ht="15.75" customHeight="1">
      <c r="A587" s="53"/>
      <c r="B587" s="53"/>
      <c r="C587" s="53"/>
      <c r="D587" s="53"/>
      <c r="E587" s="42"/>
      <c r="F587" s="42"/>
      <c r="G587" s="42"/>
      <c r="H587" s="42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43"/>
      <c r="T587" s="43"/>
      <c r="U587" s="43"/>
      <c r="V587" s="43"/>
      <c r="W587" s="43"/>
      <c r="X587" s="43"/>
      <c r="Y587" s="43"/>
      <c r="Z587" s="43"/>
    </row>
    <row r="588" ht="15.75" customHeight="1">
      <c r="A588" s="53"/>
      <c r="B588" s="53"/>
      <c r="C588" s="53"/>
      <c r="D588" s="53"/>
      <c r="E588" s="42"/>
      <c r="F588" s="42"/>
      <c r="G588" s="42"/>
      <c r="H588" s="42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43"/>
      <c r="T588" s="43"/>
      <c r="U588" s="43"/>
      <c r="V588" s="43"/>
      <c r="W588" s="43"/>
      <c r="X588" s="43"/>
      <c r="Y588" s="43"/>
      <c r="Z588" s="43"/>
    </row>
    <row r="589" ht="15.75" customHeight="1">
      <c r="A589" s="53"/>
      <c r="B589" s="53"/>
      <c r="C589" s="53"/>
      <c r="D589" s="53"/>
      <c r="E589" s="42"/>
      <c r="F589" s="42"/>
      <c r="G589" s="42"/>
      <c r="H589" s="42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43"/>
      <c r="T589" s="43"/>
      <c r="U589" s="43"/>
      <c r="V589" s="43"/>
      <c r="W589" s="43"/>
      <c r="X589" s="43"/>
      <c r="Y589" s="43"/>
      <c r="Z589" s="43"/>
    </row>
    <row r="590" ht="15.75" customHeight="1">
      <c r="A590" s="53"/>
      <c r="B590" s="53"/>
      <c r="C590" s="53"/>
      <c r="D590" s="53"/>
      <c r="E590" s="42"/>
      <c r="F590" s="42"/>
      <c r="G590" s="42"/>
      <c r="H590" s="42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43"/>
      <c r="T590" s="43"/>
      <c r="U590" s="43"/>
      <c r="V590" s="43"/>
      <c r="W590" s="43"/>
      <c r="X590" s="43"/>
      <c r="Y590" s="43"/>
      <c r="Z590" s="43"/>
    </row>
    <row r="591" ht="15.75" customHeight="1">
      <c r="A591" s="53"/>
      <c r="B591" s="53"/>
      <c r="C591" s="53"/>
      <c r="D591" s="53"/>
      <c r="E591" s="42"/>
      <c r="F591" s="42"/>
      <c r="G591" s="42"/>
      <c r="H591" s="42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43"/>
      <c r="T591" s="43"/>
      <c r="U591" s="43"/>
      <c r="V591" s="43"/>
      <c r="W591" s="43"/>
      <c r="X591" s="43"/>
      <c r="Y591" s="43"/>
      <c r="Z591" s="43"/>
    </row>
    <row r="592" ht="15.75" customHeight="1">
      <c r="A592" s="53"/>
      <c r="B592" s="53"/>
      <c r="C592" s="53"/>
      <c r="D592" s="53"/>
      <c r="E592" s="42"/>
      <c r="F592" s="42"/>
      <c r="G592" s="42"/>
      <c r="H592" s="42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43"/>
      <c r="T592" s="43"/>
      <c r="U592" s="43"/>
      <c r="V592" s="43"/>
      <c r="W592" s="43"/>
      <c r="X592" s="43"/>
      <c r="Y592" s="43"/>
      <c r="Z592" s="43"/>
    </row>
    <row r="593" ht="15.75" customHeight="1">
      <c r="A593" s="53"/>
      <c r="B593" s="53"/>
      <c r="C593" s="53"/>
      <c r="D593" s="53"/>
      <c r="E593" s="42"/>
      <c r="F593" s="42"/>
      <c r="G593" s="42"/>
      <c r="H593" s="42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43"/>
      <c r="T593" s="43"/>
      <c r="U593" s="43"/>
      <c r="V593" s="43"/>
      <c r="W593" s="43"/>
      <c r="X593" s="43"/>
      <c r="Y593" s="43"/>
      <c r="Z593" s="43"/>
    </row>
    <row r="594" ht="15.75" customHeight="1">
      <c r="A594" s="53"/>
      <c r="B594" s="53"/>
      <c r="C594" s="53"/>
      <c r="D594" s="53"/>
      <c r="E594" s="42"/>
      <c r="F594" s="42"/>
      <c r="G594" s="42"/>
      <c r="H594" s="42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43"/>
      <c r="T594" s="43"/>
      <c r="U594" s="43"/>
      <c r="V594" s="43"/>
      <c r="W594" s="43"/>
      <c r="X594" s="43"/>
      <c r="Y594" s="43"/>
      <c r="Z594" s="43"/>
    </row>
    <row r="595" ht="15.75" customHeight="1">
      <c r="A595" s="53"/>
      <c r="B595" s="53"/>
      <c r="C595" s="53"/>
      <c r="D595" s="53"/>
      <c r="E595" s="42"/>
      <c r="F595" s="42"/>
      <c r="G595" s="42"/>
      <c r="H595" s="42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43"/>
      <c r="T595" s="43"/>
      <c r="U595" s="43"/>
      <c r="V595" s="43"/>
      <c r="W595" s="43"/>
      <c r="X595" s="43"/>
      <c r="Y595" s="43"/>
      <c r="Z595" s="43"/>
    </row>
    <row r="596" ht="15.75" customHeight="1">
      <c r="A596" s="53"/>
      <c r="B596" s="53"/>
      <c r="C596" s="53"/>
      <c r="D596" s="53"/>
      <c r="E596" s="42"/>
      <c r="F596" s="42"/>
      <c r="G596" s="42"/>
      <c r="H596" s="42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43"/>
      <c r="T596" s="43"/>
      <c r="U596" s="43"/>
      <c r="V596" s="43"/>
      <c r="W596" s="43"/>
      <c r="X596" s="43"/>
      <c r="Y596" s="43"/>
      <c r="Z596" s="43"/>
    </row>
    <row r="597" ht="15.75" customHeight="1">
      <c r="A597" s="53"/>
      <c r="B597" s="53"/>
      <c r="C597" s="53"/>
      <c r="D597" s="53"/>
      <c r="E597" s="42"/>
      <c r="F597" s="42"/>
      <c r="G597" s="42"/>
      <c r="H597" s="42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43"/>
      <c r="T597" s="43"/>
      <c r="U597" s="43"/>
      <c r="V597" s="43"/>
      <c r="W597" s="43"/>
      <c r="X597" s="43"/>
      <c r="Y597" s="43"/>
      <c r="Z597" s="43"/>
    </row>
    <row r="598" ht="15.75" customHeight="1">
      <c r="A598" s="53"/>
      <c r="B598" s="53"/>
      <c r="C598" s="53"/>
      <c r="D598" s="53"/>
      <c r="E598" s="42"/>
      <c r="F598" s="42"/>
      <c r="G598" s="42"/>
      <c r="H598" s="42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43"/>
      <c r="T598" s="43"/>
      <c r="U598" s="43"/>
      <c r="V598" s="43"/>
      <c r="W598" s="43"/>
      <c r="X598" s="43"/>
      <c r="Y598" s="43"/>
      <c r="Z598" s="43"/>
    </row>
    <row r="599" ht="15.75" customHeight="1">
      <c r="A599" s="53"/>
      <c r="B599" s="53"/>
      <c r="C599" s="53"/>
      <c r="D599" s="53"/>
      <c r="E599" s="42"/>
      <c r="F599" s="42"/>
      <c r="G599" s="42"/>
      <c r="H599" s="42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43"/>
      <c r="T599" s="43"/>
      <c r="U599" s="43"/>
      <c r="V599" s="43"/>
      <c r="W599" s="43"/>
      <c r="X599" s="43"/>
      <c r="Y599" s="43"/>
      <c r="Z599" s="43"/>
    </row>
    <row r="600" ht="15.75" customHeight="1">
      <c r="A600" s="53"/>
      <c r="B600" s="53"/>
      <c r="C600" s="53"/>
      <c r="D600" s="53"/>
      <c r="E600" s="42"/>
      <c r="F600" s="42"/>
      <c r="G600" s="42"/>
      <c r="H600" s="42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43"/>
      <c r="T600" s="43"/>
      <c r="U600" s="43"/>
      <c r="V600" s="43"/>
      <c r="W600" s="43"/>
      <c r="X600" s="43"/>
      <c r="Y600" s="43"/>
      <c r="Z600" s="43"/>
    </row>
    <row r="601" ht="15.75" customHeight="1">
      <c r="A601" s="53"/>
      <c r="B601" s="53"/>
      <c r="C601" s="53"/>
      <c r="D601" s="53"/>
      <c r="E601" s="42"/>
      <c r="F601" s="42"/>
      <c r="G601" s="42"/>
      <c r="H601" s="42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43"/>
      <c r="T601" s="43"/>
      <c r="U601" s="43"/>
      <c r="V601" s="43"/>
      <c r="W601" s="43"/>
      <c r="X601" s="43"/>
      <c r="Y601" s="43"/>
      <c r="Z601" s="43"/>
    </row>
    <row r="602" ht="15.75" customHeight="1">
      <c r="A602" s="53"/>
      <c r="B602" s="53"/>
      <c r="C602" s="53"/>
      <c r="D602" s="53"/>
      <c r="E602" s="42"/>
      <c r="F602" s="42"/>
      <c r="G602" s="42"/>
      <c r="H602" s="42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43"/>
      <c r="T602" s="43"/>
      <c r="U602" s="43"/>
      <c r="V602" s="43"/>
      <c r="W602" s="43"/>
      <c r="X602" s="43"/>
      <c r="Y602" s="43"/>
      <c r="Z602" s="43"/>
    </row>
    <row r="603" ht="15.75" customHeight="1">
      <c r="A603" s="53"/>
      <c r="B603" s="53"/>
      <c r="C603" s="53"/>
      <c r="D603" s="53"/>
      <c r="E603" s="42"/>
      <c r="F603" s="42"/>
      <c r="G603" s="42"/>
      <c r="H603" s="42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43"/>
      <c r="T603" s="43"/>
      <c r="U603" s="43"/>
      <c r="V603" s="43"/>
      <c r="W603" s="43"/>
      <c r="X603" s="43"/>
      <c r="Y603" s="43"/>
      <c r="Z603" s="43"/>
    </row>
    <row r="604" ht="15.75" customHeight="1">
      <c r="A604" s="53"/>
      <c r="B604" s="53"/>
      <c r="C604" s="53"/>
      <c r="D604" s="53"/>
      <c r="E604" s="42"/>
      <c r="F604" s="42"/>
      <c r="G604" s="42"/>
      <c r="H604" s="42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43"/>
      <c r="T604" s="43"/>
      <c r="U604" s="43"/>
      <c r="V604" s="43"/>
      <c r="W604" s="43"/>
      <c r="X604" s="43"/>
      <c r="Y604" s="43"/>
      <c r="Z604" s="43"/>
    </row>
    <row r="605" ht="15.75" customHeight="1">
      <c r="A605" s="53"/>
      <c r="B605" s="53"/>
      <c r="C605" s="53"/>
      <c r="D605" s="53"/>
      <c r="E605" s="42"/>
      <c r="F605" s="42"/>
      <c r="G605" s="42"/>
      <c r="H605" s="42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43"/>
      <c r="T605" s="43"/>
      <c r="U605" s="43"/>
      <c r="V605" s="43"/>
      <c r="W605" s="43"/>
      <c r="X605" s="43"/>
      <c r="Y605" s="43"/>
      <c r="Z605" s="43"/>
    </row>
    <row r="606" ht="15.75" customHeight="1">
      <c r="A606" s="53"/>
      <c r="B606" s="53"/>
      <c r="C606" s="53"/>
      <c r="D606" s="53"/>
      <c r="E606" s="42"/>
      <c r="F606" s="42"/>
      <c r="G606" s="42"/>
      <c r="H606" s="42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43"/>
      <c r="T606" s="43"/>
      <c r="U606" s="43"/>
      <c r="V606" s="43"/>
      <c r="W606" s="43"/>
      <c r="X606" s="43"/>
      <c r="Y606" s="43"/>
      <c r="Z606" s="43"/>
    </row>
    <row r="607" ht="15.75" customHeight="1">
      <c r="A607" s="53"/>
      <c r="B607" s="53"/>
      <c r="C607" s="53"/>
      <c r="D607" s="53"/>
      <c r="E607" s="42"/>
      <c r="F607" s="42"/>
      <c r="G607" s="42"/>
      <c r="H607" s="42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43"/>
      <c r="T607" s="43"/>
      <c r="U607" s="43"/>
      <c r="V607" s="43"/>
      <c r="W607" s="43"/>
      <c r="X607" s="43"/>
      <c r="Y607" s="43"/>
      <c r="Z607" s="43"/>
    </row>
    <row r="608" ht="15.75" customHeight="1">
      <c r="A608" s="53"/>
      <c r="B608" s="53"/>
      <c r="C608" s="53"/>
      <c r="D608" s="53"/>
      <c r="E608" s="42"/>
      <c r="F608" s="42"/>
      <c r="G608" s="42"/>
      <c r="H608" s="42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43"/>
      <c r="T608" s="43"/>
      <c r="U608" s="43"/>
      <c r="V608" s="43"/>
      <c r="W608" s="43"/>
      <c r="X608" s="43"/>
      <c r="Y608" s="43"/>
      <c r="Z608" s="43"/>
    </row>
    <row r="609" ht="15.75" customHeight="1">
      <c r="A609" s="53"/>
      <c r="B609" s="53"/>
      <c r="C609" s="53"/>
      <c r="D609" s="53"/>
      <c r="E609" s="42"/>
      <c r="F609" s="42"/>
      <c r="G609" s="42"/>
      <c r="H609" s="42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43"/>
      <c r="T609" s="43"/>
      <c r="U609" s="43"/>
      <c r="V609" s="43"/>
      <c r="W609" s="43"/>
      <c r="X609" s="43"/>
      <c r="Y609" s="43"/>
      <c r="Z609" s="43"/>
    </row>
    <row r="610" ht="15.75" customHeight="1">
      <c r="A610" s="53"/>
      <c r="B610" s="53"/>
      <c r="C610" s="53"/>
      <c r="D610" s="53"/>
      <c r="E610" s="42"/>
      <c r="F610" s="42"/>
      <c r="G610" s="42"/>
      <c r="H610" s="42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43"/>
      <c r="T610" s="43"/>
      <c r="U610" s="43"/>
      <c r="V610" s="43"/>
      <c r="W610" s="43"/>
      <c r="X610" s="43"/>
      <c r="Y610" s="43"/>
      <c r="Z610" s="43"/>
    </row>
    <row r="611" ht="15.75" customHeight="1">
      <c r="A611" s="53"/>
      <c r="B611" s="53"/>
      <c r="C611" s="53"/>
      <c r="D611" s="53"/>
      <c r="E611" s="42"/>
      <c r="F611" s="42"/>
      <c r="G611" s="42"/>
      <c r="H611" s="42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43"/>
      <c r="T611" s="43"/>
      <c r="U611" s="43"/>
      <c r="V611" s="43"/>
      <c r="W611" s="43"/>
      <c r="X611" s="43"/>
      <c r="Y611" s="43"/>
      <c r="Z611" s="43"/>
    </row>
    <row r="612" ht="15.75" customHeight="1">
      <c r="A612" s="53"/>
      <c r="B612" s="53"/>
      <c r="C612" s="53"/>
      <c r="D612" s="53"/>
      <c r="E612" s="42"/>
      <c r="F612" s="42"/>
      <c r="G612" s="42"/>
      <c r="H612" s="42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43"/>
      <c r="T612" s="43"/>
      <c r="U612" s="43"/>
      <c r="V612" s="43"/>
      <c r="W612" s="43"/>
      <c r="X612" s="43"/>
      <c r="Y612" s="43"/>
      <c r="Z612" s="43"/>
    </row>
    <row r="613" ht="15.75" customHeight="1">
      <c r="A613" s="53"/>
      <c r="B613" s="53"/>
      <c r="C613" s="53"/>
      <c r="D613" s="53"/>
      <c r="E613" s="42"/>
      <c r="F613" s="42"/>
      <c r="G613" s="42"/>
      <c r="H613" s="42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43"/>
      <c r="T613" s="43"/>
      <c r="U613" s="43"/>
      <c r="V613" s="43"/>
      <c r="W613" s="43"/>
      <c r="X613" s="43"/>
      <c r="Y613" s="43"/>
      <c r="Z613" s="43"/>
    </row>
    <row r="614" ht="15.75" customHeight="1">
      <c r="A614" s="53"/>
      <c r="B614" s="53"/>
      <c r="C614" s="53"/>
      <c r="D614" s="53"/>
      <c r="E614" s="42"/>
      <c r="F614" s="42"/>
      <c r="G614" s="42"/>
      <c r="H614" s="42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43"/>
      <c r="T614" s="43"/>
      <c r="U614" s="43"/>
      <c r="V614" s="43"/>
      <c r="W614" s="43"/>
      <c r="X614" s="43"/>
      <c r="Y614" s="43"/>
      <c r="Z614" s="43"/>
    </row>
    <row r="615" ht="15.75" customHeight="1">
      <c r="A615" s="53"/>
      <c r="B615" s="53"/>
      <c r="C615" s="53"/>
      <c r="D615" s="53"/>
      <c r="E615" s="42"/>
      <c r="F615" s="42"/>
      <c r="G615" s="42"/>
      <c r="H615" s="42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43"/>
      <c r="T615" s="43"/>
      <c r="U615" s="43"/>
      <c r="V615" s="43"/>
      <c r="W615" s="43"/>
      <c r="X615" s="43"/>
      <c r="Y615" s="43"/>
      <c r="Z615" s="43"/>
    </row>
    <row r="616" ht="15.75" customHeight="1">
      <c r="A616" s="53"/>
      <c r="B616" s="53"/>
      <c r="C616" s="53"/>
      <c r="D616" s="53"/>
      <c r="E616" s="42"/>
      <c r="F616" s="42"/>
      <c r="G616" s="42"/>
      <c r="H616" s="42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43"/>
      <c r="T616" s="43"/>
      <c r="U616" s="43"/>
      <c r="V616" s="43"/>
      <c r="W616" s="43"/>
      <c r="X616" s="43"/>
      <c r="Y616" s="43"/>
      <c r="Z616" s="43"/>
    </row>
    <row r="617" ht="15.75" customHeight="1">
      <c r="A617" s="53"/>
      <c r="B617" s="53"/>
      <c r="C617" s="53"/>
      <c r="D617" s="53"/>
      <c r="E617" s="42"/>
      <c r="F617" s="42"/>
      <c r="G617" s="42"/>
      <c r="H617" s="42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43"/>
      <c r="T617" s="43"/>
      <c r="U617" s="43"/>
      <c r="V617" s="43"/>
      <c r="W617" s="43"/>
      <c r="X617" s="43"/>
      <c r="Y617" s="43"/>
      <c r="Z617" s="43"/>
    </row>
    <row r="618" ht="15.75" customHeight="1">
      <c r="A618" s="53"/>
      <c r="B618" s="53"/>
      <c r="C618" s="53"/>
      <c r="D618" s="53"/>
      <c r="E618" s="42"/>
      <c r="F618" s="42"/>
      <c r="G618" s="42"/>
      <c r="H618" s="42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43"/>
      <c r="T618" s="43"/>
      <c r="U618" s="43"/>
      <c r="V618" s="43"/>
      <c r="W618" s="43"/>
      <c r="X618" s="43"/>
      <c r="Y618" s="43"/>
      <c r="Z618" s="43"/>
    </row>
    <row r="619" ht="15.75" customHeight="1">
      <c r="A619" s="53"/>
      <c r="B619" s="53"/>
      <c r="C619" s="53"/>
      <c r="D619" s="53"/>
      <c r="E619" s="42"/>
      <c r="F619" s="42"/>
      <c r="G619" s="42"/>
      <c r="H619" s="42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43"/>
      <c r="T619" s="43"/>
      <c r="U619" s="43"/>
      <c r="V619" s="43"/>
      <c r="W619" s="43"/>
      <c r="X619" s="43"/>
      <c r="Y619" s="43"/>
      <c r="Z619" s="43"/>
    </row>
    <row r="620" ht="15.75" customHeight="1">
      <c r="A620" s="53"/>
      <c r="B620" s="53"/>
      <c r="C620" s="53"/>
      <c r="D620" s="53"/>
      <c r="E620" s="42"/>
      <c r="F620" s="42"/>
      <c r="G620" s="42"/>
      <c r="H620" s="42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43"/>
      <c r="T620" s="43"/>
      <c r="U620" s="43"/>
      <c r="V620" s="43"/>
      <c r="W620" s="43"/>
      <c r="X620" s="43"/>
      <c r="Y620" s="43"/>
      <c r="Z620" s="43"/>
    </row>
    <row r="621" ht="15.75" customHeight="1">
      <c r="A621" s="53"/>
      <c r="B621" s="53"/>
      <c r="C621" s="53"/>
      <c r="D621" s="53"/>
      <c r="E621" s="42"/>
      <c r="F621" s="42"/>
      <c r="G621" s="42"/>
      <c r="H621" s="42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43"/>
      <c r="T621" s="43"/>
      <c r="U621" s="43"/>
      <c r="V621" s="43"/>
      <c r="W621" s="43"/>
      <c r="X621" s="43"/>
      <c r="Y621" s="43"/>
      <c r="Z621" s="43"/>
    </row>
    <row r="622" ht="15.75" customHeight="1">
      <c r="A622" s="53"/>
      <c r="B622" s="53"/>
      <c r="C622" s="53"/>
      <c r="D622" s="53"/>
      <c r="E622" s="42"/>
      <c r="F622" s="42"/>
      <c r="G622" s="42"/>
      <c r="H622" s="42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43"/>
      <c r="T622" s="43"/>
      <c r="U622" s="43"/>
      <c r="V622" s="43"/>
      <c r="W622" s="43"/>
      <c r="X622" s="43"/>
      <c r="Y622" s="43"/>
      <c r="Z622" s="43"/>
    </row>
    <row r="623" ht="15.75" customHeight="1">
      <c r="A623" s="53"/>
      <c r="B623" s="53"/>
      <c r="C623" s="53"/>
      <c r="D623" s="53"/>
      <c r="E623" s="42"/>
      <c r="F623" s="42"/>
      <c r="G623" s="42"/>
      <c r="H623" s="42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43"/>
      <c r="T623" s="43"/>
      <c r="U623" s="43"/>
      <c r="V623" s="43"/>
      <c r="W623" s="43"/>
      <c r="X623" s="43"/>
      <c r="Y623" s="43"/>
      <c r="Z623" s="43"/>
    </row>
    <row r="624" ht="15.75" customHeight="1">
      <c r="A624" s="53"/>
      <c r="B624" s="53"/>
      <c r="C624" s="53"/>
      <c r="D624" s="53"/>
      <c r="E624" s="42"/>
      <c r="F624" s="42"/>
      <c r="G624" s="42"/>
      <c r="H624" s="42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43"/>
      <c r="T624" s="43"/>
      <c r="U624" s="43"/>
      <c r="V624" s="43"/>
      <c r="W624" s="43"/>
      <c r="X624" s="43"/>
      <c r="Y624" s="43"/>
      <c r="Z624" s="43"/>
    </row>
    <row r="625" ht="15.75" customHeight="1">
      <c r="A625" s="53"/>
      <c r="B625" s="53"/>
      <c r="C625" s="53"/>
      <c r="D625" s="53"/>
      <c r="E625" s="42"/>
      <c r="F625" s="42"/>
      <c r="G625" s="42"/>
      <c r="H625" s="42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43"/>
      <c r="T625" s="43"/>
      <c r="U625" s="43"/>
      <c r="V625" s="43"/>
      <c r="W625" s="43"/>
      <c r="X625" s="43"/>
      <c r="Y625" s="43"/>
      <c r="Z625" s="43"/>
    </row>
    <row r="626" ht="15.75" customHeight="1">
      <c r="A626" s="53"/>
      <c r="B626" s="53"/>
      <c r="C626" s="53"/>
      <c r="D626" s="53"/>
      <c r="E626" s="42"/>
      <c r="F626" s="42"/>
      <c r="G626" s="42"/>
      <c r="H626" s="42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43"/>
      <c r="T626" s="43"/>
      <c r="U626" s="43"/>
      <c r="V626" s="43"/>
      <c r="W626" s="43"/>
      <c r="X626" s="43"/>
      <c r="Y626" s="43"/>
      <c r="Z626" s="43"/>
    </row>
    <row r="627" ht="15.75" customHeight="1">
      <c r="A627" s="53"/>
      <c r="B627" s="53"/>
      <c r="C627" s="53"/>
      <c r="D627" s="53"/>
      <c r="E627" s="42"/>
      <c r="F627" s="42"/>
      <c r="G627" s="42"/>
      <c r="H627" s="42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43"/>
      <c r="T627" s="43"/>
      <c r="U627" s="43"/>
      <c r="V627" s="43"/>
      <c r="W627" s="43"/>
      <c r="X627" s="43"/>
      <c r="Y627" s="43"/>
      <c r="Z627" s="43"/>
    </row>
    <row r="628" ht="15.75" customHeight="1">
      <c r="A628" s="53"/>
      <c r="B628" s="53"/>
      <c r="C628" s="53"/>
      <c r="D628" s="53"/>
      <c r="E628" s="42"/>
      <c r="F628" s="42"/>
      <c r="G628" s="42"/>
      <c r="H628" s="42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43"/>
      <c r="T628" s="43"/>
      <c r="U628" s="43"/>
      <c r="V628" s="43"/>
      <c r="W628" s="43"/>
      <c r="X628" s="43"/>
      <c r="Y628" s="43"/>
      <c r="Z628" s="43"/>
    </row>
    <row r="629" ht="15.75" customHeight="1">
      <c r="A629" s="53"/>
      <c r="B629" s="53"/>
      <c r="C629" s="53"/>
      <c r="D629" s="53"/>
      <c r="E629" s="42"/>
      <c r="F629" s="42"/>
      <c r="G629" s="42"/>
      <c r="H629" s="42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43"/>
      <c r="T629" s="43"/>
      <c r="U629" s="43"/>
      <c r="V629" s="43"/>
      <c r="W629" s="43"/>
      <c r="X629" s="43"/>
      <c r="Y629" s="43"/>
      <c r="Z629" s="43"/>
    </row>
    <row r="630" ht="15.75" customHeight="1">
      <c r="A630" s="53"/>
      <c r="B630" s="53"/>
      <c r="C630" s="53"/>
      <c r="D630" s="53"/>
      <c r="E630" s="42"/>
      <c r="F630" s="42"/>
      <c r="G630" s="42"/>
      <c r="H630" s="42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43"/>
      <c r="T630" s="43"/>
      <c r="U630" s="43"/>
      <c r="V630" s="43"/>
      <c r="W630" s="43"/>
      <c r="X630" s="43"/>
      <c r="Y630" s="43"/>
      <c r="Z630" s="43"/>
    </row>
    <row r="631" ht="15.75" customHeight="1">
      <c r="A631" s="53"/>
      <c r="B631" s="53"/>
      <c r="C631" s="53"/>
      <c r="D631" s="53"/>
      <c r="E631" s="42"/>
      <c r="F631" s="42"/>
      <c r="G631" s="42"/>
      <c r="H631" s="42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43"/>
      <c r="T631" s="43"/>
      <c r="U631" s="43"/>
      <c r="V631" s="43"/>
      <c r="W631" s="43"/>
      <c r="X631" s="43"/>
      <c r="Y631" s="43"/>
      <c r="Z631" s="43"/>
    </row>
    <row r="632" ht="15.75" customHeight="1">
      <c r="A632" s="53"/>
      <c r="B632" s="53"/>
      <c r="C632" s="53"/>
      <c r="D632" s="53"/>
      <c r="E632" s="42"/>
      <c r="F632" s="42"/>
      <c r="G632" s="42"/>
      <c r="H632" s="42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43"/>
      <c r="T632" s="43"/>
      <c r="U632" s="43"/>
      <c r="V632" s="43"/>
      <c r="W632" s="43"/>
      <c r="X632" s="43"/>
      <c r="Y632" s="43"/>
      <c r="Z632" s="43"/>
    </row>
    <row r="633" ht="15.75" customHeight="1">
      <c r="A633" s="53"/>
      <c r="B633" s="53"/>
      <c r="C633" s="53"/>
      <c r="D633" s="53"/>
      <c r="E633" s="42"/>
      <c r="F633" s="42"/>
      <c r="G633" s="42"/>
      <c r="H633" s="42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43"/>
      <c r="T633" s="43"/>
      <c r="U633" s="43"/>
      <c r="V633" s="43"/>
      <c r="W633" s="43"/>
      <c r="X633" s="43"/>
      <c r="Y633" s="43"/>
      <c r="Z633" s="43"/>
    </row>
    <row r="634" ht="15.75" customHeight="1">
      <c r="A634" s="53"/>
      <c r="B634" s="53"/>
      <c r="C634" s="53"/>
      <c r="D634" s="53"/>
      <c r="E634" s="42"/>
      <c r="F634" s="42"/>
      <c r="G634" s="42"/>
      <c r="H634" s="42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43"/>
      <c r="T634" s="43"/>
      <c r="U634" s="43"/>
      <c r="V634" s="43"/>
      <c r="W634" s="43"/>
      <c r="X634" s="43"/>
      <c r="Y634" s="43"/>
      <c r="Z634" s="43"/>
    </row>
    <row r="635" ht="15.75" customHeight="1">
      <c r="A635" s="53"/>
      <c r="B635" s="53"/>
      <c r="C635" s="53"/>
      <c r="D635" s="53"/>
      <c r="E635" s="42"/>
      <c r="F635" s="42"/>
      <c r="G635" s="42"/>
      <c r="H635" s="42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43"/>
      <c r="T635" s="43"/>
      <c r="U635" s="43"/>
      <c r="V635" s="43"/>
      <c r="W635" s="43"/>
      <c r="X635" s="43"/>
      <c r="Y635" s="43"/>
      <c r="Z635" s="43"/>
    </row>
    <row r="636" ht="15.75" customHeight="1">
      <c r="A636" s="53"/>
      <c r="B636" s="53"/>
      <c r="C636" s="53"/>
      <c r="D636" s="53"/>
      <c r="E636" s="42"/>
      <c r="F636" s="42"/>
      <c r="G636" s="42"/>
      <c r="H636" s="42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43"/>
      <c r="T636" s="43"/>
      <c r="U636" s="43"/>
      <c r="V636" s="43"/>
      <c r="W636" s="43"/>
      <c r="X636" s="43"/>
      <c r="Y636" s="43"/>
      <c r="Z636" s="43"/>
    </row>
    <row r="637" ht="15.75" customHeight="1">
      <c r="A637" s="53"/>
      <c r="B637" s="53"/>
      <c r="C637" s="53"/>
      <c r="D637" s="53"/>
      <c r="E637" s="42"/>
      <c r="F637" s="42"/>
      <c r="G637" s="42"/>
      <c r="H637" s="42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43"/>
      <c r="T637" s="43"/>
      <c r="U637" s="43"/>
      <c r="V637" s="43"/>
      <c r="W637" s="43"/>
      <c r="X637" s="43"/>
      <c r="Y637" s="43"/>
      <c r="Z637" s="43"/>
    </row>
    <row r="638" ht="15.75" customHeight="1">
      <c r="A638" s="53"/>
      <c r="B638" s="53"/>
      <c r="C638" s="53"/>
      <c r="D638" s="53"/>
      <c r="E638" s="42"/>
      <c r="F638" s="42"/>
      <c r="G638" s="42"/>
      <c r="H638" s="42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43"/>
      <c r="T638" s="43"/>
      <c r="U638" s="43"/>
      <c r="V638" s="43"/>
      <c r="W638" s="43"/>
      <c r="X638" s="43"/>
      <c r="Y638" s="43"/>
      <c r="Z638" s="43"/>
    </row>
    <row r="639" ht="15.75" customHeight="1">
      <c r="A639" s="53"/>
      <c r="B639" s="53"/>
      <c r="C639" s="53"/>
      <c r="D639" s="53"/>
      <c r="E639" s="42"/>
      <c r="F639" s="42"/>
      <c r="G639" s="42"/>
      <c r="H639" s="42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43"/>
      <c r="T639" s="43"/>
      <c r="U639" s="43"/>
      <c r="V639" s="43"/>
      <c r="W639" s="43"/>
      <c r="X639" s="43"/>
      <c r="Y639" s="43"/>
      <c r="Z639" s="43"/>
    </row>
    <row r="640" ht="15.75" customHeight="1">
      <c r="A640" s="53"/>
      <c r="B640" s="53"/>
      <c r="C640" s="53"/>
      <c r="D640" s="53"/>
      <c r="E640" s="42"/>
      <c r="F640" s="42"/>
      <c r="G640" s="42"/>
      <c r="H640" s="42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43"/>
      <c r="T640" s="43"/>
      <c r="U640" s="43"/>
      <c r="V640" s="43"/>
      <c r="W640" s="43"/>
      <c r="X640" s="43"/>
      <c r="Y640" s="43"/>
      <c r="Z640" s="43"/>
    </row>
    <row r="641" ht="15.75" customHeight="1">
      <c r="A641" s="53"/>
      <c r="B641" s="53"/>
      <c r="C641" s="53"/>
      <c r="D641" s="53"/>
      <c r="E641" s="42"/>
      <c r="F641" s="42"/>
      <c r="G641" s="42"/>
      <c r="H641" s="42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43"/>
      <c r="T641" s="43"/>
      <c r="U641" s="43"/>
      <c r="V641" s="43"/>
      <c r="W641" s="43"/>
      <c r="X641" s="43"/>
      <c r="Y641" s="43"/>
      <c r="Z641" s="43"/>
    </row>
    <row r="642" ht="15.75" customHeight="1">
      <c r="A642" s="53"/>
      <c r="B642" s="53"/>
      <c r="C642" s="53"/>
      <c r="D642" s="53"/>
      <c r="E642" s="42"/>
      <c r="F642" s="42"/>
      <c r="G642" s="42"/>
      <c r="H642" s="42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43"/>
      <c r="T642" s="43"/>
      <c r="U642" s="43"/>
      <c r="V642" s="43"/>
      <c r="W642" s="43"/>
      <c r="X642" s="43"/>
      <c r="Y642" s="43"/>
      <c r="Z642" s="43"/>
    </row>
    <row r="643" ht="15.75" customHeight="1">
      <c r="A643" s="53"/>
      <c r="B643" s="53"/>
      <c r="C643" s="53"/>
      <c r="D643" s="53"/>
      <c r="E643" s="42"/>
      <c r="F643" s="42"/>
      <c r="G643" s="42"/>
      <c r="H643" s="42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43"/>
      <c r="T643" s="43"/>
      <c r="U643" s="43"/>
      <c r="V643" s="43"/>
      <c r="W643" s="43"/>
      <c r="X643" s="43"/>
      <c r="Y643" s="43"/>
      <c r="Z643" s="43"/>
    </row>
    <row r="644" ht="15.75" customHeight="1">
      <c r="A644" s="53"/>
      <c r="B644" s="53"/>
      <c r="C644" s="53"/>
      <c r="D644" s="53"/>
      <c r="E644" s="42"/>
      <c r="F644" s="42"/>
      <c r="G644" s="42"/>
      <c r="H644" s="42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43"/>
      <c r="T644" s="43"/>
      <c r="U644" s="43"/>
      <c r="V644" s="43"/>
      <c r="W644" s="43"/>
      <c r="X644" s="43"/>
      <c r="Y644" s="43"/>
      <c r="Z644" s="43"/>
    </row>
    <row r="645" ht="15.75" customHeight="1">
      <c r="A645" s="53"/>
      <c r="B645" s="53"/>
      <c r="C645" s="53"/>
      <c r="D645" s="53"/>
      <c r="E645" s="42"/>
      <c r="F645" s="42"/>
      <c r="G645" s="42"/>
      <c r="H645" s="42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43"/>
      <c r="T645" s="43"/>
      <c r="U645" s="43"/>
      <c r="V645" s="43"/>
      <c r="W645" s="43"/>
      <c r="X645" s="43"/>
      <c r="Y645" s="43"/>
      <c r="Z645" s="43"/>
    </row>
    <row r="646" ht="15.75" customHeight="1">
      <c r="A646" s="53"/>
      <c r="B646" s="53"/>
      <c r="C646" s="53"/>
      <c r="D646" s="53"/>
      <c r="E646" s="42"/>
      <c r="F646" s="42"/>
      <c r="G646" s="42"/>
      <c r="H646" s="42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43"/>
      <c r="T646" s="43"/>
      <c r="U646" s="43"/>
      <c r="V646" s="43"/>
      <c r="W646" s="43"/>
      <c r="X646" s="43"/>
      <c r="Y646" s="43"/>
      <c r="Z646" s="43"/>
    </row>
    <row r="647" ht="15.75" customHeight="1">
      <c r="A647" s="53"/>
      <c r="B647" s="53"/>
      <c r="C647" s="53"/>
      <c r="D647" s="53"/>
      <c r="E647" s="42"/>
      <c r="F647" s="42"/>
      <c r="G647" s="42"/>
      <c r="H647" s="42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43"/>
      <c r="T647" s="43"/>
      <c r="U647" s="43"/>
      <c r="V647" s="43"/>
      <c r="W647" s="43"/>
      <c r="X647" s="43"/>
      <c r="Y647" s="43"/>
      <c r="Z647" s="43"/>
    </row>
    <row r="648" ht="15.75" customHeight="1">
      <c r="A648" s="53"/>
      <c r="B648" s="53"/>
      <c r="C648" s="53"/>
      <c r="D648" s="53"/>
      <c r="E648" s="42"/>
      <c r="F648" s="42"/>
      <c r="G648" s="42"/>
      <c r="H648" s="42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43"/>
      <c r="T648" s="43"/>
      <c r="U648" s="43"/>
      <c r="V648" s="43"/>
      <c r="W648" s="43"/>
      <c r="X648" s="43"/>
      <c r="Y648" s="43"/>
      <c r="Z648" s="43"/>
    </row>
    <row r="649" ht="15.75" customHeight="1">
      <c r="A649" s="53"/>
      <c r="B649" s="53"/>
      <c r="C649" s="53"/>
      <c r="D649" s="53"/>
      <c r="E649" s="42"/>
      <c r="F649" s="42"/>
      <c r="G649" s="42"/>
      <c r="H649" s="42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43"/>
      <c r="T649" s="43"/>
      <c r="U649" s="43"/>
      <c r="V649" s="43"/>
      <c r="W649" s="43"/>
      <c r="X649" s="43"/>
      <c r="Y649" s="43"/>
      <c r="Z649" s="43"/>
    </row>
    <row r="650" ht="15.75" customHeight="1">
      <c r="A650" s="53"/>
      <c r="B650" s="53"/>
      <c r="C650" s="53"/>
      <c r="D650" s="53"/>
      <c r="E650" s="42"/>
      <c r="F650" s="42"/>
      <c r="G650" s="42"/>
      <c r="H650" s="42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43"/>
      <c r="T650" s="43"/>
      <c r="U650" s="43"/>
      <c r="V650" s="43"/>
      <c r="W650" s="43"/>
      <c r="X650" s="43"/>
      <c r="Y650" s="43"/>
      <c r="Z650" s="43"/>
    </row>
    <row r="651" ht="15.75" customHeight="1">
      <c r="A651" s="53"/>
      <c r="B651" s="53"/>
      <c r="C651" s="53"/>
      <c r="D651" s="53"/>
      <c r="E651" s="42"/>
      <c r="F651" s="42"/>
      <c r="G651" s="42"/>
      <c r="H651" s="42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43"/>
      <c r="T651" s="43"/>
      <c r="U651" s="43"/>
      <c r="V651" s="43"/>
      <c r="W651" s="43"/>
      <c r="X651" s="43"/>
      <c r="Y651" s="43"/>
      <c r="Z651" s="43"/>
    </row>
    <row r="652" ht="15.75" customHeight="1">
      <c r="A652" s="53"/>
      <c r="B652" s="53"/>
      <c r="C652" s="53"/>
      <c r="D652" s="53"/>
      <c r="E652" s="42"/>
      <c r="F652" s="42"/>
      <c r="G652" s="42"/>
      <c r="H652" s="42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43"/>
      <c r="T652" s="43"/>
      <c r="U652" s="43"/>
      <c r="V652" s="43"/>
      <c r="W652" s="43"/>
      <c r="X652" s="43"/>
      <c r="Y652" s="43"/>
      <c r="Z652" s="43"/>
    </row>
    <row r="653" ht="15.75" customHeight="1">
      <c r="A653" s="53"/>
      <c r="B653" s="53"/>
      <c r="C653" s="53"/>
      <c r="D653" s="53"/>
      <c r="E653" s="42"/>
      <c r="F653" s="42"/>
      <c r="G653" s="42"/>
      <c r="H653" s="42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43"/>
      <c r="T653" s="43"/>
      <c r="U653" s="43"/>
      <c r="V653" s="43"/>
      <c r="W653" s="43"/>
      <c r="X653" s="43"/>
      <c r="Y653" s="43"/>
      <c r="Z653" s="43"/>
    </row>
    <row r="654" ht="15.75" customHeight="1">
      <c r="A654" s="53"/>
      <c r="B654" s="53"/>
      <c r="C654" s="53"/>
      <c r="D654" s="53"/>
      <c r="E654" s="42"/>
      <c r="F654" s="42"/>
      <c r="G654" s="42"/>
      <c r="H654" s="42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43"/>
      <c r="T654" s="43"/>
      <c r="U654" s="43"/>
      <c r="V654" s="43"/>
      <c r="W654" s="43"/>
      <c r="X654" s="43"/>
      <c r="Y654" s="43"/>
      <c r="Z654" s="43"/>
    </row>
    <row r="655" ht="15.75" customHeight="1">
      <c r="A655" s="53"/>
      <c r="B655" s="53"/>
      <c r="C655" s="53"/>
      <c r="D655" s="53"/>
      <c r="E655" s="42"/>
      <c r="F655" s="42"/>
      <c r="G655" s="42"/>
      <c r="H655" s="42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43"/>
      <c r="T655" s="43"/>
      <c r="U655" s="43"/>
      <c r="V655" s="43"/>
      <c r="W655" s="43"/>
      <c r="X655" s="43"/>
      <c r="Y655" s="43"/>
      <c r="Z655" s="43"/>
    </row>
    <row r="656" ht="15.75" customHeight="1">
      <c r="A656" s="53"/>
      <c r="B656" s="53"/>
      <c r="C656" s="53"/>
      <c r="D656" s="53"/>
      <c r="E656" s="42"/>
      <c r="F656" s="42"/>
      <c r="G656" s="42"/>
      <c r="H656" s="42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43"/>
      <c r="T656" s="43"/>
      <c r="U656" s="43"/>
      <c r="V656" s="43"/>
      <c r="W656" s="43"/>
      <c r="X656" s="43"/>
      <c r="Y656" s="43"/>
      <c r="Z656" s="43"/>
    </row>
    <row r="657" ht="15.75" customHeight="1">
      <c r="A657" s="53"/>
      <c r="B657" s="53"/>
      <c r="C657" s="53"/>
      <c r="D657" s="53"/>
      <c r="E657" s="42"/>
      <c r="F657" s="42"/>
      <c r="G657" s="42"/>
      <c r="H657" s="42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43"/>
      <c r="T657" s="43"/>
      <c r="U657" s="43"/>
      <c r="V657" s="43"/>
      <c r="W657" s="43"/>
      <c r="X657" s="43"/>
      <c r="Y657" s="43"/>
      <c r="Z657" s="43"/>
    </row>
    <row r="658" ht="15.75" customHeight="1">
      <c r="A658" s="53"/>
      <c r="B658" s="53"/>
      <c r="C658" s="53"/>
      <c r="D658" s="53"/>
      <c r="E658" s="42"/>
      <c r="F658" s="42"/>
      <c r="G658" s="42"/>
      <c r="H658" s="42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43"/>
      <c r="T658" s="43"/>
      <c r="U658" s="43"/>
      <c r="V658" s="43"/>
      <c r="W658" s="43"/>
      <c r="X658" s="43"/>
      <c r="Y658" s="43"/>
      <c r="Z658" s="43"/>
    </row>
    <row r="659" ht="15.75" customHeight="1">
      <c r="A659" s="53"/>
      <c r="B659" s="53"/>
      <c r="C659" s="53"/>
      <c r="D659" s="53"/>
      <c r="E659" s="42"/>
      <c r="F659" s="42"/>
      <c r="G659" s="42"/>
      <c r="H659" s="42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43"/>
      <c r="T659" s="43"/>
      <c r="U659" s="43"/>
      <c r="V659" s="43"/>
      <c r="W659" s="43"/>
      <c r="X659" s="43"/>
      <c r="Y659" s="43"/>
      <c r="Z659" s="43"/>
    </row>
    <row r="660" ht="15.75" customHeight="1">
      <c r="A660" s="53"/>
      <c r="B660" s="53"/>
      <c r="C660" s="53"/>
      <c r="D660" s="53"/>
      <c r="E660" s="42"/>
      <c r="F660" s="42"/>
      <c r="G660" s="42"/>
      <c r="H660" s="42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43"/>
      <c r="T660" s="43"/>
      <c r="U660" s="43"/>
      <c r="V660" s="43"/>
      <c r="W660" s="43"/>
      <c r="X660" s="43"/>
      <c r="Y660" s="43"/>
      <c r="Z660" s="43"/>
    </row>
    <row r="661" ht="15.75" customHeight="1">
      <c r="A661" s="53"/>
      <c r="B661" s="53"/>
      <c r="C661" s="53"/>
      <c r="D661" s="53"/>
      <c r="E661" s="42"/>
      <c r="F661" s="42"/>
      <c r="G661" s="42"/>
      <c r="H661" s="42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43"/>
      <c r="T661" s="43"/>
      <c r="U661" s="43"/>
      <c r="V661" s="43"/>
      <c r="W661" s="43"/>
      <c r="X661" s="43"/>
      <c r="Y661" s="43"/>
      <c r="Z661" s="43"/>
    </row>
    <row r="662" ht="15.75" customHeight="1">
      <c r="A662" s="53"/>
      <c r="B662" s="53"/>
      <c r="C662" s="53"/>
      <c r="D662" s="53"/>
      <c r="E662" s="42"/>
      <c r="F662" s="42"/>
      <c r="G662" s="42"/>
      <c r="H662" s="42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43"/>
      <c r="T662" s="43"/>
      <c r="U662" s="43"/>
      <c r="V662" s="43"/>
      <c r="W662" s="43"/>
      <c r="X662" s="43"/>
      <c r="Y662" s="43"/>
      <c r="Z662" s="43"/>
    </row>
    <row r="663" ht="15.75" customHeight="1">
      <c r="A663" s="53"/>
      <c r="B663" s="53"/>
      <c r="C663" s="53"/>
      <c r="D663" s="53"/>
      <c r="E663" s="42"/>
      <c r="F663" s="42"/>
      <c r="G663" s="42"/>
      <c r="H663" s="42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43"/>
      <c r="T663" s="43"/>
      <c r="U663" s="43"/>
      <c r="V663" s="43"/>
      <c r="W663" s="43"/>
      <c r="X663" s="43"/>
      <c r="Y663" s="43"/>
      <c r="Z663" s="43"/>
    </row>
    <row r="664" ht="15.75" customHeight="1">
      <c r="A664" s="53"/>
      <c r="B664" s="53"/>
      <c r="C664" s="53"/>
      <c r="D664" s="53"/>
      <c r="E664" s="42"/>
      <c r="F664" s="42"/>
      <c r="G664" s="42"/>
      <c r="H664" s="42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43"/>
      <c r="T664" s="43"/>
      <c r="U664" s="43"/>
      <c r="V664" s="43"/>
      <c r="W664" s="43"/>
      <c r="X664" s="43"/>
      <c r="Y664" s="43"/>
      <c r="Z664" s="43"/>
    </row>
    <row r="665" ht="15.75" customHeight="1">
      <c r="A665" s="53"/>
      <c r="B665" s="53"/>
      <c r="C665" s="53"/>
      <c r="D665" s="53"/>
      <c r="E665" s="42"/>
      <c r="F665" s="42"/>
      <c r="G665" s="42"/>
      <c r="H665" s="42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43"/>
      <c r="T665" s="43"/>
      <c r="U665" s="43"/>
      <c r="V665" s="43"/>
      <c r="W665" s="43"/>
      <c r="X665" s="43"/>
      <c r="Y665" s="43"/>
      <c r="Z665" s="43"/>
    </row>
    <row r="666" ht="15.75" customHeight="1">
      <c r="A666" s="53"/>
      <c r="B666" s="53"/>
      <c r="C666" s="53"/>
      <c r="D666" s="53"/>
      <c r="E666" s="42"/>
      <c r="F666" s="42"/>
      <c r="G666" s="42"/>
      <c r="H666" s="42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43"/>
      <c r="T666" s="43"/>
      <c r="U666" s="43"/>
      <c r="V666" s="43"/>
      <c r="W666" s="43"/>
      <c r="X666" s="43"/>
      <c r="Y666" s="43"/>
      <c r="Z666" s="43"/>
    </row>
    <row r="667" ht="15.75" customHeight="1">
      <c r="A667" s="53"/>
      <c r="B667" s="53"/>
      <c r="C667" s="53"/>
      <c r="D667" s="53"/>
      <c r="E667" s="42"/>
      <c r="F667" s="42"/>
      <c r="G667" s="42"/>
      <c r="H667" s="42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43"/>
      <c r="T667" s="43"/>
      <c r="U667" s="43"/>
      <c r="V667" s="43"/>
      <c r="W667" s="43"/>
      <c r="X667" s="43"/>
      <c r="Y667" s="43"/>
      <c r="Z667" s="43"/>
    </row>
    <row r="668" ht="15.75" customHeight="1">
      <c r="A668" s="53"/>
      <c r="B668" s="53"/>
      <c r="C668" s="53"/>
      <c r="D668" s="53"/>
      <c r="E668" s="42"/>
      <c r="F668" s="42"/>
      <c r="G668" s="42"/>
      <c r="H668" s="42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43"/>
      <c r="T668" s="43"/>
      <c r="U668" s="43"/>
      <c r="V668" s="43"/>
      <c r="W668" s="43"/>
      <c r="X668" s="43"/>
      <c r="Y668" s="43"/>
      <c r="Z668" s="43"/>
    </row>
    <row r="669" ht="15.75" customHeight="1">
      <c r="A669" s="53"/>
      <c r="B669" s="53"/>
      <c r="C669" s="53"/>
      <c r="D669" s="53"/>
      <c r="E669" s="42"/>
      <c r="F669" s="42"/>
      <c r="G669" s="42"/>
      <c r="H669" s="42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43"/>
      <c r="T669" s="43"/>
      <c r="U669" s="43"/>
      <c r="V669" s="43"/>
      <c r="W669" s="43"/>
      <c r="X669" s="43"/>
      <c r="Y669" s="43"/>
      <c r="Z669" s="43"/>
    </row>
    <row r="670" ht="15.75" customHeight="1">
      <c r="A670" s="53"/>
      <c r="B670" s="53"/>
      <c r="C670" s="53"/>
      <c r="D670" s="53"/>
      <c r="E670" s="42"/>
      <c r="F670" s="42"/>
      <c r="G670" s="42"/>
      <c r="H670" s="42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43"/>
      <c r="T670" s="43"/>
      <c r="U670" s="43"/>
      <c r="V670" s="43"/>
      <c r="W670" s="43"/>
      <c r="X670" s="43"/>
      <c r="Y670" s="43"/>
      <c r="Z670" s="43"/>
    </row>
    <row r="671" ht="15.75" customHeight="1">
      <c r="A671" s="53"/>
      <c r="B671" s="53"/>
      <c r="C671" s="53"/>
      <c r="D671" s="53"/>
      <c r="E671" s="42"/>
      <c r="F671" s="42"/>
      <c r="G671" s="42"/>
      <c r="H671" s="42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43"/>
      <c r="T671" s="43"/>
      <c r="U671" s="43"/>
      <c r="V671" s="43"/>
      <c r="W671" s="43"/>
      <c r="X671" s="43"/>
      <c r="Y671" s="43"/>
      <c r="Z671" s="43"/>
    </row>
    <row r="672" ht="15.75" customHeight="1">
      <c r="A672" s="53"/>
      <c r="B672" s="53"/>
      <c r="C672" s="53"/>
      <c r="D672" s="53"/>
      <c r="E672" s="42"/>
      <c r="F672" s="42"/>
      <c r="G672" s="42"/>
      <c r="H672" s="42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43"/>
      <c r="T672" s="43"/>
      <c r="U672" s="43"/>
      <c r="V672" s="43"/>
      <c r="W672" s="43"/>
      <c r="X672" s="43"/>
      <c r="Y672" s="43"/>
      <c r="Z672" s="43"/>
    </row>
    <row r="673" ht="15.75" customHeight="1">
      <c r="A673" s="53"/>
      <c r="B673" s="53"/>
      <c r="C673" s="53"/>
      <c r="D673" s="53"/>
      <c r="E673" s="42"/>
      <c r="F673" s="42"/>
      <c r="G673" s="42"/>
      <c r="H673" s="42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43"/>
      <c r="T673" s="43"/>
      <c r="U673" s="43"/>
      <c r="V673" s="43"/>
      <c r="W673" s="43"/>
      <c r="X673" s="43"/>
      <c r="Y673" s="43"/>
      <c r="Z673" s="43"/>
    </row>
    <row r="674" ht="15.75" customHeight="1">
      <c r="A674" s="53"/>
      <c r="B674" s="53"/>
      <c r="C674" s="53"/>
      <c r="D674" s="53"/>
      <c r="E674" s="42"/>
      <c r="F674" s="42"/>
      <c r="G674" s="42"/>
      <c r="H674" s="42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43"/>
      <c r="T674" s="43"/>
      <c r="U674" s="43"/>
      <c r="V674" s="43"/>
      <c r="W674" s="43"/>
      <c r="X674" s="43"/>
      <c r="Y674" s="43"/>
      <c r="Z674" s="43"/>
    </row>
    <row r="675" ht="15.75" customHeight="1">
      <c r="A675" s="53"/>
      <c r="B675" s="53"/>
      <c r="C675" s="53"/>
      <c r="D675" s="53"/>
      <c r="E675" s="42"/>
      <c r="F675" s="42"/>
      <c r="G675" s="42"/>
      <c r="H675" s="42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43"/>
      <c r="T675" s="43"/>
      <c r="U675" s="43"/>
      <c r="V675" s="43"/>
      <c r="W675" s="43"/>
      <c r="X675" s="43"/>
      <c r="Y675" s="43"/>
      <c r="Z675" s="43"/>
    </row>
    <row r="676" ht="15.75" customHeight="1">
      <c r="A676" s="53"/>
      <c r="B676" s="53"/>
      <c r="C676" s="53"/>
      <c r="D676" s="53"/>
      <c r="E676" s="42"/>
      <c r="F676" s="42"/>
      <c r="G676" s="42"/>
      <c r="H676" s="42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43"/>
      <c r="T676" s="43"/>
      <c r="U676" s="43"/>
      <c r="V676" s="43"/>
      <c r="W676" s="43"/>
      <c r="X676" s="43"/>
      <c r="Y676" s="43"/>
      <c r="Z676" s="43"/>
    </row>
    <row r="677" ht="15.75" customHeight="1">
      <c r="A677" s="53"/>
      <c r="B677" s="53"/>
      <c r="C677" s="53"/>
      <c r="D677" s="53"/>
      <c r="E677" s="42"/>
      <c r="F677" s="42"/>
      <c r="G677" s="42"/>
      <c r="H677" s="42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43"/>
      <c r="T677" s="43"/>
      <c r="U677" s="43"/>
      <c r="V677" s="43"/>
      <c r="W677" s="43"/>
      <c r="X677" s="43"/>
      <c r="Y677" s="43"/>
      <c r="Z677" s="43"/>
    </row>
    <row r="678" ht="15.75" customHeight="1">
      <c r="A678" s="53"/>
      <c r="B678" s="53"/>
      <c r="C678" s="53"/>
      <c r="D678" s="53"/>
      <c r="E678" s="42"/>
      <c r="F678" s="42"/>
      <c r="G678" s="42"/>
      <c r="H678" s="42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43"/>
      <c r="T678" s="43"/>
      <c r="U678" s="43"/>
      <c r="V678" s="43"/>
      <c r="W678" s="43"/>
      <c r="X678" s="43"/>
      <c r="Y678" s="43"/>
      <c r="Z678" s="43"/>
    </row>
    <row r="679" ht="15.75" customHeight="1">
      <c r="A679" s="53"/>
      <c r="B679" s="53"/>
      <c r="C679" s="53"/>
      <c r="D679" s="53"/>
      <c r="E679" s="42"/>
      <c r="F679" s="42"/>
      <c r="G679" s="42"/>
      <c r="H679" s="42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43"/>
      <c r="T679" s="43"/>
      <c r="U679" s="43"/>
      <c r="V679" s="43"/>
      <c r="W679" s="43"/>
      <c r="X679" s="43"/>
      <c r="Y679" s="43"/>
      <c r="Z679" s="43"/>
    </row>
    <row r="680" ht="15.75" customHeight="1">
      <c r="A680" s="53"/>
      <c r="B680" s="53"/>
      <c r="C680" s="53"/>
      <c r="D680" s="53"/>
      <c r="E680" s="42"/>
      <c r="F680" s="42"/>
      <c r="G680" s="42"/>
      <c r="H680" s="42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43"/>
      <c r="T680" s="43"/>
      <c r="U680" s="43"/>
      <c r="V680" s="43"/>
      <c r="W680" s="43"/>
      <c r="X680" s="43"/>
      <c r="Y680" s="43"/>
      <c r="Z680" s="43"/>
    </row>
    <row r="681" ht="15.75" customHeight="1">
      <c r="A681" s="53"/>
      <c r="B681" s="53"/>
      <c r="C681" s="53"/>
      <c r="D681" s="53"/>
      <c r="E681" s="42"/>
      <c r="F681" s="42"/>
      <c r="G681" s="42"/>
      <c r="H681" s="42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43"/>
      <c r="T681" s="43"/>
      <c r="U681" s="43"/>
      <c r="V681" s="43"/>
      <c r="W681" s="43"/>
      <c r="X681" s="43"/>
      <c r="Y681" s="43"/>
      <c r="Z681" s="43"/>
    </row>
    <row r="682" ht="15.75" customHeight="1">
      <c r="A682" s="53"/>
      <c r="B682" s="53"/>
      <c r="C682" s="53"/>
      <c r="D682" s="53"/>
      <c r="E682" s="42"/>
      <c r="F682" s="42"/>
      <c r="G682" s="42"/>
      <c r="H682" s="42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43"/>
      <c r="T682" s="43"/>
      <c r="U682" s="43"/>
      <c r="V682" s="43"/>
      <c r="W682" s="43"/>
      <c r="X682" s="43"/>
      <c r="Y682" s="43"/>
      <c r="Z682" s="43"/>
    </row>
    <row r="683" ht="15.75" customHeight="1">
      <c r="A683" s="53"/>
      <c r="B683" s="53"/>
      <c r="C683" s="53"/>
      <c r="D683" s="53"/>
      <c r="E683" s="42"/>
      <c r="F683" s="42"/>
      <c r="G683" s="42"/>
      <c r="H683" s="42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43"/>
      <c r="T683" s="43"/>
      <c r="U683" s="43"/>
      <c r="V683" s="43"/>
      <c r="W683" s="43"/>
      <c r="X683" s="43"/>
      <c r="Y683" s="43"/>
      <c r="Z683" s="43"/>
    </row>
    <row r="684" ht="15.75" customHeight="1">
      <c r="A684" s="53"/>
      <c r="B684" s="53"/>
      <c r="C684" s="53"/>
      <c r="D684" s="53"/>
      <c r="E684" s="42"/>
      <c r="F684" s="42"/>
      <c r="G684" s="42"/>
      <c r="H684" s="42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43"/>
      <c r="T684" s="43"/>
      <c r="U684" s="43"/>
      <c r="V684" s="43"/>
      <c r="W684" s="43"/>
      <c r="X684" s="43"/>
      <c r="Y684" s="43"/>
      <c r="Z684" s="43"/>
    </row>
    <row r="685" ht="15.75" customHeight="1">
      <c r="A685" s="53"/>
      <c r="B685" s="53"/>
      <c r="C685" s="53"/>
      <c r="D685" s="53"/>
      <c r="E685" s="42"/>
      <c r="F685" s="42"/>
      <c r="G685" s="42"/>
      <c r="H685" s="42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43"/>
      <c r="T685" s="43"/>
      <c r="U685" s="43"/>
      <c r="V685" s="43"/>
      <c r="W685" s="43"/>
      <c r="X685" s="43"/>
      <c r="Y685" s="43"/>
      <c r="Z685" s="43"/>
    </row>
    <row r="686" ht="15.75" customHeight="1">
      <c r="A686" s="53"/>
      <c r="B686" s="53"/>
      <c r="C686" s="53"/>
      <c r="D686" s="53"/>
      <c r="E686" s="42"/>
      <c r="F686" s="42"/>
      <c r="G686" s="42"/>
      <c r="H686" s="42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43"/>
      <c r="T686" s="43"/>
      <c r="U686" s="43"/>
      <c r="V686" s="43"/>
      <c r="W686" s="43"/>
      <c r="X686" s="43"/>
      <c r="Y686" s="43"/>
      <c r="Z686" s="43"/>
    </row>
    <row r="687" ht="15.75" customHeight="1">
      <c r="A687" s="53"/>
      <c r="B687" s="53"/>
      <c r="C687" s="53"/>
      <c r="D687" s="53"/>
      <c r="E687" s="42"/>
      <c r="F687" s="42"/>
      <c r="G687" s="42"/>
      <c r="H687" s="42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43"/>
      <c r="T687" s="43"/>
      <c r="U687" s="43"/>
      <c r="V687" s="43"/>
      <c r="W687" s="43"/>
      <c r="X687" s="43"/>
      <c r="Y687" s="43"/>
      <c r="Z687" s="43"/>
    </row>
    <row r="688" ht="15.75" customHeight="1">
      <c r="A688" s="53"/>
      <c r="B688" s="53"/>
      <c r="C688" s="53"/>
      <c r="D688" s="53"/>
      <c r="E688" s="42"/>
      <c r="F688" s="42"/>
      <c r="G688" s="42"/>
      <c r="H688" s="42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43"/>
      <c r="T688" s="43"/>
      <c r="U688" s="43"/>
      <c r="V688" s="43"/>
      <c r="W688" s="43"/>
      <c r="X688" s="43"/>
      <c r="Y688" s="43"/>
      <c r="Z688" s="43"/>
    </row>
    <row r="689" ht="15.75" customHeight="1">
      <c r="A689" s="53"/>
      <c r="B689" s="53"/>
      <c r="C689" s="53"/>
      <c r="D689" s="53"/>
      <c r="E689" s="42"/>
      <c r="F689" s="42"/>
      <c r="G689" s="42"/>
      <c r="H689" s="42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43"/>
      <c r="T689" s="43"/>
      <c r="U689" s="43"/>
      <c r="V689" s="43"/>
      <c r="W689" s="43"/>
      <c r="X689" s="43"/>
      <c r="Y689" s="43"/>
      <c r="Z689" s="43"/>
    </row>
    <row r="690" ht="15.75" customHeight="1">
      <c r="A690" s="53"/>
      <c r="B690" s="53"/>
      <c r="C690" s="53"/>
      <c r="D690" s="53"/>
      <c r="E690" s="42"/>
      <c r="F690" s="42"/>
      <c r="G690" s="42"/>
      <c r="H690" s="42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43"/>
      <c r="T690" s="43"/>
      <c r="U690" s="43"/>
      <c r="V690" s="43"/>
      <c r="W690" s="43"/>
      <c r="X690" s="43"/>
      <c r="Y690" s="43"/>
      <c r="Z690" s="43"/>
    </row>
    <row r="691" ht="15.75" customHeight="1">
      <c r="A691" s="53"/>
      <c r="B691" s="53"/>
      <c r="C691" s="53"/>
      <c r="D691" s="53"/>
      <c r="E691" s="42"/>
      <c r="F691" s="42"/>
      <c r="G691" s="42"/>
      <c r="H691" s="42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43"/>
      <c r="T691" s="43"/>
      <c r="U691" s="43"/>
      <c r="V691" s="43"/>
      <c r="W691" s="43"/>
      <c r="X691" s="43"/>
      <c r="Y691" s="43"/>
      <c r="Z691" s="43"/>
    </row>
    <row r="692" ht="15.75" customHeight="1">
      <c r="A692" s="53"/>
      <c r="B692" s="53"/>
      <c r="C692" s="53"/>
      <c r="D692" s="53"/>
      <c r="E692" s="42"/>
      <c r="F692" s="42"/>
      <c r="G692" s="42"/>
      <c r="H692" s="42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43"/>
      <c r="T692" s="43"/>
      <c r="U692" s="43"/>
      <c r="V692" s="43"/>
      <c r="W692" s="43"/>
      <c r="X692" s="43"/>
      <c r="Y692" s="43"/>
      <c r="Z692" s="43"/>
    </row>
    <row r="693" ht="15.75" customHeight="1">
      <c r="A693" s="53"/>
      <c r="B693" s="53"/>
      <c r="C693" s="53"/>
      <c r="D693" s="53"/>
      <c r="E693" s="42"/>
      <c r="F693" s="42"/>
      <c r="G693" s="42"/>
      <c r="H693" s="42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43"/>
      <c r="T693" s="43"/>
      <c r="U693" s="43"/>
      <c r="V693" s="43"/>
      <c r="W693" s="43"/>
      <c r="X693" s="43"/>
      <c r="Y693" s="43"/>
      <c r="Z693" s="43"/>
    </row>
    <row r="694" ht="15.75" customHeight="1">
      <c r="A694" s="53"/>
      <c r="B694" s="53"/>
      <c r="C694" s="53"/>
      <c r="D694" s="53"/>
      <c r="E694" s="42"/>
      <c r="F694" s="42"/>
      <c r="G694" s="42"/>
      <c r="H694" s="42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43"/>
      <c r="T694" s="43"/>
      <c r="U694" s="43"/>
      <c r="V694" s="43"/>
      <c r="W694" s="43"/>
      <c r="X694" s="43"/>
      <c r="Y694" s="43"/>
      <c r="Z694" s="43"/>
    </row>
    <row r="695" ht="15.75" customHeight="1">
      <c r="A695" s="53"/>
      <c r="B695" s="53"/>
      <c r="C695" s="53"/>
      <c r="D695" s="53"/>
      <c r="E695" s="42"/>
      <c r="F695" s="42"/>
      <c r="G695" s="42"/>
      <c r="H695" s="42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43"/>
      <c r="T695" s="43"/>
      <c r="U695" s="43"/>
      <c r="V695" s="43"/>
      <c r="W695" s="43"/>
      <c r="X695" s="43"/>
      <c r="Y695" s="43"/>
      <c r="Z695" s="43"/>
    </row>
    <row r="696" ht="15.75" customHeight="1">
      <c r="A696" s="53"/>
      <c r="B696" s="53"/>
      <c r="C696" s="53"/>
      <c r="D696" s="53"/>
      <c r="E696" s="42"/>
      <c r="F696" s="42"/>
      <c r="G696" s="42"/>
      <c r="H696" s="42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43"/>
      <c r="T696" s="43"/>
      <c r="U696" s="43"/>
      <c r="V696" s="43"/>
      <c r="W696" s="43"/>
      <c r="X696" s="43"/>
      <c r="Y696" s="43"/>
      <c r="Z696" s="43"/>
    </row>
    <row r="697" ht="15.75" customHeight="1">
      <c r="A697" s="53"/>
      <c r="B697" s="53"/>
      <c r="C697" s="53"/>
      <c r="D697" s="53"/>
      <c r="E697" s="42"/>
      <c r="F697" s="42"/>
      <c r="G697" s="42"/>
      <c r="H697" s="42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43"/>
      <c r="T697" s="43"/>
      <c r="U697" s="43"/>
      <c r="V697" s="43"/>
      <c r="W697" s="43"/>
      <c r="X697" s="43"/>
      <c r="Y697" s="43"/>
      <c r="Z697" s="43"/>
    </row>
    <row r="698" ht="15.75" customHeight="1">
      <c r="A698" s="53"/>
      <c r="B698" s="53"/>
      <c r="C698" s="53"/>
      <c r="D698" s="53"/>
      <c r="E698" s="42"/>
      <c r="F698" s="42"/>
      <c r="G698" s="42"/>
      <c r="H698" s="42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43"/>
      <c r="T698" s="43"/>
      <c r="U698" s="43"/>
      <c r="V698" s="43"/>
      <c r="W698" s="43"/>
      <c r="X698" s="43"/>
      <c r="Y698" s="43"/>
      <c r="Z698" s="43"/>
    </row>
    <row r="699" ht="15.75" customHeight="1">
      <c r="A699" s="53"/>
      <c r="B699" s="53"/>
      <c r="C699" s="53"/>
      <c r="D699" s="53"/>
      <c r="E699" s="42"/>
      <c r="F699" s="42"/>
      <c r="G699" s="42"/>
      <c r="H699" s="42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43"/>
      <c r="T699" s="43"/>
      <c r="U699" s="43"/>
      <c r="V699" s="43"/>
      <c r="W699" s="43"/>
      <c r="X699" s="43"/>
      <c r="Y699" s="43"/>
      <c r="Z699" s="43"/>
    </row>
    <row r="700" ht="15.75" customHeight="1">
      <c r="A700" s="53"/>
      <c r="B700" s="53"/>
      <c r="C700" s="53"/>
      <c r="D700" s="53"/>
      <c r="E700" s="42"/>
      <c r="F700" s="42"/>
      <c r="G700" s="42"/>
      <c r="H700" s="42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43"/>
      <c r="T700" s="43"/>
      <c r="U700" s="43"/>
      <c r="V700" s="43"/>
      <c r="W700" s="43"/>
      <c r="X700" s="43"/>
      <c r="Y700" s="43"/>
      <c r="Z700" s="43"/>
    </row>
    <row r="701" ht="15.75" customHeight="1">
      <c r="A701" s="53"/>
      <c r="B701" s="53"/>
      <c r="C701" s="53"/>
      <c r="D701" s="53"/>
      <c r="E701" s="42"/>
      <c r="F701" s="42"/>
      <c r="G701" s="42"/>
      <c r="H701" s="42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43"/>
      <c r="T701" s="43"/>
      <c r="U701" s="43"/>
      <c r="V701" s="43"/>
      <c r="W701" s="43"/>
      <c r="X701" s="43"/>
      <c r="Y701" s="43"/>
      <c r="Z701" s="43"/>
    </row>
    <row r="702" ht="15.75" customHeight="1">
      <c r="A702" s="53"/>
      <c r="B702" s="53"/>
      <c r="C702" s="53"/>
      <c r="D702" s="53"/>
      <c r="E702" s="42"/>
      <c r="F702" s="42"/>
      <c r="G702" s="42"/>
      <c r="H702" s="42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43"/>
      <c r="T702" s="43"/>
      <c r="U702" s="43"/>
      <c r="V702" s="43"/>
      <c r="W702" s="43"/>
      <c r="X702" s="43"/>
      <c r="Y702" s="43"/>
      <c r="Z702" s="43"/>
    </row>
    <row r="703" ht="15.75" customHeight="1">
      <c r="A703" s="53"/>
      <c r="B703" s="53"/>
      <c r="C703" s="53"/>
      <c r="D703" s="53"/>
      <c r="E703" s="42"/>
      <c r="F703" s="42"/>
      <c r="G703" s="42"/>
      <c r="H703" s="42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43"/>
      <c r="T703" s="43"/>
      <c r="U703" s="43"/>
      <c r="V703" s="43"/>
      <c r="W703" s="43"/>
      <c r="X703" s="43"/>
      <c r="Y703" s="43"/>
      <c r="Z703" s="43"/>
    </row>
    <row r="704" ht="15.75" customHeight="1">
      <c r="A704" s="53"/>
      <c r="B704" s="53"/>
      <c r="C704" s="53"/>
      <c r="D704" s="53"/>
      <c r="E704" s="42"/>
      <c r="F704" s="42"/>
      <c r="G704" s="42"/>
      <c r="H704" s="42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43"/>
      <c r="T704" s="43"/>
      <c r="U704" s="43"/>
      <c r="V704" s="43"/>
      <c r="W704" s="43"/>
      <c r="X704" s="43"/>
      <c r="Y704" s="43"/>
      <c r="Z704" s="43"/>
    </row>
    <row r="705" ht="15.75" customHeight="1">
      <c r="A705" s="53"/>
      <c r="B705" s="53"/>
      <c r="C705" s="53"/>
      <c r="D705" s="53"/>
      <c r="E705" s="42"/>
      <c r="F705" s="42"/>
      <c r="G705" s="42"/>
      <c r="H705" s="42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43"/>
      <c r="T705" s="43"/>
      <c r="U705" s="43"/>
      <c r="V705" s="43"/>
      <c r="W705" s="43"/>
      <c r="X705" s="43"/>
      <c r="Y705" s="43"/>
      <c r="Z705" s="43"/>
    </row>
    <row r="706" ht="15.75" customHeight="1">
      <c r="A706" s="53"/>
      <c r="B706" s="53"/>
      <c r="C706" s="53"/>
      <c r="D706" s="53"/>
      <c r="E706" s="42"/>
      <c r="F706" s="42"/>
      <c r="G706" s="42"/>
      <c r="H706" s="42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43"/>
      <c r="T706" s="43"/>
      <c r="U706" s="43"/>
      <c r="V706" s="43"/>
      <c r="W706" s="43"/>
      <c r="X706" s="43"/>
      <c r="Y706" s="43"/>
      <c r="Z706" s="43"/>
    </row>
    <row r="707" ht="15.75" customHeight="1">
      <c r="A707" s="53"/>
      <c r="B707" s="53"/>
      <c r="C707" s="53"/>
      <c r="D707" s="53"/>
      <c r="E707" s="42"/>
      <c r="F707" s="42"/>
      <c r="G707" s="42"/>
      <c r="H707" s="42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43"/>
      <c r="T707" s="43"/>
      <c r="U707" s="43"/>
      <c r="V707" s="43"/>
      <c r="W707" s="43"/>
      <c r="X707" s="43"/>
      <c r="Y707" s="43"/>
      <c r="Z707" s="43"/>
    </row>
    <row r="708" ht="15.75" customHeight="1">
      <c r="A708" s="53"/>
      <c r="B708" s="53"/>
      <c r="C708" s="53"/>
      <c r="D708" s="53"/>
      <c r="E708" s="42"/>
      <c r="F708" s="42"/>
      <c r="G708" s="42"/>
      <c r="H708" s="42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43"/>
      <c r="T708" s="43"/>
      <c r="U708" s="43"/>
      <c r="V708" s="43"/>
      <c r="W708" s="43"/>
      <c r="X708" s="43"/>
      <c r="Y708" s="43"/>
      <c r="Z708" s="43"/>
    </row>
    <row r="709" ht="15.75" customHeight="1">
      <c r="A709" s="53"/>
      <c r="B709" s="53"/>
      <c r="C709" s="53"/>
      <c r="D709" s="53"/>
      <c r="E709" s="42"/>
      <c r="F709" s="42"/>
      <c r="G709" s="42"/>
      <c r="H709" s="42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43"/>
      <c r="T709" s="43"/>
      <c r="U709" s="43"/>
      <c r="V709" s="43"/>
      <c r="W709" s="43"/>
      <c r="X709" s="43"/>
      <c r="Y709" s="43"/>
      <c r="Z709" s="43"/>
    </row>
    <row r="710" ht="15.75" customHeight="1">
      <c r="A710" s="53"/>
      <c r="B710" s="53"/>
      <c r="C710" s="53"/>
      <c r="D710" s="53"/>
      <c r="E710" s="42"/>
      <c r="F710" s="42"/>
      <c r="G710" s="42"/>
      <c r="H710" s="42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43"/>
      <c r="T710" s="43"/>
      <c r="U710" s="43"/>
      <c r="V710" s="43"/>
      <c r="W710" s="43"/>
      <c r="X710" s="43"/>
      <c r="Y710" s="43"/>
      <c r="Z710" s="43"/>
    </row>
    <row r="711" ht="15.75" customHeight="1">
      <c r="A711" s="53"/>
      <c r="B711" s="53"/>
      <c r="C711" s="53"/>
      <c r="D711" s="53"/>
      <c r="E711" s="42"/>
      <c r="F711" s="42"/>
      <c r="G711" s="42"/>
      <c r="H711" s="42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43"/>
      <c r="T711" s="43"/>
      <c r="U711" s="43"/>
      <c r="V711" s="43"/>
      <c r="W711" s="43"/>
      <c r="X711" s="43"/>
      <c r="Y711" s="43"/>
      <c r="Z711" s="43"/>
    </row>
    <row r="712" ht="15.75" customHeight="1">
      <c r="A712" s="53"/>
      <c r="B712" s="53"/>
      <c r="C712" s="53"/>
      <c r="D712" s="53"/>
      <c r="E712" s="42"/>
      <c r="F712" s="42"/>
      <c r="G712" s="42"/>
      <c r="H712" s="42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43"/>
      <c r="T712" s="43"/>
      <c r="U712" s="43"/>
      <c r="V712" s="43"/>
      <c r="W712" s="43"/>
      <c r="X712" s="43"/>
      <c r="Y712" s="43"/>
      <c r="Z712" s="43"/>
    </row>
    <row r="713" ht="15.75" customHeight="1">
      <c r="A713" s="53"/>
      <c r="B713" s="53"/>
      <c r="C713" s="53"/>
      <c r="D713" s="53"/>
      <c r="E713" s="42"/>
      <c r="F713" s="42"/>
      <c r="G713" s="42"/>
      <c r="H713" s="42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43"/>
      <c r="T713" s="43"/>
      <c r="U713" s="43"/>
      <c r="V713" s="43"/>
      <c r="W713" s="43"/>
      <c r="X713" s="43"/>
      <c r="Y713" s="43"/>
      <c r="Z713" s="43"/>
    </row>
    <row r="714" ht="15.75" customHeight="1">
      <c r="A714" s="53"/>
      <c r="B714" s="53"/>
      <c r="C714" s="53"/>
      <c r="D714" s="53"/>
      <c r="E714" s="42"/>
      <c r="F714" s="42"/>
      <c r="G714" s="42"/>
      <c r="H714" s="42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43"/>
      <c r="T714" s="43"/>
      <c r="U714" s="43"/>
      <c r="V714" s="43"/>
      <c r="W714" s="43"/>
      <c r="X714" s="43"/>
      <c r="Y714" s="43"/>
      <c r="Z714" s="43"/>
    </row>
    <row r="715" ht="15.75" customHeight="1">
      <c r="A715" s="53"/>
      <c r="B715" s="53"/>
      <c r="C715" s="53"/>
      <c r="D715" s="53"/>
      <c r="E715" s="42"/>
      <c r="F715" s="42"/>
      <c r="G715" s="42"/>
      <c r="H715" s="42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43"/>
      <c r="T715" s="43"/>
      <c r="U715" s="43"/>
      <c r="V715" s="43"/>
      <c r="W715" s="43"/>
      <c r="X715" s="43"/>
      <c r="Y715" s="43"/>
      <c r="Z715" s="43"/>
    </row>
    <row r="716" ht="15.75" customHeight="1">
      <c r="A716" s="53"/>
      <c r="B716" s="53"/>
      <c r="C716" s="53"/>
      <c r="D716" s="53"/>
      <c r="E716" s="42"/>
      <c r="F716" s="42"/>
      <c r="G716" s="42"/>
      <c r="H716" s="42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43"/>
      <c r="T716" s="43"/>
      <c r="U716" s="43"/>
      <c r="V716" s="43"/>
      <c r="W716" s="43"/>
      <c r="X716" s="43"/>
      <c r="Y716" s="43"/>
      <c r="Z716" s="43"/>
    </row>
    <row r="717" ht="15.75" customHeight="1">
      <c r="A717" s="53"/>
      <c r="B717" s="53"/>
      <c r="C717" s="53"/>
      <c r="D717" s="53"/>
      <c r="E717" s="42"/>
      <c r="F717" s="42"/>
      <c r="G717" s="42"/>
      <c r="H717" s="42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43"/>
      <c r="T717" s="43"/>
      <c r="U717" s="43"/>
      <c r="V717" s="43"/>
      <c r="W717" s="43"/>
      <c r="X717" s="43"/>
      <c r="Y717" s="43"/>
      <c r="Z717" s="43"/>
    </row>
    <row r="718" ht="15.75" customHeight="1">
      <c r="A718" s="53"/>
      <c r="B718" s="53"/>
      <c r="C718" s="53"/>
      <c r="D718" s="53"/>
      <c r="E718" s="42"/>
      <c r="F718" s="42"/>
      <c r="G718" s="42"/>
      <c r="H718" s="42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43"/>
      <c r="T718" s="43"/>
      <c r="U718" s="43"/>
      <c r="V718" s="43"/>
      <c r="W718" s="43"/>
      <c r="X718" s="43"/>
      <c r="Y718" s="43"/>
      <c r="Z718" s="43"/>
    </row>
    <row r="719" ht="15.75" customHeight="1">
      <c r="A719" s="53"/>
      <c r="B719" s="53"/>
      <c r="C719" s="53"/>
      <c r="D719" s="53"/>
      <c r="E719" s="42"/>
      <c r="F719" s="42"/>
      <c r="G719" s="42"/>
      <c r="H719" s="42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43"/>
      <c r="T719" s="43"/>
      <c r="U719" s="43"/>
      <c r="V719" s="43"/>
      <c r="W719" s="43"/>
      <c r="X719" s="43"/>
      <c r="Y719" s="43"/>
      <c r="Z719" s="43"/>
    </row>
    <row r="720" ht="15.75" customHeight="1">
      <c r="A720" s="53"/>
      <c r="B720" s="53"/>
      <c r="C720" s="53"/>
      <c r="D720" s="53"/>
      <c r="E720" s="42"/>
      <c r="F720" s="42"/>
      <c r="G720" s="42"/>
      <c r="H720" s="42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43"/>
      <c r="T720" s="43"/>
      <c r="U720" s="43"/>
      <c r="V720" s="43"/>
      <c r="W720" s="43"/>
      <c r="X720" s="43"/>
      <c r="Y720" s="43"/>
      <c r="Z720" s="43"/>
    </row>
    <row r="721" ht="15.75" customHeight="1">
      <c r="A721" s="53"/>
      <c r="B721" s="53"/>
      <c r="C721" s="53"/>
      <c r="D721" s="53"/>
      <c r="E721" s="42"/>
      <c r="F721" s="42"/>
      <c r="G721" s="42"/>
      <c r="H721" s="42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43"/>
      <c r="T721" s="43"/>
      <c r="U721" s="43"/>
      <c r="V721" s="43"/>
      <c r="W721" s="43"/>
      <c r="X721" s="43"/>
      <c r="Y721" s="43"/>
      <c r="Z721" s="43"/>
    </row>
    <row r="722" ht="15.75" customHeight="1">
      <c r="A722" s="53"/>
      <c r="B722" s="53"/>
      <c r="C722" s="53"/>
      <c r="D722" s="53"/>
      <c r="E722" s="42"/>
      <c r="F722" s="42"/>
      <c r="G722" s="42"/>
      <c r="H722" s="42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43"/>
      <c r="T722" s="43"/>
      <c r="U722" s="43"/>
      <c r="V722" s="43"/>
      <c r="W722" s="43"/>
      <c r="X722" s="43"/>
      <c r="Y722" s="43"/>
      <c r="Z722" s="43"/>
    </row>
    <row r="723" ht="15.75" customHeight="1">
      <c r="A723" s="53"/>
      <c r="B723" s="53"/>
      <c r="C723" s="53"/>
      <c r="D723" s="53"/>
      <c r="E723" s="42"/>
      <c r="F723" s="42"/>
      <c r="G723" s="42"/>
      <c r="H723" s="42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43"/>
      <c r="T723" s="43"/>
      <c r="U723" s="43"/>
      <c r="V723" s="43"/>
      <c r="W723" s="43"/>
      <c r="X723" s="43"/>
      <c r="Y723" s="43"/>
      <c r="Z723" s="43"/>
    </row>
    <row r="724" ht="15.75" customHeight="1">
      <c r="A724" s="53"/>
      <c r="B724" s="53"/>
      <c r="C724" s="53"/>
      <c r="D724" s="53"/>
      <c r="E724" s="42"/>
      <c r="F724" s="42"/>
      <c r="G724" s="42"/>
      <c r="H724" s="42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43"/>
      <c r="T724" s="43"/>
      <c r="U724" s="43"/>
      <c r="V724" s="43"/>
      <c r="W724" s="43"/>
      <c r="X724" s="43"/>
      <c r="Y724" s="43"/>
      <c r="Z724" s="43"/>
    </row>
    <row r="725" ht="15.75" customHeight="1">
      <c r="A725" s="53"/>
      <c r="B725" s="53"/>
      <c r="C725" s="53"/>
      <c r="D725" s="53"/>
      <c r="E725" s="42"/>
      <c r="F725" s="42"/>
      <c r="G725" s="42"/>
      <c r="H725" s="42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43"/>
      <c r="T725" s="43"/>
      <c r="U725" s="43"/>
      <c r="V725" s="43"/>
      <c r="W725" s="43"/>
      <c r="X725" s="43"/>
      <c r="Y725" s="43"/>
      <c r="Z725" s="43"/>
    </row>
    <row r="726" ht="15.75" customHeight="1">
      <c r="A726" s="53"/>
      <c r="B726" s="53"/>
      <c r="C726" s="53"/>
      <c r="D726" s="53"/>
      <c r="E726" s="42"/>
      <c r="F726" s="42"/>
      <c r="G726" s="42"/>
      <c r="H726" s="42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43"/>
      <c r="T726" s="43"/>
      <c r="U726" s="43"/>
      <c r="V726" s="43"/>
      <c r="W726" s="43"/>
      <c r="X726" s="43"/>
      <c r="Y726" s="43"/>
      <c r="Z726" s="43"/>
    </row>
    <row r="727" ht="15.75" customHeight="1">
      <c r="A727" s="53"/>
      <c r="B727" s="53"/>
      <c r="C727" s="53"/>
      <c r="D727" s="53"/>
      <c r="E727" s="42"/>
      <c r="F727" s="42"/>
      <c r="G727" s="42"/>
      <c r="H727" s="42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43"/>
      <c r="T727" s="43"/>
      <c r="U727" s="43"/>
      <c r="V727" s="43"/>
      <c r="W727" s="43"/>
      <c r="X727" s="43"/>
      <c r="Y727" s="43"/>
      <c r="Z727" s="43"/>
    </row>
    <row r="728" ht="15.75" customHeight="1">
      <c r="A728" s="53"/>
      <c r="B728" s="53"/>
      <c r="C728" s="53"/>
      <c r="D728" s="53"/>
      <c r="E728" s="42"/>
      <c r="F728" s="42"/>
      <c r="G728" s="42"/>
      <c r="H728" s="42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43"/>
      <c r="T728" s="43"/>
      <c r="U728" s="43"/>
      <c r="V728" s="43"/>
      <c r="W728" s="43"/>
      <c r="X728" s="43"/>
      <c r="Y728" s="43"/>
      <c r="Z728" s="43"/>
    </row>
    <row r="729" ht="15.75" customHeight="1">
      <c r="A729" s="53"/>
      <c r="B729" s="53"/>
      <c r="C729" s="53"/>
      <c r="D729" s="53"/>
      <c r="E729" s="42"/>
      <c r="F729" s="42"/>
      <c r="G729" s="42"/>
      <c r="H729" s="42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43"/>
      <c r="T729" s="43"/>
      <c r="U729" s="43"/>
      <c r="V729" s="43"/>
      <c r="W729" s="43"/>
      <c r="X729" s="43"/>
      <c r="Y729" s="43"/>
      <c r="Z729" s="43"/>
    </row>
    <row r="730" ht="15.75" customHeight="1">
      <c r="A730" s="53"/>
      <c r="B730" s="53"/>
      <c r="C730" s="53"/>
      <c r="D730" s="53"/>
      <c r="E730" s="42"/>
      <c r="F730" s="42"/>
      <c r="G730" s="42"/>
      <c r="H730" s="42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43"/>
      <c r="T730" s="43"/>
      <c r="U730" s="43"/>
      <c r="V730" s="43"/>
      <c r="W730" s="43"/>
      <c r="X730" s="43"/>
      <c r="Y730" s="43"/>
      <c r="Z730" s="43"/>
    </row>
    <row r="731" ht="15.75" customHeight="1">
      <c r="A731" s="53"/>
      <c r="B731" s="53"/>
      <c r="C731" s="53"/>
      <c r="D731" s="53"/>
      <c r="E731" s="42"/>
      <c r="F731" s="42"/>
      <c r="G731" s="42"/>
      <c r="H731" s="42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43"/>
      <c r="T731" s="43"/>
      <c r="U731" s="43"/>
      <c r="V731" s="43"/>
      <c r="W731" s="43"/>
      <c r="X731" s="43"/>
      <c r="Y731" s="43"/>
      <c r="Z731" s="43"/>
    </row>
    <row r="732" ht="15.75" customHeight="1">
      <c r="A732" s="53"/>
      <c r="B732" s="53"/>
      <c r="C732" s="53"/>
      <c r="D732" s="53"/>
      <c r="E732" s="42"/>
      <c r="F732" s="42"/>
      <c r="G732" s="42"/>
      <c r="H732" s="42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43"/>
      <c r="T732" s="43"/>
      <c r="U732" s="43"/>
      <c r="V732" s="43"/>
      <c r="W732" s="43"/>
      <c r="X732" s="43"/>
      <c r="Y732" s="43"/>
      <c r="Z732" s="43"/>
    </row>
    <row r="733" ht="15.75" customHeight="1">
      <c r="A733" s="53"/>
      <c r="B733" s="53"/>
      <c r="C733" s="53"/>
      <c r="D733" s="53"/>
      <c r="E733" s="42"/>
      <c r="F733" s="42"/>
      <c r="G733" s="42"/>
      <c r="H733" s="42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43"/>
      <c r="T733" s="43"/>
      <c r="U733" s="43"/>
      <c r="V733" s="43"/>
      <c r="W733" s="43"/>
      <c r="X733" s="43"/>
      <c r="Y733" s="43"/>
      <c r="Z733" s="43"/>
    </row>
    <row r="734" ht="15.75" customHeight="1">
      <c r="A734" s="53"/>
      <c r="B734" s="53"/>
      <c r="C734" s="53"/>
      <c r="D734" s="53"/>
      <c r="E734" s="42"/>
      <c r="F734" s="42"/>
      <c r="G734" s="42"/>
      <c r="H734" s="42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43"/>
      <c r="T734" s="43"/>
      <c r="U734" s="43"/>
      <c r="V734" s="43"/>
      <c r="W734" s="43"/>
      <c r="X734" s="43"/>
      <c r="Y734" s="43"/>
      <c r="Z734" s="43"/>
    </row>
    <row r="735" ht="15.75" customHeight="1">
      <c r="A735" s="53"/>
      <c r="B735" s="53"/>
      <c r="C735" s="53"/>
      <c r="D735" s="53"/>
      <c r="E735" s="42"/>
      <c r="F735" s="42"/>
      <c r="G735" s="42"/>
      <c r="H735" s="42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43"/>
      <c r="T735" s="43"/>
      <c r="U735" s="43"/>
      <c r="V735" s="43"/>
      <c r="W735" s="43"/>
      <c r="X735" s="43"/>
      <c r="Y735" s="43"/>
      <c r="Z735" s="43"/>
    </row>
    <row r="736" ht="15.75" customHeight="1">
      <c r="A736" s="53"/>
      <c r="B736" s="53"/>
      <c r="C736" s="53"/>
      <c r="D736" s="53"/>
      <c r="E736" s="42"/>
      <c r="F736" s="42"/>
      <c r="G736" s="42"/>
      <c r="H736" s="42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43"/>
      <c r="T736" s="43"/>
      <c r="U736" s="43"/>
      <c r="V736" s="43"/>
      <c r="W736" s="43"/>
      <c r="X736" s="43"/>
      <c r="Y736" s="43"/>
      <c r="Z736" s="43"/>
    </row>
    <row r="737" ht="15.75" customHeight="1">
      <c r="A737" s="53"/>
      <c r="B737" s="53"/>
      <c r="C737" s="53"/>
      <c r="D737" s="53"/>
      <c r="E737" s="42"/>
      <c r="F737" s="42"/>
      <c r="G737" s="42"/>
      <c r="H737" s="42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43"/>
      <c r="T737" s="43"/>
      <c r="U737" s="43"/>
      <c r="V737" s="43"/>
      <c r="W737" s="43"/>
      <c r="X737" s="43"/>
      <c r="Y737" s="43"/>
      <c r="Z737" s="43"/>
    </row>
    <row r="738" ht="15.75" customHeight="1">
      <c r="A738" s="53"/>
      <c r="B738" s="53"/>
      <c r="C738" s="53"/>
      <c r="D738" s="53"/>
      <c r="E738" s="42"/>
      <c r="F738" s="42"/>
      <c r="G738" s="42"/>
      <c r="H738" s="42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43"/>
      <c r="T738" s="43"/>
      <c r="U738" s="43"/>
      <c r="V738" s="43"/>
      <c r="W738" s="43"/>
      <c r="X738" s="43"/>
      <c r="Y738" s="43"/>
      <c r="Z738" s="43"/>
    </row>
    <row r="739" ht="15.75" customHeight="1">
      <c r="A739" s="53"/>
      <c r="B739" s="53"/>
      <c r="C739" s="53"/>
      <c r="D739" s="53"/>
      <c r="E739" s="42"/>
      <c r="F739" s="42"/>
      <c r="G739" s="42"/>
      <c r="H739" s="42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43"/>
      <c r="T739" s="43"/>
      <c r="U739" s="43"/>
      <c r="V739" s="43"/>
      <c r="W739" s="43"/>
      <c r="X739" s="43"/>
      <c r="Y739" s="43"/>
      <c r="Z739" s="43"/>
    </row>
    <row r="740" ht="15.75" customHeight="1">
      <c r="A740" s="53"/>
      <c r="B740" s="53"/>
      <c r="C740" s="53"/>
      <c r="D740" s="53"/>
      <c r="E740" s="42"/>
      <c r="F740" s="42"/>
      <c r="G740" s="42"/>
      <c r="H740" s="42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43"/>
      <c r="T740" s="43"/>
      <c r="U740" s="43"/>
      <c r="V740" s="43"/>
      <c r="W740" s="43"/>
      <c r="X740" s="43"/>
      <c r="Y740" s="43"/>
      <c r="Z740" s="43"/>
    </row>
    <row r="741" ht="15.75" customHeight="1">
      <c r="A741" s="53"/>
      <c r="B741" s="53"/>
      <c r="C741" s="53"/>
      <c r="D741" s="53"/>
      <c r="E741" s="42"/>
      <c r="F741" s="42"/>
      <c r="G741" s="42"/>
      <c r="H741" s="42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43"/>
      <c r="T741" s="43"/>
      <c r="U741" s="43"/>
      <c r="V741" s="43"/>
      <c r="W741" s="43"/>
      <c r="X741" s="43"/>
      <c r="Y741" s="43"/>
      <c r="Z741" s="43"/>
    </row>
    <row r="742" ht="15.75" customHeight="1">
      <c r="A742" s="53"/>
      <c r="B742" s="53"/>
      <c r="C742" s="53"/>
      <c r="D742" s="53"/>
      <c r="E742" s="42"/>
      <c r="F742" s="42"/>
      <c r="G742" s="42"/>
      <c r="H742" s="42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43"/>
      <c r="T742" s="43"/>
      <c r="U742" s="43"/>
      <c r="V742" s="43"/>
      <c r="W742" s="43"/>
      <c r="X742" s="43"/>
      <c r="Y742" s="43"/>
      <c r="Z742" s="43"/>
    </row>
    <row r="743" ht="15.75" customHeight="1">
      <c r="A743" s="53"/>
      <c r="B743" s="53"/>
      <c r="C743" s="53"/>
      <c r="D743" s="53"/>
      <c r="E743" s="42"/>
      <c r="F743" s="42"/>
      <c r="G743" s="42"/>
      <c r="H743" s="42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43"/>
      <c r="T743" s="43"/>
      <c r="U743" s="43"/>
      <c r="V743" s="43"/>
      <c r="W743" s="43"/>
      <c r="X743" s="43"/>
      <c r="Y743" s="43"/>
      <c r="Z743" s="43"/>
    </row>
    <row r="744" ht="15.75" customHeight="1">
      <c r="A744" s="53"/>
      <c r="B744" s="53"/>
      <c r="C744" s="53"/>
      <c r="D744" s="53"/>
      <c r="E744" s="42"/>
      <c r="F744" s="42"/>
      <c r="G744" s="42"/>
      <c r="H744" s="42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43"/>
      <c r="T744" s="43"/>
      <c r="U744" s="43"/>
      <c r="V744" s="43"/>
      <c r="W744" s="43"/>
      <c r="X744" s="43"/>
      <c r="Y744" s="43"/>
      <c r="Z744" s="43"/>
    </row>
    <row r="745" ht="15.75" customHeight="1">
      <c r="A745" s="53"/>
      <c r="B745" s="53"/>
      <c r="C745" s="53"/>
      <c r="D745" s="53"/>
      <c r="E745" s="42"/>
      <c r="F745" s="42"/>
      <c r="G745" s="42"/>
      <c r="H745" s="42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43"/>
      <c r="T745" s="43"/>
      <c r="U745" s="43"/>
      <c r="V745" s="43"/>
      <c r="W745" s="43"/>
      <c r="X745" s="43"/>
      <c r="Y745" s="43"/>
      <c r="Z745" s="43"/>
    </row>
    <row r="746" ht="15.75" customHeight="1">
      <c r="A746" s="53"/>
      <c r="B746" s="53"/>
      <c r="C746" s="53"/>
      <c r="D746" s="53"/>
      <c r="E746" s="42"/>
      <c r="F746" s="42"/>
      <c r="G746" s="42"/>
      <c r="H746" s="42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43"/>
      <c r="T746" s="43"/>
      <c r="U746" s="43"/>
      <c r="V746" s="43"/>
      <c r="W746" s="43"/>
      <c r="X746" s="43"/>
      <c r="Y746" s="43"/>
      <c r="Z746" s="43"/>
    </row>
    <row r="747" ht="15.75" customHeight="1">
      <c r="A747" s="53"/>
      <c r="B747" s="53"/>
      <c r="C747" s="53"/>
      <c r="D747" s="53"/>
      <c r="E747" s="42"/>
      <c r="F747" s="42"/>
      <c r="G747" s="42"/>
      <c r="H747" s="42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43"/>
      <c r="T747" s="43"/>
      <c r="U747" s="43"/>
      <c r="V747" s="43"/>
      <c r="W747" s="43"/>
      <c r="X747" s="43"/>
      <c r="Y747" s="43"/>
      <c r="Z747" s="43"/>
    </row>
    <row r="748" ht="15.75" customHeight="1">
      <c r="A748" s="53"/>
      <c r="B748" s="53"/>
      <c r="C748" s="53"/>
      <c r="D748" s="53"/>
      <c r="E748" s="42"/>
      <c r="F748" s="42"/>
      <c r="G748" s="42"/>
      <c r="H748" s="42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43"/>
      <c r="T748" s="43"/>
      <c r="U748" s="43"/>
      <c r="V748" s="43"/>
      <c r="W748" s="43"/>
      <c r="X748" s="43"/>
      <c r="Y748" s="43"/>
      <c r="Z748" s="43"/>
    </row>
    <row r="749" ht="15.75" customHeight="1">
      <c r="A749" s="53"/>
      <c r="B749" s="53"/>
      <c r="C749" s="53"/>
      <c r="D749" s="53"/>
      <c r="E749" s="42"/>
      <c r="F749" s="42"/>
      <c r="G749" s="42"/>
      <c r="H749" s="42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43"/>
      <c r="T749" s="43"/>
      <c r="U749" s="43"/>
      <c r="V749" s="43"/>
      <c r="W749" s="43"/>
      <c r="X749" s="43"/>
      <c r="Y749" s="43"/>
      <c r="Z749" s="43"/>
    </row>
    <row r="750" ht="15.75" customHeight="1">
      <c r="A750" s="53"/>
      <c r="B750" s="53"/>
      <c r="C750" s="53"/>
      <c r="D750" s="53"/>
      <c r="E750" s="42"/>
      <c r="F750" s="42"/>
      <c r="G750" s="42"/>
      <c r="H750" s="42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43"/>
      <c r="T750" s="43"/>
      <c r="U750" s="43"/>
      <c r="V750" s="43"/>
      <c r="W750" s="43"/>
      <c r="X750" s="43"/>
      <c r="Y750" s="43"/>
      <c r="Z750" s="43"/>
    </row>
    <row r="751" ht="15.75" customHeight="1">
      <c r="A751" s="53"/>
      <c r="B751" s="53"/>
      <c r="C751" s="53"/>
      <c r="D751" s="53"/>
      <c r="E751" s="42"/>
      <c r="F751" s="42"/>
      <c r="G751" s="42"/>
      <c r="H751" s="42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43"/>
      <c r="T751" s="43"/>
      <c r="U751" s="43"/>
      <c r="V751" s="43"/>
      <c r="W751" s="43"/>
      <c r="X751" s="43"/>
      <c r="Y751" s="43"/>
      <c r="Z751" s="43"/>
    </row>
    <row r="752" ht="15.75" customHeight="1">
      <c r="A752" s="53"/>
      <c r="B752" s="53"/>
      <c r="C752" s="53"/>
      <c r="D752" s="53"/>
      <c r="E752" s="42"/>
      <c r="F752" s="42"/>
      <c r="G752" s="42"/>
      <c r="H752" s="42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43"/>
      <c r="T752" s="43"/>
      <c r="U752" s="43"/>
      <c r="V752" s="43"/>
      <c r="W752" s="43"/>
      <c r="X752" s="43"/>
      <c r="Y752" s="43"/>
      <c r="Z752" s="43"/>
    </row>
    <row r="753" ht="15.75" customHeight="1">
      <c r="A753" s="53"/>
      <c r="B753" s="53"/>
      <c r="C753" s="53"/>
      <c r="D753" s="53"/>
      <c r="E753" s="42"/>
      <c r="F753" s="42"/>
      <c r="G753" s="42"/>
      <c r="H753" s="42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43"/>
      <c r="T753" s="43"/>
      <c r="U753" s="43"/>
      <c r="V753" s="43"/>
      <c r="W753" s="43"/>
      <c r="X753" s="43"/>
      <c r="Y753" s="43"/>
      <c r="Z753" s="43"/>
    </row>
    <row r="754" ht="15.75" customHeight="1">
      <c r="A754" s="53"/>
      <c r="B754" s="53"/>
      <c r="C754" s="53"/>
      <c r="D754" s="53"/>
      <c r="E754" s="42"/>
      <c r="F754" s="42"/>
      <c r="G754" s="42"/>
      <c r="H754" s="42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43"/>
      <c r="T754" s="43"/>
      <c r="U754" s="43"/>
      <c r="V754" s="43"/>
      <c r="W754" s="43"/>
      <c r="X754" s="43"/>
      <c r="Y754" s="43"/>
      <c r="Z754" s="43"/>
    </row>
    <row r="755" ht="15.75" customHeight="1">
      <c r="A755" s="53"/>
      <c r="B755" s="53"/>
      <c r="C755" s="53"/>
      <c r="D755" s="53"/>
      <c r="E755" s="42"/>
      <c r="F755" s="42"/>
      <c r="G755" s="42"/>
      <c r="H755" s="42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43"/>
      <c r="T755" s="43"/>
      <c r="U755" s="43"/>
      <c r="V755" s="43"/>
      <c r="W755" s="43"/>
      <c r="X755" s="43"/>
      <c r="Y755" s="43"/>
      <c r="Z755" s="43"/>
    </row>
    <row r="756" ht="15.75" customHeight="1">
      <c r="A756" s="53"/>
      <c r="B756" s="53"/>
      <c r="C756" s="53"/>
      <c r="D756" s="53"/>
      <c r="E756" s="42"/>
      <c r="F756" s="42"/>
      <c r="G756" s="42"/>
      <c r="H756" s="42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43"/>
      <c r="T756" s="43"/>
      <c r="U756" s="43"/>
      <c r="V756" s="43"/>
      <c r="W756" s="43"/>
      <c r="X756" s="43"/>
      <c r="Y756" s="43"/>
      <c r="Z756" s="43"/>
    </row>
    <row r="757" ht="15.75" customHeight="1">
      <c r="A757" s="53"/>
      <c r="B757" s="53"/>
      <c r="C757" s="53"/>
      <c r="D757" s="53"/>
      <c r="E757" s="42"/>
      <c r="F757" s="42"/>
      <c r="G757" s="42"/>
      <c r="H757" s="42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43"/>
      <c r="T757" s="43"/>
      <c r="U757" s="43"/>
      <c r="V757" s="43"/>
      <c r="W757" s="43"/>
      <c r="X757" s="43"/>
      <c r="Y757" s="43"/>
      <c r="Z757" s="43"/>
    </row>
    <row r="758" ht="15.75" customHeight="1">
      <c r="A758" s="53"/>
      <c r="B758" s="53"/>
      <c r="C758" s="53"/>
      <c r="D758" s="53"/>
      <c r="E758" s="42"/>
      <c r="F758" s="42"/>
      <c r="G758" s="42"/>
      <c r="H758" s="42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43"/>
      <c r="T758" s="43"/>
      <c r="U758" s="43"/>
      <c r="V758" s="43"/>
      <c r="W758" s="43"/>
      <c r="X758" s="43"/>
      <c r="Y758" s="43"/>
      <c r="Z758" s="43"/>
    </row>
    <row r="759" ht="15.75" customHeight="1">
      <c r="A759" s="53"/>
      <c r="B759" s="53"/>
      <c r="C759" s="53"/>
      <c r="D759" s="53"/>
      <c r="E759" s="42"/>
      <c r="F759" s="42"/>
      <c r="G759" s="42"/>
      <c r="H759" s="42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43"/>
      <c r="T759" s="43"/>
      <c r="U759" s="43"/>
      <c r="V759" s="43"/>
      <c r="W759" s="43"/>
      <c r="X759" s="43"/>
      <c r="Y759" s="43"/>
      <c r="Z759" s="43"/>
    </row>
    <row r="760" ht="15.75" customHeight="1">
      <c r="A760" s="53"/>
      <c r="B760" s="53"/>
      <c r="C760" s="53"/>
      <c r="D760" s="53"/>
      <c r="E760" s="42"/>
      <c r="F760" s="42"/>
      <c r="G760" s="42"/>
      <c r="H760" s="42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43"/>
      <c r="T760" s="43"/>
      <c r="U760" s="43"/>
      <c r="V760" s="43"/>
      <c r="W760" s="43"/>
      <c r="X760" s="43"/>
      <c r="Y760" s="43"/>
      <c r="Z760" s="43"/>
    </row>
    <row r="761" ht="15.75" customHeight="1">
      <c r="A761" s="53"/>
      <c r="B761" s="53"/>
      <c r="C761" s="53"/>
      <c r="D761" s="53"/>
      <c r="E761" s="42"/>
      <c r="F761" s="42"/>
      <c r="G761" s="42"/>
      <c r="H761" s="42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43"/>
      <c r="T761" s="43"/>
      <c r="U761" s="43"/>
      <c r="V761" s="43"/>
      <c r="W761" s="43"/>
      <c r="X761" s="43"/>
      <c r="Y761" s="43"/>
      <c r="Z761" s="43"/>
    </row>
    <row r="762" ht="15.75" customHeight="1">
      <c r="A762" s="53"/>
      <c r="B762" s="53"/>
      <c r="C762" s="53"/>
      <c r="D762" s="53"/>
      <c r="E762" s="42"/>
      <c r="F762" s="42"/>
      <c r="G762" s="42"/>
      <c r="H762" s="42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43"/>
      <c r="T762" s="43"/>
      <c r="U762" s="43"/>
      <c r="V762" s="43"/>
      <c r="W762" s="43"/>
      <c r="X762" s="43"/>
      <c r="Y762" s="43"/>
      <c r="Z762" s="43"/>
    </row>
    <row r="763" ht="15.75" customHeight="1">
      <c r="A763" s="53"/>
      <c r="B763" s="53"/>
      <c r="C763" s="53"/>
      <c r="D763" s="53"/>
      <c r="E763" s="42"/>
      <c r="F763" s="42"/>
      <c r="G763" s="42"/>
      <c r="H763" s="42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43"/>
      <c r="T763" s="43"/>
      <c r="U763" s="43"/>
      <c r="V763" s="43"/>
      <c r="W763" s="43"/>
      <c r="X763" s="43"/>
      <c r="Y763" s="43"/>
      <c r="Z763" s="43"/>
    </row>
    <row r="764" ht="15.75" customHeight="1">
      <c r="A764" s="53"/>
      <c r="B764" s="53"/>
      <c r="C764" s="53"/>
      <c r="D764" s="53"/>
      <c r="E764" s="42"/>
      <c r="F764" s="42"/>
      <c r="G764" s="42"/>
      <c r="H764" s="42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43"/>
      <c r="T764" s="43"/>
      <c r="U764" s="43"/>
      <c r="V764" s="43"/>
      <c r="W764" s="43"/>
      <c r="X764" s="43"/>
      <c r="Y764" s="43"/>
      <c r="Z764" s="43"/>
    </row>
    <row r="765" ht="15.75" customHeight="1">
      <c r="A765" s="53"/>
      <c r="B765" s="53"/>
      <c r="C765" s="53"/>
      <c r="D765" s="53"/>
      <c r="E765" s="42"/>
      <c r="F765" s="42"/>
      <c r="G765" s="42"/>
      <c r="H765" s="42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43"/>
      <c r="T765" s="43"/>
      <c r="U765" s="43"/>
      <c r="V765" s="43"/>
      <c r="W765" s="43"/>
      <c r="X765" s="43"/>
      <c r="Y765" s="43"/>
      <c r="Z765" s="43"/>
    </row>
    <row r="766" ht="15.75" customHeight="1">
      <c r="A766" s="53"/>
      <c r="B766" s="53"/>
      <c r="C766" s="53"/>
      <c r="D766" s="53"/>
      <c r="E766" s="42"/>
      <c r="F766" s="42"/>
      <c r="G766" s="42"/>
      <c r="H766" s="42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43"/>
      <c r="T766" s="43"/>
      <c r="U766" s="43"/>
      <c r="V766" s="43"/>
      <c r="W766" s="43"/>
      <c r="X766" s="43"/>
      <c r="Y766" s="43"/>
      <c r="Z766" s="43"/>
    </row>
    <row r="767" ht="15.75" customHeight="1">
      <c r="A767" s="53"/>
      <c r="B767" s="53"/>
      <c r="C767" s="53"/>
      <c r="D767" s="53"/>
      <c r="E767" s="42"/>
      <c r="F767" s="42"/>
      <c r="G767" s="42"/>
      <c r="H767" s="42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43"/>
      <c r="T767" s="43"/>
      <c r="U767" s="43"/>
      <c r="V767" s="43"/>
      <c r="W767" s="43"/>
      <c r="X767" s="43"/>
      <c r="Y767" s="43"/>
      <c r="Z767" s="43"/>
    </row>
    <row r="768" ht="15.75" customHeight="1">
      <c r="A768" s="53"/>
      <c r="B768" s="53"/>
      <c r="C768" s="53"/>
      <c r="D768" s="53"/>
      <c r="E768" s="42"/>
      <c r="F768" s="42"/>
      <c r="G768" s="42"/>
      <c r="H768" s="42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43"/>
      <c r="T768" s="43"/>
      <c r="U768" s="43"/>
      <c r="V768" s="43"/>
      <c r="W768" s="43"/>
      <c r="X768" s="43"/>
      <c r="Y768" s="43"/>
      <c r="Z768" s="43"/>
    </row>
    <row r="769" ht="15.75" customHeight="1">
      <c r="A769" s="53"/>
      <c r="B769" s="53"/>
      <c r="C769" s="53"/>
      <c r="D769" s="53"/>
      <c r="E769" s="42"/>
      <c r="F769" s="42"/>
      <c r="G769" s="42"/>
      <c r="H769" s="42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43"/>
      <c r="T769" s="43"/>
      <c r="U769" s="43"/>
      <c r="V769" s="43"/>
      <c r="W769" s="43"/>
      <c r="X769" s="43"/>
      <c r="Y769" s="43"/>
      <c r="Z769" s="43"/>
    </row>
    <row r="770" ht="15.75" customHeight="1">
      <c r="A770" s="53"/>
      <c r="B770" s="53"/>
      <c r="C770" s="53"/>
      <c r="D770" s="53"/>
      <c r="E770" s="42"/>
      <c r="F770" s="42"/>
      <c r="G770" s="42"/>
      <c r="H770" s="42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43"/>
      <c r="T770" s="43"/>
      <c r="U770" s="43"/>
      <c r="V770" s="43"/>
      <c r="W770" s="43"/>
      <c r="X770" s="43"/>
      <c r="Y770" s="43"/>
      <c r="Z770" s="43"/>
    </row>
    <row r="771" ht="15.75" customHeight="1">
      <c r="A771" s="53"/>
      <c r="B771" s="53"/>
      <c r="C771" s="53"/>
      <c r="D771" s="53"/>
      <c r="E771" s="42"/>
      <c r="F771" s="42"/>
      <c r="G771" s="42"/>
      <c r="H771" s="42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43"/>
      <c r="T771" s="43"/>
      <c r="U771" s="43"/>
      <c r="V771" s="43"/>
      <c r="W771" s="43"/>
      <c r="X771" s="43"/>
      <c r="Y771" s="43"/>
      <c r="Z771" s="43"/>
    </row>
    <row r="772" ht="15.75" customHeight="1">
      <c r="A772" s="53"/>
      <c r="B772" s="53"/>
      <c r="C772" s="53"/>
      <c r="D772" s="53"/>
      <c r="E772" s="42"/>
      <c r="F772" s="42"/>
      <c r="G772" s="42"/>
      <c r="H772" s="42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43"/>
      <c r="T772" s="43"/>
      <c r="U772" s="43"/>
      <c r="V772" s="43"/>
      <c r="W772" s="43"/>
      <c r="X772" s="43"/>
      <c r="Y772" s="43"/>
      <c r="Z772" s="43"/>
    </row>
    <row r="773" ht="15.75" customHeight="1">
      <c r="A773" s="53"/>
      <c r="B773" s="53"/>
      <c r="C773" s="53"/>
      <c r="D773" s="53"/>
      <c r="E773" s="42"/>
      <c r="F773" s="42"/>
      <c r="G773" s="42"/>
      <c r="H773" s="42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43"/>
      <c r="T773" s="43"/>
      <c r="U773" s="43"/>
      <c r="V773" s="43"/>
      <c r="W773" s="43"/>
      <c r="X773" s="43"/>
      <c r="Y773" s="43"/>
      <c r="Z773" s="43"/>
    </row>
    <row r="774" ht="15.75" customHeight="1">
      <c r="A774" s="53"/>
      <c r="B774" s="53"/>
      <c r="C774" s="53"/>
      <c r="D774" s="53"/>
      <c r="E774" s="42"/>
      <c r="F774" s="42"/>
      <c r="G774" s="42"/>
      <c r="H774" s="42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43"/>
      <c r="T774" s="43"/>
      <c r="U774" s="43"/>
      <c r="V774" s="43"/>
      <c r="W774" s="43"/>
      <c r="X774" s="43"/>
      <c r="Y774" s="43"/>
      <c r="Z774" s="43"/>
    </row>
    <row r="775" ht="15.75" customHeight="1">
      <c r="A775" s="53"/>
      <c r="B775" s="53"/>
      <c r="C775" s="53"/>
      <c r="D775" s="53"/>
      <c r="E775" s="42"/>
      <c r="F775" s="42"/>
      <c r="G775" s="42"/>
      <c r="H775" s="42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43"/>
      <c r="T775" s="43"/>
      <c r="U775" s="43"/>
      <c r="V775" s="43"/>
      <c r="W775" s="43"/>
      <c r="X775" s="43"/>
      <c r="Y775" s="43"/>
      <c r="Z775" s="43"/>
    </row>
    <row r="776" ht="15.75" customHeight="1">
      <c r="A776" s="53"/>
      <c r="B776" s="53"/>
      <c r="C776" s="53"/>
      <c r="D776" s="53"/>
      <c r="E776" s="42"/>
      <c r="F776" s="42"/>
      <c r="G776" s="42"/>
      <c r="H776" s="42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43"/>
      <c r="T776" s="43"/>
      <c r="U776" s="43"/>
      <c r="V776" s="43"/>
      <c r="W776" s="43"/>
      <c r="X776" s="43"/>
      <c r="Y776" s="43"/>
      <c r="Z776" s="43"/>
    </row>
    <row r="777" ht="15.75" customHeight="1">
      <c r="A777" s="53"/>
      <c r="B777" s="53"/>
      <c r="C777" s="53"/>
      <c r="D777" s="53"/>
      <c r="E777" s="42"/>
      <c r="F777" s="42"/>
      <c r="G777" s="42"/>
      <c r="H777" s="42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43"/>
      <c r="T777" s="43"/>
      <c r="U777" s="43"/>
      <c r="V777" s="43"/>
      <c r="W777" s="43"/>
      <c r="X777" s="43"/>
      <c r="Y777" s="43"/>
      <c r="Z777" s="43"/>
    </row>
    <row r="778" ht="15.75" customHeight="1">
      <c r="A778" s="53"/>
      <c r="B778" s="53"/>
      <c r="C778" s="53"/>
      <c r="D778" s="53"/>
      <c r="E778" s="42"/>
      <c r="F778" s="42"/>
      <c r="G778" s="42"/>
      <c r="H778" s="42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43"/>
      <c r="T778" s="43"/>
      <c r="U778" s="43"/>
      <c r="V778" s="43"/>
      <c r="W778" s="43"/>
      <c r="X778" s="43"/>
      <c r="Y778" s="43"/>
      <c r="Z778" s="43"/>
    </row>
    <row r="779" ht="15.75" customHeight="1">
      <c r="A779" s="53"/>
      <c r="B779" s="53"/>
      <c r="C779" s="53"/>
      <c r="D779" s="53"/>
      <c r="E779" s="42"/>
      <c r="F779" s="42"/>
      <c r="G779" s="42"/>
      <c r="H779" s="42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43"/>
      <c r="T779" s="43"/>
      <c r="U779" s="43"/>
      <c r="V779" s="43"/>
      <c r="W779" s="43"/>
      <c r="X779" s="43"/>
      <c r="Y779" s="43"/>
      <c r="Z779" s="43"/>
    </row>
    <row r="780" ht="15.75" customHeight="1">
      <c r="A780" s="53"/>
      <c r="B780" s="53"/>
      <c r="C780" s="53"/>
      <c r="D780" s="53"/>
      <c r="E780" s="42"/>
      <c r="F780" s="42"/>
      <c r="G780" s="42"/>
      <c r="H780" s="42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43"/>
      <c r="T780" s="43"/>
      <c r="U780" s="43"/>
      <c r="V780" s="43"/>
      <c r="W780" s="43"/>
      <c r="X780" s="43"/>
      <c r="Y780" s="43"/>
      <c r="Z780" s="43"/>
    </row>
    <row r="781" ht="15.75" customHeight="1">
      <c r="A781" s="53"/>
      <c r="B781" s="53"/>
      <c r="C781" s="53"/>
      <c r="D781" s="53"/>
      <c r="E781" s="42"/>
      <c r="F781" s="42"/>
      <c r="G781" s="42"/>
      <c r="H781" s="42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43"/>
      <c r="T781" s="43"/>
      <c r="U781" s="43"/>
      <c r="V781" s="43"/>
      <c r="W781" s="43"/>
      <c r="X781" s="43"/>
      <c r="Y781" s="43"/>
      <c r="Z781" s="43"/>
    </row>
    <row r="782" ht="15.75" customHeight="1">
      <c r="A782" s="53"/>
      <c r="B782" s="53"/>
      <c r="C782" s="53"/>
      <c r="D782" s="53"/>
      <c r="E782" s="42"/>
      <c r="F782" s="42"/>
      <c r="G782" s="42"/>
      <c r="H782" s="42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43"/>
      <c r="T782" s="43"/>
      <c r="U782" s="43"/>
      <c r="V782" s="43"/>
      <c r="W782" s="43"/>
      <c r="X782" s="43"/>
      <c r="Y782" s="43"/>
      <c r="Z782" s="43"/>
    </row>
    <row r="783" ht="15.75" customHeight="1">
      <c r="A783" s="53"/>
      <c r="B783" s="53"/>
      <c r="C783" s="53"/>
      <c r="D783" s="53"/>
      <c r="E783" s="42"/>
      <c r="F783" s="42"/>
      <c r="G783" s="42"/>
      <c r="H783" s="42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43"/>
      <c r="T783" s="43"/>
      <c r="U783" s="43"/>
      <c r="V783" s="43"/>
      <c r="W783" s="43"/>
      <c r="X783" s="43"/>
      <c r="Y783" s="43"/>
      <c r="Z783" s="43"/>
    </row>
    <row r="784" ht="15.75" customHeight="1">
      <c r="A784" s="53"/>
      <c r="B784" s="53"/>
      <c r="C784" s="53"/>
      <c r="D784" s="53"/>
      <c r="E784" s="42"/>
      <c r="F784" s="42"/>
      <c r="G784" s="42"/>
      <c r="H784" s="42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43"/>
      <c r="T784" s="43"/>
      <c r="U784" s="43"/>
      <c r="V784" s="43"/>
      <c r="W784" s="43"/>
      <c r="X784" s="43"/>
      <c r="Y784" s="43"/>
      <c r="Z784" s="43"/>
    </row>
    <row r="785" ht="15.75" customHeight="1">
      <c r="A785" s="53"/>
      <c r="B785" s="53"/>
      <c r="C785" s="53"/>
      <c r="D785" s="53"/>
      <c r="E785" s="42"/>
      <c r="F785" s="42"/>
      <c r="G785" s="42"/>
      <c r="H785" s="42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43"/>
      <c r="T785" s="43"/>
      <c r="U785" s="43"/>
      <c r="V785" s="43"/>
      <c r="W785" s="43"/>
      <c r="X785" s="43"/>
      <c r="Y785" s="43"/>
      <c r="Z785" s="43"/>
    </row>
    <row r="786" ht="15.75" customHeight="1">
      <c r="A786" s="53"/>
      <c r="B786" s="53"/>
      <c r="C786" s="53"/>
      <c r="D786" s="53"/>
      <c r="E786" s="42"/>
      <c r="F786" s="42"/>
      <c r="G786" s="42"/>
      <c r="H786" s="42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43"/>
      <c r="T786" s="43"/>
      <c r="U786" s="43"/>
      <c r="V786" s="43"/>
      <c r="W786" s="43"/>
      <c r="X786" s="43"/>
      <c r="Y786" s="43"/>
      <c r="Z786" s="43"/>
    </row>
    <row r="787" ht="15.75" customHeight="1">
      <c r="A787" s="53"/>
      <c r="B787" s="53"/>
      <c r="C787" s="53"/>
      <c r="D787" s="53"/>
      <c r="E787" s="42"/>
      <c r="F787" s="42"/>
      <c r="G787" s="42"/>
      <c r="H787" s="42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43"/>
      <c r="T787" s="43"/>
      <c r="U787" s="43"/>
      <c r="V787" s="43"/>
      <c r="W787" s="43"/>
      <c r="X787" s="43"/>
      <c r="Y787" s="43"/>
      <c r="Z787" s="43"/>
    </row>
    <row r="788" ht="15.75" customHeight="1">
      <c r="A788" s="53"/>
      <c r="B788" s="53"/>
      <c r="C788" s="53"/>
      <c r="D788" s="53"/>
      <c r="E788" s="42"/>
      <c r="F788" s="42"/>
      <c r="G788" s="42"/>
      <c r="H788" s="42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43"/>
      <c r="T788" s="43"/>
      <c r="U788" s="43"/>
      <c r="V788" s="43"/>
      <c r="W788" s="43"/>
      <c r="X788" s="43"/>
      <c r="Y788" s="43"/>
      <c r="Z788" s="43"/>
    </row>
    <row r="789" ht="15.75" customHeight="1">
      <c r="A789" s="53"/>
      <c r="B789" s="53"/>
      <c r="C789" s="53"/>
      <c r="D789" s="53"/>
      <c r="E789" s="42"/>
      <c r="F789" s="42"/>
      <c r="G789" s="42"/>
      <c r="H789" s="42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43"/>
      <c r="T789" s="43"/>
      <c r="U789" s="43"/>
      <c r="V789" s="43"/>
      <c r="W789" s="43"/>
      <c r="X789" s="43"/>
      <c r="Y789" s="43"/>
      <c r="Z789" s="43"/>
    </row>
    <row r="790" ht="15.75" customHeight="1">
      <c r="A790" s="53"/>
      <c r="B790" s="53"/>
      <c r="C790" s="53"/>
      <c r="D790" s="53"/>
      <c r="E790" s="42"/>
      <c r="F790" s="42"/>
      <c r="G790" s="42"/>
      <c r="H790" s="42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43"/>
      <c r="T790" s="43"/>
      <c r="U790" s="43"/>
      <c r="V790" s="43"/>
      <c r="W790" s="43"/>
      <c r="X790" s="43"/>
      <c r="Y790" s="43"/>
      <c r="Z790" s="43"/>
    </row>
    <row r="791" ht="15.75" customHeight="1">
      <c r="A791" s="53"/>
      <c r="B791" s="53"/>
      <c r="C791" s="53"/>
      <c r="D791" s="53"/>
      <c r="E791" s="42"/>
      <c r="F791" s="42"/>
      <c r="G791" s="42"/>
      <c r="H791" s="42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43"/>
      <c r="T791" s="43"/>
      <c r="U791" s="43"/>
      <c r="V791" s="43"/>
      <c r="W791" s="43"/>
      <c r="X791" s="43"/>
      <c r="Y791" s="43"/>
      <c r="Z791" s="43"/>
    </row>
    <row r="792" ht="15.75" customHeight="1">
      <c r="A792" s="53"/>
      <c r="B792" s="53"/>
      <c r="C792" s="53"/>
      <c r="D792" s="53"/>
      <c r="E792" s="42"/>
      <c r="F792" s="42"/>
      <c r="G792" s="42"/>
      <c r="H792" s="42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43"/>
      <c r="T792" s="43"/>
      <c r="U792" s="43"/>
      <c r="V792" s="43"/>
      <c r="W792" s="43"/>
      <c r="X792" s="43"/>
      <c r="Y792" s="43"/>
      <c r="Z792" s="43"/>
    </row>
    <row r="793" ht="15.75" customHeight="1">
      <c r="A793" s="53"/>
      <c r="B793" s="53"/>
      <c r="C793" s="53"/>
      <c r="D793" s="53"/>
      <c r="E793" s="42"/>
      <c r="F793" s="42"/>
      <c r="G793" s="42"/>
      <c r="H793" s="42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43"/>
      <c r="T793" s="43"/>
      <c r="U793" s="43"/>
      <c r="V793" s="43"/>
      <c r="W793" s="43"/>
      <c r="X793" s="43"/>
      <c r="Y793" s="43"/>
      <c r="Z793" s="43"/>
    </row>
    <row r="794" ht="15.75" customHeight="1">
      <c r="A794" s="53"/>
      <c r="B794" s="53"/>
      <c r="C794" s="53"/>
      <c r="D794" s="53"/>
      <c r="E794" s="42"/>
      <c r="F794" s="42"/>
      <c r="G794" s="42"/>
      <c r="H794" s="42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43"/>
      <c r="T794" s="43"/>
      <c r="U794" s="43"/>
      <c r="V794" s="43"/>
      <c r="W794" s="43"/>
      <c r="X794" s="43"/>
      <c r="Y794" s="43"/>
      <c r="Z794" s="43"/>
    </row>
    <row r="795" ht="15.75" customHeight="1">
      <c r="A795" s="53"/>
      <c r="B795" s="53"/>
      <c r="C795" s="53"/>
      <c r="D795" s="53"/>
      <c r="E795" s="42"/>
      <c r="F795" s="42"/>
      <c r="G795" s="42"/>
      <c r="H795" s="42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43"/>
      <c r="T795" s="43"/>
      <c r="U795" s="43"/>
      <c r="V795" s="43"/>
      <c r="W795" s="43"/>
      <c r="X795" s="43"/>
      <c r="Y795" s="43"/>
      <c r="Z795" s="43"/>
    </row>
    <row r="796" ht="15.75" customHeight="1">
      <c r="A796" s="53"/>
      <c r="B796" s="53"/>
      <c r="C796" s="53"/>
      <c r="D796" s="53"/>
      <c r="E796" s="42"/>
      <c r="F796" s="42"/>
      <c r="G796" s="42"/>
      <c r="H796" s="42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43"/>
      <c r="T796" s="43"/>
      <c r="U796" s="43"/>
      <c r="V796" s="43"/>
      <c r="W796" s="43"/>
      <c r="X796" s="43"/>
      <c r="Y796" s="43"/>
      <c r="Z796" s="43"/>
    </row>
    <row r="797" ht="15.75" customHeight="1">
      <c r="A797" s="53"/>
      <c r="B797" s="53"/>
      <c r="C797" s="53"/>
      <c r="D797" s="53"/>
      <c r="E797" s="42"/>
      <c r="F797" s="42"/>
      <c r="G797" s="42"/>
      <c r="H797" s="42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43"/>
      <c r="T797" s="43"/>
      <c r="U797" s="43"/>
      <c r="V797" s="43"/>
      <c r="W797" s="43"/>
      <c r="X797" s="43"/>
      <c r="Y797" s="43"/>
      <c r="Z797" s="43"/>
    </row>
    <row r="798" ht="15.75" customHeight="1">
      <c r="A798" s="53"/>
      <c r="B798" s="53"/>
      <c r="C798" s="53"/>
      <c r="D798" s="53"/>
      <c r="E798" s="42"/>
      <c r="F798" s="42"/>
      <c r="G798" s="42"/>
      <c r="H798" s="42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43"/>
      <c r="T798" s="43"/>
      <c r="U798" s="43"/>
      <c r="V798" s="43"/>
      <c r="W798" s="43"/>
      <c r="X798" s="43"/>
      <c r="Y798" s="43"/>
      <c r="Z798" s="43"/>
    </row>
    <row r="799" ht="15.75" customHeight="1">
      <c r="A799" s="53"/>
      <c r="B799" s="53"/>
      <c r="C799" s="53"/>
      <c r="D799" s="53"/>
      <c r="E799" s="42"/>
      <c r="F799" s="42"/>
      <c r="G799" s="42"/>
      <c r="H799" s="42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43"/>
      <c r="T799" s="43"/>
      <c r="U799" s="43"/>
      <c r="V799" s="43"/>
      <c r="W799" s="43"/>
      <c r="X799" s="43"/>
      <c r="Y799" s="43"/>
      <c r="Z799" s="43"/>
    </row>
    <row r="800" ht="15.75" customHeight="1">
      <c r="A800" s="53"/>
      <c r="B800" s="53"/>
      <c r="C800" s="53"/>
      <c r="D800" s="53"/>
      <c r="E800" s="42"/>
      <c r="F800" s="42"/>
      <c r="G800" s="42"/>
      <c r="H800" s="42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43"/>
      <c r="T800" s="43"/>
      <c r="U800" s="43"/>
      <c r="V800" s="43"/>
      <c r="W800" s="43"/>
      <c r="X800" s="43"/>
      <c r="Y800" s="43"/>
      <c r="Z800" s="43"/>
    </row>
    <row r="801" ht="15.75" customHeight="1">
      <c r="A801" s="53"/>
      <c r="B801" s="53"/>
      <c r="C801" s="53"/>
      <c r="D801" s="53"/>
      <c r="E801" s="42"/>
      <c r="F801" s="42"/>
      <c r="G801" s="42"/>
      <c r="H801" s="42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43"/>
      <c r="T801" s="43"/>
      <c r="U801" s="43"/>
      <c r="V801" s="43"/>
      <c r="W801" s="43"/>
      <c r="X801" s="43"/>
      <c r="Y801" s="43"/>
      <c r="Z801" s="43"/>
    </row>
    <row r="802" ht="15.75" customHeight="1">
      <c r="A802" s="53"/>
      <c r="B802" s="53"/>
      <c r="C802" s="53"/>
      <c r="D802" s="53"/>
      <c r="E802" s="42"/>
      <c r="F802" s="42"/>
      <c r="G802" s="42"/>
      <c r="H802" s="42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43"/>
      <c r="T802" s="43"/>
      <c r="U802" s="43"/>
      <c r="V802" s="43"/>
      <c r="W802" s="43"/>
      <c r="X802" s="43"/>
      <c r="Y802" s="43"/>
      <c r="Z802" s="43"/>
    </row>
    <row r="803" ht="15.75" customHeight="1">
      <c r="A803" s="53"/>
      <c r="B803" s="53"/>
      <c r="C803" s="53"/>
      <c r="D803" s="53"/>
      <c r="E803" s="42"/>
      <c r="F803" s="42"/>
      <c r="G803" s="42"/>
      <c r="H803" s="42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43"/>
      <c r="T803" s="43"/>
      <c r="U803" s="43"/>
      <c r="V803" s="43"/>
      <c r="W803" s="43"/>
      <c r="X803" s="43"/>
      <c r="Y803" s="43"/>
      <c r="Z803" s="43"/>
    </row>
    <row r="804" ht="15.75" customHeight="1">
      <c r="A804" s="53"/>
      <c r="B804" s="53"/>
      <c r="C804" s="53"/>
      <c r="D804" s="53"/>
      <c r="E804" s="42"/>
      <c r="F804" s="42"/>
      <c r="G804" s="42"/>
      <c r="H804" s="42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43"/>
      <c r="T804" s="43"/>
      <c r="U804" s="43"/>
      <c r="V804" s="43"/>
      <c r="W804" s="43"/>
      <c r="X804" s="43"/>
      <c r="Y804" s="43"/>
      <c r="Z804" s="43"/>
    </row>
    <row r="805" ht="15.75" customHeight="1">
      <c r="A805" s="53"/>
      <c r="B805" s="53"/>
      <c r="C805" s="53"/>
      <c r="D805" s="53"/>
      <c r="E805" s="42"/>
      <c r="F805" s="42"/>
      <c r="G805" s="42"/>
      <c r="H805" s="42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43"/>
      <c r="T805" s="43"/>
      <c r="U805" s="43"/>
      <c r="V805" s="43"/>
      <c r="W805" s="43"/>
      <c r="X805" s="43"/>
      <c r="Y805" s="43"/>
      <c r="Z805" s="43"/>
    </row>
    <row r="806" ht="15.75" customHeight="1">
      <c r="A806" s="53"/>
      <c r="B806" s="53"/>
      <c r="C806" s="53"/>
      <c r="D806" s="53"/>
      <c r="E806" s="42"/>
      <c r="F806" s="42"/>
      <c r="G806" s="42"/>
      <c r="H806" s="42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43"/>
      <c r="T806" s="43"/>
      <c r="U806" s="43"/>
      <c r="V806" s="43"/>
      <c r="W806" s="43"/>
      <c r="X806" s="43"/>
      <c r="Y806" s="43"/>
      <c r="Z806" s="43"/>
    </row>
    <row r="807" ht="15.75" customHeight="1">
      <c r="A807" s="53"/>
      <c r="B807" s="53"/>
      <c r="C807" s="53"/>
      <c r="D807" s="53"/>
      <c r="E807" s="42"/>
      <c r="F807" s="42"/>
      <c r="G807" s="42"/>
      <c r="H807" s="42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43"/>
      <c r="T807" s="43"/>
      <c r="U807" s="43"/>
      <c r="V807" s="43"/>
      <c r="W807" s="43"/>
      <c r="X807" s="43"/>
      <c r="Y807" s="43"/>
      <c r="Z807" s="43"/>
    </row>
    <row r="808" ht="15.75" customHeight="1">
      <c r="A808" s="53"/>
      <c r="B808" s="53"/>
      <c r="C808" s="53"/>
      <c r="D808" s="53"/>
      <c r="E808" s="42"/>
      <c r="F808" s="42"/>
      <c r="G808" s="42"/>
      <c r="H808" s="42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43"/>
      <c r="T808" s="43"/>
      <c r="U808" s="43"/>
      <c r="V808" s="43"/>
      <c r="W808" s="43"/>
      <c r="X808" s="43"/>
      <c r="Y808" s="43"/>
      <c r="Z808" s="43"/>
    </row>
    <row r="809" ht="15.75" customHeight="1">
      <c r="A809" s="53"/>
      <c r="B809" s="53"/>
      <c r="C809" s="53"/>
      <c r="D809" s="53"/>
      <c r="E809" s="42"/>
      <c r="F809" s="42"/>
      <c r="G809" s="42"/>
      <c r="H809" s="42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43"/>
      <c r="T809" s="43"/>
      <c r="U809" s="43"/>
      <c r="V809" s="43"/>
      <c r="W809" s="43"/>
      <c r="X809" s="43"/>
      <c r="Y809" s="43"/>
      <c r="Z809" s="43"/>
    </row>
    <row r="810" ht="15.75" customHeight="1">
      <c r="A810" s="53"/>
      <c r="B810" s="53"/>
      <c r="C810" s="53"/>
      <c r="D810" s="53"/>
      <c r="E810" s="42"/>
      <c r="F810" s="42"/>
      <c r="G810" s="42"/>
      <c r="H810" s="42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43"/>
      <c r="T810" s="43"/>
      <c r="U810" s="43"/>
      <c r="V810" s="43"/>
      <c r="W810" s="43"/>
      <c r="X810" s="43"/>
      <c r="Y810" s="43"/>
      <c r="Z810" s="43"/>
    </row>
    <row r="811" ht="15.75" customHeight="1">
      <c r="A811" s="53"/>
      <c r="B811" s="53"/>
      <c r="C811" s="53"/>
      <c r="D811" s="53"/>
      <c r="E811" s="42"/>
      <c r="F811" s="42"/>
      <c r="G811" s="42"/>
      <c r="H811" s="42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43"/>
      <c r="T811" s="43"/>
      <c r="U811" s="43"/>
      <c r="V811" s="43"/>
      <c r="W811" s="43"/>
      <c r="X811" s="43"/>
      <c r="Y811" s="43"/>
      <c r="Z811" s="43"/>
    </row>
    <row r="812" ht="15.75" customHeight="1">
      <c r="A812" s="53"/>
      <c r="B812" s="53"/>
      <c r="C812" s="53"/>
      <c r="D812" s="53"/>
      <c r="E812" s="42"/>
      <c r="F812" s="42"/>
      <c r="G812" s="42"/>
      <c r="H812" s="42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43"/>
      <c r="T812" s="43"/>
      <c r="U812" s="43"/>
      <c r="V812" s="43"/>
      <c r="W812" s="43"/>
      <c r="X812" s="43"/>
      <c r="Y812" s="43"/>
      <c r="Z812" s="43"/>
    </row>
    <row r="813" ht="15.75" customHeight="1">
      <c r="A813" s="53"/>
      <c r="B813" s="53"/>
      <c r="C813" s="53"/>
      <c r="D813" s="53"/>
      <c r="E813" s="42"/>
      <c r="F813" s="42"/>
      <c r="G813" s="42"/>
      <c r="H813" s="42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43"/>
      <c r="T813" s="43"/>
      <c r="U813" s="43"/>
      <c r="V813" s="43"/>
      <c r="W813" s="43"/>
      <c r="X813" s="43"/>
      <c r="Y813" s="43"/>
      <c r="Z813" s="43"/>
    </row>
    <row r="814" ht="15.75" customHeight="1">
      <c r="A814" s="53"/>
      <c r="B814" s="53"/>
      <c r="C814" s="53"/>
      <c r="D814" s="53"/>
      <c r="E814" s="42"/>
      <c r="F814" s="42"/>
      <c r="G814" s="42"/>
      <c r="H814" s="42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43"/>
      <c r="T814" s="43"/>
      <c r="U814" s="43"/>
      <c r="V814" s="43"/>
      <c r="W814" s="43"/>
      <c r="X814" s="43"/>
      <c r="Y814" s="43"/>
      <c r="Z814" s="43"/>
    </row>
    <row r="815" ht="15.75" customHeight="1">
      <c r="A815" s="53"/>
      <c r="B815" s="53"/>
      <c r="C815" s="53"/>
      <c r="D815" s="53"/>
      <c r="E815" s="42"/>
      <c r="F815" s="42"/>
      <c r="G815" s="42"/>
      <c r="H815" s="42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43"/>
      <c r="T815" s="43"/>
      <c r="U815" s="43"/>
      <c r="V815" s="43"/>
      <c r="W815" s="43"/>
      <c r="X815" s="43"/>
      <c r="Y815" s="43"/>
      <c r="Z815" s="43"/>
    </row>
    <row r="816" ht="15.75" customHeight="1">
      <c r="A816" s="53"/>
      <c r="B816" s="53"/>
      <c r="C816" s="53"/>
      <c r="D816" s="53"/>
      <c r="E816" s="42"/>
      <c r="F816" s="42"/>
      <c r="G816" s="42"/>
      <c r="H816" s="42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43"/>
      <c r="T816" s="43"/>
      <c r="U816" s="43"/>
      <c r="V816" s="43"/>
      <c r="W816" s="43"/>
      <c r="X816" s="43"/>
      <c r="Y816" s="43"/>
      <c r="Z816" s="43"/>
    </row>
    <row r="817" ht="15.75" customHeight="1">
      <c r="A817" s="53"/>
      <c r="B817" s="53"/>
      <c r="C817" s="53"/>
      <c r="D817" s="53"/>
      <c r="E817" s="42"/>
      <c r="F817" s="42"/>
      <c r="G817" s="42"/>
      <c r="H817" s="42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43"/>
      <c r="T817" s="43"/>
      <c r="U817" s="43"/>
      <c r="V817" s="43"/>
      <c r="W817" s="43"/>
      <c r="X817" s="43"/>
      <c r="Y817" s="43"/>
      <c r="Z817" s="43"/>
    </row>
    <row r="818" ht="15.75" customHeight="1">
      <c r="A818" s="53"/>
      <c r="B818" s="53"/>
      <c r="C818" s="53"/>
      <c r="D818" s="53"/>
      <c r="E818" s="42"/>
      <c r="F818" s="42"/>
      <c r="G818" s="42"/>
      <c r="H818" s="42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43"/>
      <c r="T818" s="43"/>
      <c r="U818" s="43"/>
      <c r="V818" s="43"/>
      <c r="W818" s="43"/>
      <c r="X818" s="43"/>
      <c r="Y818" s="43"/>
      <c r="Z818" s="43"/>
    </row>
    <row r="819" ht="15.75" customHeight="1">
      <c r="A819" s="53"/>
      <c r="B819" s="53"/>
      <c r="C819" s="53"/>
      <c r="D819" s="53"/>
      <c r="E819" s="42"/>
      <c r="F819" s="42"/>
      <c r="G819" s="42"/>
      <c r="H819" s="42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43"/>
      <c r="T819" s="43"/>
      <c r="U819" s="43"/>
      <c r="V819" s="43"/>
      <c r="W819" s="43"/>
      <c r="X819" s="43"/>
      <c r="Y819" s="43"/>
      <c r="Z819" s="43"/>
    </row>
    <row r="820" ht="15.75" customHeight="1">
      <c r="A820" s="53"/>
      <c r="B820" s="53"/>
      <c r="C820" s="53"/>
      <c r="D820" s="53"/>
      <c r="E820" s="42"/>
      <c r="F820" s="42"/>
      <c r="G820" s="42"/>
      <c r="H820" s="42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43"/>
      <c r="T820" s="43"/>
      <c r="U820" s="43"/>
      <c r="V820" s="43"/>
      <c r="W820" s="43"/>
      <c r="X820" s="43"/>
      <c r="Y820" s="43"/>
      <c r="Z820" s="43"/>
    </row>
    <row r="821" ht="15.75" customHeight="1">
      <c r="A821" s="53"/>
      <c r="B821" s="53"/>
      <c r="C821" s="53"/>
      <c r="D821" s="53"/>
      <c r="E821" s="42"/>
      <c r="F821" s="42"/>
      <c r="G821" s="42"/>
      <c r="H821" s="42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43"/>
      <c r="T821" s="43"/>
      <c r="U821" s="43"/>
      <c r="V821" s="43"/>
      <c r="W821" s="43"/>
      <c r="X821" s="43"/>
      <c r="Y821" s="43"/>
      <c r="Z821" s="43"/>
    </row>
    <row r="822" ht="15.75" customHeight="1">
      <c r="A822" s="53"/>
      <c r="B822" s="53"/>
      <c r="C822" s="53"/>
      <c r="D822" s="53"/>
      <c r="E822" s="42"/>
      <c r="F822" s="42"/>
      <c r="G822" s="42"/>
      <c r="H822" s="42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43"/>
      <c r="T822" s="43"/>
      <c r="U822" s="43"/>
      <c r="V822" s="43"/>
      <c r="W822" s="43"/>
      <c r="X822" s="43"/>
      <c r="Y822" s="43"/>
      <c r="Z822" s="43"/>
    </row>
    <row r="823" ht="15.75" customHeight="1">
      <c r="A823" s="53"/>
      <c r="B823" s="53"/>
      <c r="C823" s="53"/>
      <c r="D823" s="53"/>
      <c r="E823" s="42"/>
      <c r="F823" s="42"/>
      <c r="G823" s="42"/>
      <c r="H823" s="42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43"/>
      <c r="T823" s="43"/>
      <c r="U823" s="43"/>
      <c r="V823" s="43"/>
      <c r="W823" s="43"/>
      <c r="X823" s="43"/>
      <c r="Y823" s="43"/>
      <c r="Z823" s="43"/>
    </row>
    <row r="824" ht="15.75" customHeight="1">
      <c r="A824" s="53"/>
      <c r="B824" s="53"/>
      <c r="C824" s="53"/>
      <c r="D824" s="53"/>
      <c r="E824" s="42"/>
      <c r="F824" s="42"/>
      <c r="G824" s="42"/>
      <c r="H824" s="42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43"/>
      <c r="T824" s="43"/>
      <c r="U824" s="43"/>
      <c r="V824" s="43"/>
      <c r="W824" s="43"/>
      <c r="X824" s="43"/>
      <c r="Y824" s="43"/>
      <c r="Z824" s="43"/>
    </row>
    <row r="825" ht="15.75" customHeight="1">
      <c r="A825" s="53"/>
      <c r="B825" s="53"/>
      <c r="C825" s="53"/>
      <c r="D825" s="53"/>
      <c r="E825" s="42"/>
      <c r="F825" s="42"/>
      <c r="G825" s="42"/>
      <c r="H825" s="42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43"/>
      <c r="T825" s="43"/>
      <c r="U825" s="43"/>
      <c r="V825" s="43"/>
      <c r="W825" s="43"/>
      <c r="X825" s="43"/>
      <c r="Y825" s="43"/>
      <c r="Z825" s="43"/>
    </row>
    <row r="826" ht="15.75" customHeight="1">
      <c r="A826" s="53"/>
      <c r="B826" s="53"/>
      <c r="C826" s="53"/>
      <c r="D826" s="53"/>
      <c r="E826" s="42"/>
      <c r="F826" s="42"/>
      <c r="G826" s="42"/>
      <c r="H826" s="42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43"/>
      <c r="T826" s="43"/>
      <c r="U826" s="43"/>
      <c r="V826" s="43"/>
      <c r="W826" s="43"/>
      <c r="X826" s="43"/>
      <c r="Y826" s="43"/>
      <c r="Z826" s="43"/>
    </row>
    <row r="827" ht="15.75" customHeight="1">
      <c r="A827" s="53"/>
      <c r="B827" s="53"/>
      <c r="C827" s="53"/>
      <c r="D827" s="53"/>
      <c r="E827" s="42"/>
      <c r="F827" s="42"/>
      <c r="G827" s="42"/>
      <c r="H827" s="42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43"/>
      <c r="T827" s="43"/>
      <c r="U827" s="43"/>
      <c r="V827" s="43"/>
      <c r="W827" s="43"/>
      <c r="X827" s="43"/>
      <c r="Y827" s="43"/>
      <c r="Z827" s="43"/>
    </row>
    <row r="828" ht="15.75" customHeight="1">
      <c r="A828" s="53"/>
      <c r="B828" s="53"/>
      <c r="C828" s="53"/>
      <c r="D828" s="53"/>
      <c r="E828" s="42"/>
      <c r="F828" s="42"/>
      <c r="G828" s="42"/>
      <c r="H828" s="42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43"/>
      <c r="T828" s="43"/>
      <c r="U828" s="43"/>
      <c r="V828" s="43"/>
      <c r="W828" s="43"/>
      <c r="X828" s="43"/>
      <c r="Y828" s="43"/>
      <c r="Z828" s="43"/>
    </row>
    <row r="829" ht="15.75" customHeight="1">
      <c r="A829" s="53"/>
      <c r="B829" s="53"/>
      <c r="C829" s="53"/>
      <c r="D829" s="53"/>
      <c r="E829" s="42"/>
      <c r="F829" s="42"/>
      <c r="G829" s="42"/>
      <c r="H829" s="42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43"/>
      <c r="T829" s="43"/>
      <c r="U829" s="43"/>
      <c r="V829" s="43"/>
      <c r="W829" s="43"/>
      <c r="X829" s="43"/>
      <c r="Y829" s="43"/>
      <c r="Z829" s="43"/>
    </row>
    <row r="830" ht="15.75" customHeight="1">
      <c r="A830" s="53"/>
      <c r="B830" s="53"/>
      <c r="C830" s="53"/>
      <c r="D830" s="53"/>
      <c r="E830" s="42"/>
      <c r="F830" s="42"/>
      <c r="G830" s="42"/>
      <c r="H830" s="42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43"/>
      <c r="T830" s="43"/>
      <c r="U830" s="43"/>
      <c r="V830" s="43"/>
      <c r="W830" s="43"/>
      <c r="X830" s="43"/>
      <c r="Y830" s="43"/>
      <c r="Z830" s="43"/>
    </row>
    <row r="831" ht="15.75" customHeight="1">
      <c r="A831" s="53"/>
      <c r="B831" s="53"/>
      <c r="C831" s="53"/>
      <c r="D831" s="53"/>
      <c r="E831" s="42"/>
      <c r="F831" s="42"/>
      <c r="G831" s="42"/>
      <c r="H831" s="42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43"/>
      <c r="T831" s="43"/>
      <c r="U831" s="43"/>
      <c r="V831" s="43"/>
      <c r="W831" s="43"/>
      <c r="X831" s="43"/>
      <c r="Y831" s="43"/>
      <c r="Z831" s="43"/>
    </row>
    <row r="832" ht="15.75" customHeight="1">
      <c r="A832" s="53"/>
      <c r="B832" s="53"/>
      <c r="C832" s="53"/>
      <c r="D832" s="53"/>
      <c r="E832" s="42"/>
      <c r="F832" s="42"/>
      <c r="G832" s="42"/>
      <c r="H832" s="42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43"/>
      <c r="T832" s="43"/>
      <c r="U832" s="43"/>
      <c r="V832" s="43"/>
      <c r="W832" s="43"/>
      <c r="X832" s="43"/>
      <c r="Y832" s="43"/>
      <c r="Z832" s="43"/>
    </row>
    <row r="833" ht="15.75" customHeight="1">
      <c r="A833" s="53"/>
      <c r="B833" s="53"/>
      <c r="C833" s="53"/>
      <c r="D833" s="53"/>
      <c r="E833" s="42"/>
      <c r="F833" s="42"/>
      <c r="G833" s="42"/>
      <c r="H833" s="42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43"/>
      <c r="T833" s="43"/>
      <c r="U833" s="43"/>
      <c r="V833" s="43"/>
      <c r="W833" s="43"/>
      <c r="X833" s="43"/>
      <c r="Y833" s="43"/>
      <c r="Z833" s="43"/>
    </row>
    <row r="834" ht="15.75" customHeight="1">
      <c r="A834" s="53"/>
      <c r="B834" s="53"/>
      <c r="C834" s="53"/>
      <c r="D834" s="53"/>
      <c r="E834" s="42"/>
      <c r="F834" s="42"/>
      <c r="G834" s="42"/>
      <c r="H834" s="42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43"/>
      <c r="T834" s="43"/>
      <c r="U834" s="43"/>
      <c r="V834" s="43"/>
      <c r="W834" s="43"/>
      <c r="X834" s="43"/>
      <c r="Y834" s="43"/>
      <c r="Z834" s="43"/>
    </row>
    <row r="835" ht="15.75" customHeight="1">
      <c r="A835" s="53"/>
      <c r="B835" s="53"/>
      <c r="C835" s="53"/>
      <c r="D835" s="53"/>
      <c r="E835" s="42"/>
      <c r="F835" s="42"/>
      <c r="G835" s="42"/>
      <c r="H835" s="42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43"/>
      <c r="T835" s="43"/>
      <c r="U835" s="43"/>
      <c r="V835" s="43"/>
      <c r="W835" s="43"/>
      <c r="X835" s="43"/>
      <c r="Y835" s="43"/>
      <c r="Z835" s="43"/>
    </row>
    <row r="836" ht="15.75" customHeight="1">
      <c r="A836" s="53"/>
      <c r="B836" s="53"/>
      <c r="C836" s="53"/>
      <c r="D836" s="53"/>
      <c r="E836" s="42"/>
      <c r="F836" s="42"/>
      <c r="G836" s="42"/>
      <c r="H836" s="42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43"/>
      <c r="T836" s="43"/>
      <c r="U836" s="43"/>
      <c r="V836" s="43"/>
      <c r="W836" s="43"/>
      <c r="X836" s="43"/>
      <c r="Y836" s="43"/>
      <c r="Z836" s="43"/>
    </row>
    <row r="837" ht="15.75" customHeight="1">
      <c r="A837" s="53"/>
      <c r="B837" s="53"/>
      <c r="C837" s="53"/>
      <c r="D837" s="53"/>
      <c r="E837" s="42"/>
      <c r="F837" s="42"/>
      <c r="G837" s="42"/>
      <c r="H837" s="42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43"/>
      <c r="T837" s="43"/>
      <c r="U837" s="43"/>
      <c r="V837" s="43"/>
      <c r="W837" s="43"/>
      <c r="X837" s="43"/>
      <c r="Y837" s="43"/>
      <c r="Z837" s="43"/>
    </row>
    <row r="838" ht="15.75" customHeight="1">
      <c r="A838" s="53"/>
      <c r="B838" s="53"/>
      <c r="C838" s="53"/>
      <c r="D838" s="53"/>
      <c r="E838" s="42"/>
      <c r="F838" s="42"/>
      <c r="G838" s="42"/>
      <c r="H838" s="42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43"/>
      <c r="T838" s="43"/>
      <c r="U838" s="43"/>
      <c r="V838" s="43"/>
      <c r="W838" s="43"/>
      <c r="X838" s="43"/>
      <c r="Y838" s="43"/>
      <c r="Z838" s="43"/>
    </row>
    <row r="839" ht="15.75" customHeight="1">
      <c r="A839" s="53"/>
      <c r="B839" s="53"/>
      <c r="C839" s="53"/>
      <c r="D839" s="53"/>
      <c r="E839" s="42"/>
      <c r="F839" s="42"/>
      <c r="G839" s="42"/>
      <c r="H839" s="42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43"/>
      <c r="T839" s="43"/>
      <c r="U839" s="43"/>
      <c r="V839" s="43"/>
      <c r="W839" s="43"/>
      <c r="X839" s="43"/>
      <c r="Y839" s="43"/>
      <c r="Z839" s="43"/>
    </row>
    <row r="840" ht="15.75" customHeight="1">
      <c r="A840" s="53"/>
      <c r="B840" s="53"/>
      <c r="C840" s="53"/>
      <c r="D840" s="53"/>
      <c r="E840" s="42"/>
      <c r="F840" s="42"/>
      <c r="G840" s="42"/>
      <c r="H840" s="42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43"/>
      <c r="T840" s="43"/>
      <c r="U840" s="43"/>
      <c r="V840" s="43"/>
      <c r="W840" s="43"/>
      <c r="X840" s="43"/>
      <c r="Y840" s="43"/>
      <c r="Z840" s="43"/>
    </row>
    <row r="841" ht="15.75" customHeight="1">
      <c r="A841" s="53"/>
      <c r="B841" s="53"/>
      <c r="C841" s="53"/>
      <c r="D841" s="53"/>
      <c r="E841" s="42"/>
      <c r="F841" s="42"/>
      <c r="G841" s="42"/>
      <c r="H841" s="42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43"/>
      <c r="T841" s="43"/>
      <c r="U841" s="43"/>
      <c r="V841" s="43"/>
      <c r="W841" s="43"/>
      <c r="X841" s="43"/>
      <c r="Y841" s="43"/>
      <c r="Z841" s="43"/>
    </row>
    <row r="842" ht="15.75" customHeight="1">
      <c r="A842" s="53"/>
      <c r="B842" s="53"/>
      <c r="C842" s="53"/>
      <c r="D842" s="53"/>
      <c r="E842" s="42"/>
      <c r="F842" s="42"/>
      <c r="G842" s="42"/>
      <c r="H842" s="42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43"/>
      <c r="T842" s="43"/>
      <c r="U842" s="43"/>
      <c r="V842" s="43"/>
      <c r="W842" s="43"/>
      <c r="X842" s="43"/>
      <c r="Y842" s="43"/>
      <c r="Z842" s="43"/>
    </row>
    <row r="843" ht="15.75" customHeight="1">
      <c r="A843" s="53"/>
      <c r="B843" s="53"/>
      <c r="C843" s="53"/>
      <c r="D843" s="53"/>
      <c r="E843" s="42"/>
      <c r="F843" s="42"/>
      <c r="G843" s="42"/>
      <c r="H843" s="42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43"/>
      <c r="T843" s="43"/>
      <c r="U843" s="43"/>
      <c r="V843" s="43"/>
      <c r="W843" s="43"/>
      <c r="X843" s="43"/>
      <c r="Y843" s="43"/>
      <c r="Z843" s="43"/>
    </row>
    <row r="844" ht="15.75" customHeight="1">
      <c r="A844" s="53"/>
      <c r="B844" s="53"/>
      <c r="C844" s="53"/>
      <c r="D844" s="53"/>
      <c r="E844" s="42"/>
      <c r="F844" s="42"/>
      <c r="G844" s="42"/>
      <c r="H844" s="42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43"/>
      <c r="T844" s="43"/>
      <c r="U844" s="43"/>
      <c r="V844" s="43"/>
      <c r="W844" s="43"/>
      <c r="X844" s="43"/>
      <c r="Y844" s="43"/>
      <c r="Z844" s="43"/>
    </row>
    <row r="845" ht="15.75" customHeight="1">
      <c r="A845" s="53"/>
      <c r="B845" s="53"/>
      <c r="C845" s="53"/>
      <c r="D845" s="53"/>
      <c r="E845" s="42"/>
      <c r="F845" s="42"/>
      <c r="G845" s="42"/>
      <c r="H845" s="42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43"/>
      <c r="T845" s="43"/>
      <c r="U845" s="43"/>
      <c r="V845" s="43"/>
      <c r="W845" s="43"/>
      <c r="X845" s="43"/>
      <c r="Y845" s="43"/>
      <c r="Z845" s="43"/>
    </row>
    <row r="846" ht="15.75" customHeight="1">
      <c r="A846" s="53"/>
      <c r="B846" s="53"/>
      <c r="C846" s="53"/>
      <c r="D846" s="53"/>
      <c r="E846" s="42"/>
      <c r="F846" s="42"/>
      <c r="G846" s="42"/>
      <c r="H846" s="42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43"/>
      <c r="T846" s="43"/>
      <c r="U846" s="43"/>
      <c r="V846" s="43"/>
      <c r="W846" s="43"/>
      <c r="X846" s="43"/>
      <c r="Y846" s="43"/>
      <c r="Z846" s="43"/>
    </row>
    <row r="847" ht="15.75" customHeight="1">
      <c r="A847" s="53"/>
      <c r="B847" s="53"/>
      <c r="C847" s="53"/>
      <c r="D847" s="53"/>
      <c r="E847" s="42"/>
      <c r="F847" s="42"/>
      <c r="G847" s="42"/>
      <c r="H847" s="42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43"/>
      <c r="T847" s="43"/>
      <c r="U847" s="43"/>
      <c r="V847" s="43"/>
      <c r="W847" s="43"/>
      <c r="X847" s="43"/>
      <c r="Y847" s="43"/>
      <c r="Z847" s="43"/>
    </row>
    <row r="848" ht="15.75" customHeight="1">
      <c r="A848" s="53"/>
      <c r="B848" s="53"/>
      <c r="C848" s="53"/>
      <c r="D848" s="53"/>
      <c r="E848" s="42"/>
      <c r="F848" s="42"/>
      <c r="G848" s="42"/>
      <c r="H848" s="42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43"/>
      <c r="T848" s="43"/>
      <c r="U848" s="43"/>
      <c r="V848" s="43"/>
      <c r="W848" s="43"/>
      <c r="X848" s="43"/>
      <c r="Y848" s="43"/>
      <c r="Z848" s="43"/>
    </row>
    <row r="849" ht="15.75" customHeight="1">
      <c r="A849" s="53"/>
      <c r="B849" s="53"/>
      <c r="C849" s="53"/>
      <c r="D849" s="53"/>
      <c r="E849" s="42"/>
      <c r="F849" s="42"/>
      <c r="G849" s="42"/>
      <c r="H849" s="42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43"/>
      <c r="T849" s="43"/>
      <c r="U849" s="43"/>
      <c r="V849" s="43"/>
      <c r="W849" s="43"/>
      <c r="X849" s="43"/>
      <c r="Y849" s="43"/>
      <c r="Z849" s="43"/>
    </row>
    <row r="850" ht="15.75" customHeight="1">
      <c r="A850" s="53"/>
      <c r="B850" s="53"/>
      <c r="C850" s="53"/>
      <c r="D850" s="53"/>
      <c r="E850" s="42"/>
      <c r="F850" s="42"/>
      <c r="G850" s="42"/>
      <c r="H850" s="42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43"/>
      <c r="T850" s="43"/>
      <c r="U850" s="43"/>
      <c r="V850" s="43"/>
      <c r="W850" s="43"/>
      <c r="X850" s="43"/>
      <c r="Y850" s="43"/>
      <c r="Z850" s="43"/>
    </row>
    <row r="851" ht="15.75" customHeight="1">
      <c r="A851" s="53"/>
      <c r="B851" s="53"/>
      <c r="C851" s="53"/>
      <c r="D851" s="53"/>
      <c r="E851" s="42"/>
      <c r="F851" s="42"/>
      <c r="G851" s="42"/>
      <c r="H851" s="42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43"/>
      <c r="T851" s="43"/>
      <c r="U851" s="43"/>
      <c r="V851" s="43"/>
      <c r="W851" s="43"/>
      <c r="X851" s="43"/>
      <c r="Y851" s="43"/>
      <c r="Z851" s="43"/>
    </row>
    <row r="852" ht="15.75" customHeight="1">
      <c r="A852" s="53"/>
      <c r="B852" s="53"/>
      <c r="C852" s="53"/>
      <c r="D852" s="53"/>
      <c r="E852" s="42"/>
      <c r="F852" s="42"/>
      <c r="G852" s="42"/>
      <c r="H852" s="42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43"/>
      <c r="T852" s="43"/>
      <c r="U852" s="43"/>
      <c r="V852" s="43"/>
      <c r="W852" s="43"/>
      <c r="X852" s="43"/>
      <c r="Y852" s="43"/>
      <c r="Z852" s="43"/>
    </row>
    <row r="853" ht="15.75" customHeight="1">
      <c r="A853" s="53"/>
      <c r="B853" s="53"/>
      <c r="C853" s="53"/>
      <c r="D853" s="53"/>
      <c r="E853" s="42"/>
      <c r="F853" s="42"/>
      <c r="G853" s="42"/>
      <c r="H853" s="42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43"/>
      <c r="T853" s="43"/>
      <c r="U853" s="43"/>
      <c r="V853" s="43"/>
      <c r="W853" s="43"/>
      <c r="X853" s="43"/>
      <c r="Y853" s="43"/>
      <c r="Z853" s="43"/>
    </row>
    <row r="854" ht="15.75" customHeight="1">
      <c r="A854" s="53"/>
      <c r="B854" s="53"/>
      <c r="C854" s="53"/>
      <c r="D854" s="53"/>
      <c r="E854" s="42"/>
      <c r="F854" s="42"/>
      <c r="G854" s="42"/>
      <c r="H854" s="42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43"/>
      <c r="T854" s="43"/>
      <c r="U854" s="43"/>
      <c r="V854" s="43"/>
      <c r="W854" s="43"/>
      <c r="X854" s="43"/>
      <c r="Y854" s="43"/>
      <c r="Z854" s="43"/>
    </row>
    <row r="855" ht="15.75" customHeight="1">
      <c r="A855" s="53"/>
      <c r="B855" s="53"/>
      <c r="C855" s="53"/>
      <c r="D855" s="53"/>
      <c r="E855" s="42"/>
      <c r="F855" s="42"/>
      <c r="G855" s="42"/>
      <c r="H855" s="42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43"/>
      <c r="T855" s="43"/>
      <c r="U855" s="43"/>
      <c r="V855" s="43"/>
      <c r="W855" s="43"/>
      <c r="X855" s="43"/>
      <c r="Y855" s="43"/>
      <c r="Z855" s="43"/>
    </row>
    <row r="856" ht="15.75" customHeight="1">
      <c r="A856" s="53"/>
      <c r="B856" s="53"/>
      <c r="C856" s="53"/>
      <c r="D856" s="53"/>
      <c r="E856" s="42"/>
      <c r="F856" s="42"/>
      <c r="G856" s="42"/>
      <c r="H856" s="42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43"/>
      <c r="T856" s="43"/>
      <c r="U856" s="43"/>
      <c r="V856" s="43"/>
      <c r="W856" s="43"/>
      <c r="X856" s="43"/>
      <c r="Y856" s="43"/>
      <c r="Z856" s="43"/>
    </row>
    <row r="857" ht="15.75" customHeight="1">
      <c r="A857" s="53"/>
      <c r="B857" s="53"/>
      <c r="C857" s="53"/>
      <c r="D857" s="53"/>
      <c r="E857" s="42"/>
      <c r="F857" s="42"/>
      <c r="G857" s="42"/>
      <c r="H857" s="42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43"/>
      <c r="T857" s="43"/>
      <c r="U857" s="43"/>
      <c r="V857" s="43"/>
      <c r="W857" s="43"/>
      <c r="X857" s="43"/>
      <c r="Y857" s="43"/>
      <c r="Z857" s="43"/>
    </row>
    <row r="858" ht="15.75" customHeight="1">
      <c r="A858" s="53"/>
      <c r="B858" s="53"/>
      <c r="C858" s="53"/>
      <c r="D858" s="53"/>
      <c r="E858" s="42"/>
      <c r="F858" s="42"/>
      <c r="G858" s="42"/>
      <c r="H858" s="42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43"/>
      <c r="T858" s="43"/>
      <c r="U858" s="43"/>
      <c r="V858" s="43"/>
      <c r="W858" s="43"/>
      <c r="X858" s="43"/>
      <c r="Y858" s="43"/>
      <c r="Z858" s="43"/>
    </row>
    <row r="859" ht="15.75" customHeight="1">
      <c r="A859" s="53"/>
      <c r="B859" s="53"/>
      <c r="C859" s="53"/>
      <c r="D859" s="53"/>
      <c r="E859" s="42"/>
      <c r="F859" s="42"/>
      <c r="G859" s="42"/>
      <c r="H859" s="42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43"/>
      <c r="T859" s="43"/>
      <c r="U859" s="43"/>
      <c r="V859" s="43"/>
      <c r="W859" s="43"/>
      <c r="X859" s="43"/>
      <c r="Y859" s="43"/>
      <c r="Z859" s="43"/>
    </row>
    <row r="860" ht="15.75" customHeight="1">
      <c r="A860" s="53"/>
      <c r="B860" s="53"/>
      <c r="C860" s="53"/>
      <c r="D860" s="53"/>
      <c r="E860" s="42"/>
      <c r="F860" s="42"/>
      <c r="G860" s="42"/>
      <c r="H860" s="42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43"/>
      <c r="T860" s="43"/>
      <c r="U860" s="43"/>
      <c r="V860" s="43"/>
      <c r="W860" s="43"/>
      <c r="X860" s="43"/>
      <c r="Y860" s="43"/>
      <c r="Z860" s="43"/>
    </row>
    <row r="861" ht="15.75" customHeight="1">
      <c r="A861" s="53"/>
      <c r="B861" s="53"/>
      <c r="C861" s="53"/>
      <c r="D861" s="53"/>
      <c r="E861" s="42"/>
      <c r="F861" s="42"/>
      <c r="G861" s="42"/>
      <c r="H861" s="42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43"/>
      <c r="T861" s="43"/>
      <c r="U861" s="43"/>
      <c r="V861" s="43"/>
      <c r="W861" s="43"/>
      <c r="X861" s="43"/>
      <c r="Y861" s="43"/>
      <c r="Z861" s="43"/>
    </row>
    <row r="862" ht="15.75" customHeight="1">
      <c r="A862" s="53"/>
      <c r="B862" s="53"/>
      <c r="C862" s="53"/>
      <c r="D862" s="53"/>
      <c r="E862" s="42"/>
      <c r="F862" s="42"/>
      <c r="G862" s="42"/>
      <c r="H862" s="42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43"/>
      <c r="T862" s="43"/>
      <c r="U862" s="43"/>
      <c r="V862" s="43"/>
      <c r="W862" s="43"/>
      <c r="X862" s="43"/>
      <c r="Y862" s="43"/>
      <c r="Z862" s="43"/>
    </row>
    <row r="863" ht="15.75" customHeight="1">
      <c r="A863" s="53"/>
      <c r="B863" s="53"/>
      <c r="C863" s="53"/>
      <c r="D863" s="53"/>
      <c r="E863" s="42"/>
      <c r="F863" s="42"/>
      <c r="G863" s="42"/>
      <c r="H863" s="42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43"/>
      <c r="T863" s="43"/>
      <c r="U863" s="43"/>
      <c r="V863" s="43"/>
      <c r="W863" s="43"/>
      <c r="X863" s="43"/>
      <c r="Y863" s="43"/>
      <c r="Z863" s="43"/>
    </row>
    <row r="864" ht="15.75" customHeight="1">
      <c r="A864" s="53"/>
      <c r="B864" s="53"/>
      <c r="C864" s="53"/>
      <c r="D864" s="53"/>
      <c r="E864" s="42"/>
      <c r="F864" s="42"/>
      <c r="G864" s="42"/>
      <c r="H864" s="42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43"/>
      <c r="T864" s="43"/>
      <c r="U864" s="43"/>
      <c r="V864" s="43"/>
      <c r="W864" s="43"/>
      <c r="X864" s="43"/>
      <c r="Y864" s="43"/>
      <c r="Z864" s="43"/>
    </row>
    <row r="865" ht="15.75" customHeight="1">
      <c r="A865" s="53"/>
      <c r="B865" s="53"/>
      <c r="C865" s="53"/>
      <c r="D865" s="53"/>
      <c r="E865" s="42"/>
      <c r="F865" s="42"/>
      <c r="G865" s="42"/>
      <c r="H865" s="42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43"/>
      <c r="T865" s="43"/>
      <c r="U865" s="43"/>
      <c r="V865" s="43"/>
      <c r="W865" s="43"/>
      <c r="X865" s="43"/>
      <c r="Y865" s="43"/>
      <c r="Z865" s="43"/>
    </row>
    <row r="866" ht="15.75" customHeight="1">
      <c r="A866" s="53"/>
      <c r="B866" s="53"/>
      <c r="C866" s="53"/>
      <c r="D866" s="53"/>
      <c r="E866" s="42"/>
      <c r="F866" s="42"/>
      <c r="G866" s="42"/>
      <c r="H866" s="42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43"/>
      <c r="T866" s="43"/>
      <c r="U866" s="43"/>
      <c r="V866" s="43"/>
      <c r="W866" s="43"/>
      <c r="X866" s="43"/>
      <c r="Y866" s="43"/>
      <c r="Z866" s="43"/>
    </row>
    <row r="867" ht="15.75" customHeight="1">
      <c r="A867" s="53"/>
      <c r="B867" s="53"/>
      <c r="C867" s="53"/>
      <c r="D867" s="53"/>
      <c r="E867" s="42"/>
      <c r="F867" s="42"/>
      <c r="G867" s="42"/>
      <c r="H867" s="42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43"/>
      <c r="T867" s="43"/>
      <c r="U867" s="43"/>
      <c r="V867" s="43"/>
      <c r="W867" s="43"/>
      <c r="X867" s="43"/>
      <c r="Y867" s="43"/>
      <c r="Z867" s="43"/>
    </row>
    <row r="868" ht="15.75" customHeight="1">
      <c r="A868" s="53"/>
      <c r="B868" s="53"/>
      <c r="C868" s="53"/>
      <c r="D868" s="53"/>
      <c r="E868" s="42"/>
      <c r="F868" s="42"/>
      <c r="G868" s="42"/>
      <c r="H868" s="42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43"/>
      <c r="T868" s="43"/>
      <c r="U868" s="43"/>
      <c r="V868" s="43"/>
      <c r="W868" s="43"/>
      <c r="X868" s="43"/>
      <c r="Y868" s="43"/>
      <c r="Z868" s="43"/>
    </row>
    <row r="869" ht="15.75" customHeight="1">
      <c r="A869" s="53"/>
      <c r="B869" s="53"/>
      <c r="C869" s="53"/>
      <c r="D869" s="53"/>
      <c r="E869" s="42"/>
      <c r="F869" s="42"/>
      <c r="G869" s="42"/>
      <c r="H869" s="42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43"/>
      <c r="T869" s="43"/>
      <c r="U869" s="43"/>
      <c r="V869" s="43"/>
      <c r="W869" s="43"/>
      <c r="X869" s="43"/>
      <c r="Y869" s="43"/>
      <c r="Z869" s="43"/>
    </row>
    <row r="870" ht="15.75" customHeight="1">
      <c r="A870" s="53"/>
      <c r="B870" s="53"/>
      <c r="C870" s="53"/>
      <c r="D870" s="53"/>
      <c r="E870" s="42"/>
      <c r="F870" s="42"/>
      <c r="G870" s="42"/>
      <c r="H870" s="42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43"/>
      <c r="T870" s="43"/>
      <c r="U870" s="43"/>
      <c r="V870" s="43"/>
      <c r="W870" s="43"/>
      <c r="X870" s="43"/>
      <c r="Y870" s="43"/>
      <c r="Z870" s="43"/>
    </row>
    <row r="871" ht="15.75" customHeight="1">
      <c r="A871" s="53"/>
      <c r="B871" s="53"/>
      <c r="C871" s="53"/>
      <c r="D871" s="53"/>
      <c r="E871" s="42"/>
      <c r="F871" s="42"/>
      <c r="G871" s="42"/>
      <c r="H871" s="42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43"/>
      <c r="T871" s="43"/>
      <c r="U871" s="43"/>
      <c r="V871" s="43"/>
      <c r="W871" s="43"/>
      <c r="X871" s="43"/>
      <c r="Y871" s="43"/>
      <c r="Z871" s="43"/>
    </row>
    <row r="872" ht="15.75" customHeight="1">
      <c r="A872" s="53"/>
      <c r="B872" s="53"/>
      <c r="C872" s="53"/>
      <c r="D872" s="53"/>
      <c r="E872" s="42"/>
      <c r="F872" s="42"/>
      <c r="G872" s="42"/>
      <c r="H872" s="42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43"/>
      <c r="T872" s="43"/>
      <c r="U872" s="43"/>
      <c r="V872" s="43"/>
      <c r="W872" s="43"/>
      <c r="X872" s="43"/>
      <c r="Y872" s="43"/>
      <c r="Z872" s="43"/>
    </row>
    <row r="873" ht="15.75" customHeight="1">
      <c r="A873" s="53"/>
      <c r="B873" s="53"/>
      <c r="C873" s="53"/>
      <c r="D873" s="53"/>
      <c r="E873" s="42"/>
      <c r="F873" s="42"/>
      <c r="G873" s="42"/>
      <c r="H873" s="42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43"/>
      <c r="T873" s="43"/>
      <c r="U873" s="43"/>
      <c r="V873" s="43"/>
      <c r="W873" s="43"/>
      <c r="X873" s="43"/>
      <c r="Y873" s="43"/>
      <c r="Z873" s="43"/>
    </row>
    <row r="874" ht="15.75" customHeight="1">
      <c r="A874" s="53"/>
      <c r="B874" s="53"/>
      <c r="C874" s="53"/>
      <c r="D874" s="53"/>
      <c r="E874" s="42"/>
      <c r="F874" s="42"/>
      <c r="G874" s="42"/>
      <c r="H874" s="42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43"/>
      <c r="T874" s="43"/>
      <c r="U874" s="43"/>
      <c r="V874" s="43"/>
      <c r="W874" s="43"/>
      <c r="X874" s="43"/>
      <c r="Y874" s="43"/>
      <c r="Z874" s="43"/>
    </row>
    <row r="875" ht="15.75" customHeight="1">
      <c r="A875" s="53"/>
      <c r="B875" s="53"/>
      <c r="C875" s="53"/>
      <c r="D875" s="53"/>
      <c r="E875" s="42"/>
      <c r="F875" s="42"/>
      <c r="G875" s="42"/>
      <c r="H875" s="42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43"/>
      <c r="T875" s="43"/>
      <c r="U875" s="43"/>
      <c r="V875" s="43"/>
      <c r="W875" s="43"/>
      <c r="X875" s="43"/>
      <c r="Y875" s="43"/>
      <c r="Z875" s="43"/>
    </row>
    <row r="876" ht="15.75" customHeight="1">
      <c r="A876" s="53"/>
      <c r="B876" s="53"/>
      <c r="C876" s="53"/>
      <c r="D876" s="53"/>
      <c r="E876" s="42"/>
      <c r="F876" s="42"/>
      <c r="G876" s="42"/>
      <c r="H876" s="42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43"/>
      <c r="T876" s="43"/>
      <c r="U876" s="43"/>
      <c r="V876" s="43"/>
      <c r="W876" s="43"/>
      <c r="X876" s="43"/>
      <c r="Y876" s="43"/>
      <c r="Z876" s="43"/>
    </row>
    <row r="877" ht="15.75" customHeight="1">
      <c r="A877" s="53"/>
      <c r="B877" s="53"/>
      <c r="C877" s="53"/>
      <c r="D877" s="53"/>
      <c r="E877" s="42"/>
      <c r="F877" s="42"/>
      <c r="G877" s="42"/>
      <c r="H877" s="42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43"/>
      <c r="T877" s="43"/>
      <c r="U877" s="43"/>
      <c r="V877" s="43"/>
      <c r="W877" s="43"/>
      <c r="X877" s="43"/>
      <c r="Y877" s="43"/>
      <c r="Z877" s="43"/>
    </row>
    <row r="878" ht="15.75" customHeight="1">
      <c r="A878" s="53"/>
      <c r="B878" s="53"/>
      <c r="C878" s="53"/>
      <c r="D878" s="53"/>
      <c r="E878" s="42"/>
      <c r="F878" s="42"/>
      <c r="G878" s="42"/>
      <c r="H878" s="42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43"/>
      <c r="T878" s="43"/>
      <c r="U878" s="43"/>
      <c r="V878" s="43"/>
      <c r="W878" s="43"/>
      <c r="X878" s="43"/>
      <c r="Y878" s="43"/>
      <c r="Z878" s="43"/>
    </row>
    <row r="879" ht="15.75" customHeight="1">
      <c r="A879" s="53"/>
      <c r="B879" s="53"/>
      <c r="C879" s="53"/>
      <c r="D879" s="53"/>
      <c r="E879" s="42"/>
      <c r="F879" s="42"/>
      <c r="G879" s="42"/>
      <c r="H879" s="42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43"/>
      <c r="T879" s="43"/>
      <c r="U879" s="43"/>
      <c r="V879" s="43"/>
      <c r="W879" s="43"/>
      <c r="X879" s="43"/>
      <c r="Y879" s="43"/>
      <c r="Z879" s="43"/>
    </row>
    <row r="880" ht="15.75" customHeight="1">
      <c r="A880" s="53"/>
      <c r="B880" s="53"/>
      <c r="C880" s="53"/>
      <c r="D880" s="53"/>
      <c r="E880" s="42"/>
      <c r="F880" s="42"/>
      <c r="G880" s="42"/>
      <c r="H880" s="42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43"/>
      <c r="T880" s="43"/>
      <c r="U880" s="43"/>
      <c r="V880" s="43"/>
      <c r="W880" s="43"/>
      <c r="X880" s="43"/>
      <c r="Y880" s="43"/>
      <c r="Z880" s="43"/>
    </row>
    <row r="881" ht="15.75" customHeight="1">
      <c r="A881" s="53"/>
      <c r="B881" s="53"/>
      <c r="C881" s="53"/>
      <c r="D881" s="53"/>
      <c r="E881" s="42"/>
      <c r="F881" s="42"/>
      <c r="G881" s="42"/>
      <c r="H881" s="42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43"/>
      <c r="T881" s="43"/>
      <c r="U881" s="43"/>
      <c r="V881" s="43"/>
      <c r="W881" s="43"/>
      <c r="X881" s="43"/>
      <c r="Y881" s="43"/>
      <c r="Z881" s="43"/>
    </row>
    <row r="882" ht="15.75" customHeight="1">
      <c r="A882" s="53"/>
      <c r="B882" s="53"/>
      <c r="C882" s="53"/>
      <c r="D882" s="53"/>
      <c r="E882" s="42"/>
      <c r="F882" s="42"/>
      <c r="G882" s="42"/>
      <c r="H882" s="42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43"/>
      <c r="T882" s="43"/>
      <c r="U882" s="43"/>
      <c r="V882" s="43"/>
      <c r="W882" s="43"/>
      <c r="X882" s="43"/>
      <c r="Y882" s="43"/>
      <c r="Z882" s="43"/>
    </row>
    <row r="883" ht="15.75" customHeight="1">
      <c r="A883" s="53"/>
      <c r="B883" s="53"/>
      <c r="C883" s="53"/>
      <c r="D883" s="53"/>
      <c r="E883" s="42"/>
      <c r="F883" s="42"/>
      <c r="G883" s="42"/>
      <c r="H883" s="42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43"/>
      <c r="T883" s="43"/>
      <c r="U883" s="43"/>
      <c r="V883" s="43"/>
      <c r="W883" s="43"/>
      <c r="X883" s="43"/>
      <c r="Y883" s="43"/>
      <c r="Z883" s="43"/>
    </row>
    <row r="884" ht="15.75" customHeight="1">
      <c r="A884" s="53"/>
      <c r="B884" s="53"/>
      <c r="C884" s="53"/>
      <c r="D884" s="53"/>
      <c r="E884" s="42"/>
      <c r="F884" s="42"/>
      <c r="G884" s="42"/>
      <c r="H884" s="42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43"/>
      <c r="T884" s="43"/>
      <c r="U884" s="43"/>
      <c r="V884" s="43"/>
      <c r="W884" s="43"/>
      <c r="X884" s="43"/>
      <c r="Y884" s="43"/>
      <c r="Z884" s="43"/>
    </row>
    <row r="885" ht="15.75" customHeight="1">
      <c r="A885" s="53"/>
      <c r="B885" s="53"/>
      <c r="C885" s="53"/>
      <c r="D885" s="53"/>
      <c r="E885" s="42"/>
      <c r="F885" s="42"/>
      <c r="G885" s="42"/>
      <c r="H885" s="42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43"/>
      <c r="T885" s="43"/>
      <c r="U885" s="43"/>
      <c r="V885" s="43"/>
      <c r="W885" s="43"/>
      <c r="X885" s="43"/>
      <c r="Y885" s="43"/>
      <c r="Z885" s="43"/>
    </row>
    <row r="886" ht="15.75" customHeight="1">
      <c r="A886" s="53"/>
      <c r="B886" s="53"/>
      <c r="C886" s="53"/>
      <c r="D886" s="53"/>
      <c r="E886" s="42"/>
      <c r="F886" s="42"/>
      <c r="G886" s="42"/>
      <c r="H886" s="42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43"/>
      <c r="T886" s="43"/>
      <c r="U886" s="43"/>
      <c r="V886" s="43"/>
      <c r="W886" s="43"/>
      <c r="X886" s="43"/>
      <c r="Y886" s="43"/>
      <c r="Z886" s="43"/>
    </row>
    <row r="887" ht="15.75" customHeight="1">
      <c r="A887" s="53"/>
      <c r="B887" s="53"/>
      <c r="C887" s="53"/>
      <c r="D887" s="53"/>
      <c r="E887" s="42"/>
      <c r="F887" s="42"/>
      <c r="G887" s="42"/>
      <c r="H887" s="42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43"/>
      <c r="T887" s="43"/>
      <c r="U887" s="43"/>
      <c r="V887" s="43"/>
      <c r="W887" s="43"/>
      <c r="X887" s="43"/>
      <c r="Y887" s="43"/>
      <c r="Z887" s="43"/>
    </row>
    <row r="888" ht="15.75" customHeight="1">
      <c r="A888" s="53"/>
      <c r="B888" s="53"/>
      <c r="C888" s="53"/>
      <c r="D888" s="53"/>
      <c r="E888" s="42"/>
      <c r="F888" s="42"/>
      <c r="G888" s="42"/>
      <c r="H888" s="42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43"/>
      <c r="T888" s="43"/>
      <c r="U888" s="43"/>
      <c r="V888" s="43"/>
      <c r="W888" s="43"/>
      <c r="X888" s="43"/>
      <c r="Y888" s="43"/>
      <c r="Z888" s="43"/>
    </row>
    <row r="889" ht="15.75" customHeight="1">
      <c r="A889" s="53"/>
      <c r="B889" s="53"/>
      <c r="C889" s="53"/>
      <c r="D889" s="53"/>
      <c r="E889" s="42"/>
      <c r="F889" s="42"/>
      <c r="G889" s="42"/>
      <c r="H889" s="42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43"/>
      <c r="T889" s="43"/>
      <c r="U889" s="43"/>
      <c r="V889" s="43"/>
      <c r="W889" s="43"/>
      <c r="X889" s="43"/>
      <c r="Y889" s="43"/>
      <c r="Z889" s="43"/>
    </row>
    <row r="890" ht="15.75" customHeight="1">
      <c r="A890" s="53"/>
      <c r="B890" s="53"/>
      <c r="C890" s="53"/>
      <c r="D890" s="53"/>
      <c r="E890" s="42"/>
      <c r="F890" s="42"/>
      <c r="G890" s="42"/>
      <c r="H890" s="42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43"/>
      <c r="T890" s="43"/>
      <c r="U890" s="43"/>
      <c r="V890" s="43"/>
      <c r="W890" s="43"/>
      <c r="X890" s="43"/>
      <c r="Y890" s="43"/>
      <c r="Z890" s="43"/>
    </row>
    <row r="891" ht="15.75" customHeight="1">
      <c r="A891" s="53"/>
      <c r="B891" s="53"/>
      <c r="C891" s="53"/>
      <c r="D891" s="53"/>
      <c r="E891" s="42"/>
      <c r="F891" s="42"/>
      <c r="G891" s="42"/>
      <c r="H891" s="42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43"/>
      <c r="T891" s="43"/>
      <c r="U891" s="43"/>
      <c r="V891" s="43"/>
      <c r="W891" s="43"/>
      <c r="X891" s="43"/>
      <c r="Y891" s="43"/>
      <c r="Z891" s="43"/>
    </row>
    <row r="892" ht="15.75" customHeight="1">
      <c r="A892" s="53"/>
      <c r="B892" s="53"/>
      <c r="C892" s="53"/>
      <c r="D892" s="53"/>
      <c r="E892" s="42"/>
      <c r="F892" s="42"/>
      <c r="G892" s="42"/>
      <c r="H892" s="42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43"/>
      <c r="T892" s="43"/>
      <c r="U892" s="43"/>
      <c r="V892" s="43"/>
      <c r="W892" s="43"/>
      <c r="X892" s="43"/>
      <c r="Y892" s="43"/>
      <c r="Z892" s="43"/>
    </row>
    <row r="893" ht="15.75" customHeight="1">
      <c r="A893" s="53"/>
      <c r="B893" s="53"/>
      <c r="C893" s="53"/>
      <c r="D893" s="53"/>
      <c r="E893" s="42"/>
      <c r="F893" s="42"/>
      <c r="G893" s="42"/>
      <c r="H893" s="42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43"/>
      <c r="T893" s="43"/>
      <c r="U893" s="43"/>
      <c r="V893" s="43"/>
      <c r="W893" s="43"/>
      <c r="X893" s="43"/>
      <c r="Y893" s="43"/>
      <c r="Z893" s="43"/>
    </row>
    <row r="894" ht="15.75" customHeight="1">
      <c r="A894" s="53"/>
      <c r="B894" s="53"/>
      <c r="C894" s="53"/>
      <c r="D894" s="53"/>
      <c r="E894" s="42"/>
      <c r="F894" s="42"/>
      <c r="G894" s="42"/>
      <c r="H894" s="42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43"/>
      <c r="T894" s="43"/>
      <c r="U894" s="43"/>
      <c r="V894" s="43"/>
      <c r="W894" s="43"/>
      <c r="X894" s="43"/>
      <c r="Y894" s="43"/>
      <c r="Z894" s="43"/>
    </row>
    <row r="895" ht="15.75" customHeight="1">
      <c r="A895" s="53"/>
      <c r="B895" s="53"/>
      <c r="C895" s="53"/>
      <c r="D895" s="53"/>
      <c r="E895" s="42"/>
      <c r="F895" s="42"/>
      <c r="G895" s="42"/>
      <c r="H895" s="42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43"/>
      <c r="T895" s="43"/>
      <c r="U895" s="43"/>
      <c r="V895" s="43"/>
      <c r="W895" s="43"/>
      <c r="X895" s="43"/>
      <c r="Y895" s="43"/>
      <c r="Z895" s="43"/>
    </row>
    <row r="896" ht="15.75" customHeight="1">
      <c r="A896" s="53"/>
      <c r="B896" s="53"/>
      <c r="C896" s="53"/>
      <c r="D896" s="53"/>
      <c r="E896" s="42"/>
      <c r="F896" s="42"/>
      <c r="G896" s="42"/>
      <c r="H896" s="42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43"/>
      <c r="T896" s="43"/>
      <c r="U896" s="43"/>
      <c r="V896" s="43"/>
      <c r="W896" s="43"/>
      <c r="X896" s="43"/>
      <c r="Y896" s="43"/>
      <c r="Z896" s="43"/>
    </row>
    <row r="897" ht="15.75" customHeight="1">
      <c r="A897" s="53"/>
      <c r="B897" s="53"/>
      <c r="C897" s="53"/>
      <c r="D897" s="53"/>
      <c r="E897" s="42"/>
      <c r="F897" s="42"/>
      <c r="G897" s="42"/>
      <c r="H897" s="42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43"/>
      <c r="T897" s="43"/>
      <c r="U897" s="43"/>
      <c r="V897" s="43"/>
      <c r="W897" s="43"/>
      <c r="X897" s="43"/>
      <c r="Y897" s="43"/>
      <c r="Z897" s="43"/>
    </row>
    <row r="898" ht="15.75" customHeight="1">
      <c r="A898" s="53"/>
      <c r="B898" s="53"/>
      <c r="C898" s="53"/>
      <c r="D898" s="53"/>
      <c r="E898" s="42"/>
      <c r="F898" s="42"/>
      <c r="G898" s="42"/>
      <c r="H898" s="42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43"/>
      <c r="T898" s="43"/>
      <c r="U898" s="43"/>
      <c r="V898" s="43"/>
      <c r="W898" s="43"/>
      <c r="X898" s="43"/>
      <c r="Y898" s="43"/>
      <c r="Z898" s="43"/>
    </row>
    <row r="899" ht="15.75" customHeight="1">
      <c r="A899" s="53"/>
      <c r="B899" s="53"/>
      <c r="C899" s="53"/>
      <c r="D899" s="53"/>
      <c r="E899" s="42"/>
      <c r="F899" s="42"/>
      <c r="G899" s="42"/>
      <c r="H899" s="42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43"/>
      <c r="T899" s="43"/>
      <c r="U899" s="43"/>
      <c r="V899" s="43"/>
      <c r="W899" s="43"/>
      <c r="X899" s="43"/>
      <c r="Y899" s="43"/>
      <c r="Z899" s="43"/>
    </row>
    <row r="900" ht="15.75" customHeight="1">
      <c r="A900" s="53"/>
      <c r="B900" s="53"/>
      <c r="C900" s="53"/>
      <c r="D900" s="53"/>
      <c r="E900" s="42"/>
      <c r="F900" s="42"/>
      <c r="G900" s="42"/>
      <c r="H900" s="42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43"/>
      <c r="T900" s="43"/>
      <c r="U900" s="43"/>
      <c r="V900" s="43"/>
      <c r="W900" s="43"/>
      <c r="X900" s="43"/>
      <c r="Y900" s="43"/>
      <c r="Z900" s="43"/>
    </row>
    <row r="901" ht="15.75" customHeight="1">
      <c r="A901" s="53"/>
      <c r="B901" s="53"/>
      <c r="C901" s="53"/>
      <c r="D901" s="53"/>
      <c r="E901" s="42"/>
      <c r="F901" s="42"/>
      <c r="G901" s="42"/>
      <c r="H901" s="42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43"/>
      <c r="T901" s="43"/>
      <c r="U901" s="43"/>
      <c r="V901" s="43"/>
      <c r="W901" s="43"/>
      <c r="X901" s="43"/>
      <c r="Y901" s="43"/>
      <c r="Z901" s="43"/>
    </row>
    <row r="902" ht="15.75" customHeight="1">
      <c r="A902" s="53"/>
      <c r="B902" s="53"/>
      <c r="C902" s="53"/>
      <c r="D902" s="53"/>
      <c r="E902" s="42"/>
      <c r="F902" s="42"/>
      <c r="G902" s="42"/>
      <c r="H902" s="42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43"/>
      <c r="T902" s="43"/>
      <c r="U902" s="43"/>
      <c r="V902" s="43"/>
      <c r="W902" s="43"/>
      <c r="X902" s="43"/>
      <c r="Y902" s="43"/>
      <c r="Z902" s="43"/>
    </row>
    <row r="903" ht="15.75" customHeight="1">
      <c r="A903" s="53"/>
      <c r="B903" s="53"/>
      <c r="C903" s="53"/>
      <c r="D903" s="53"/>
      <c r="E903" s="42"/>
      <c r="F903" s="42"/>
      <c r="G903" s="42"/>
      <c r="H903" s="42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43"/>
      <c r="T903" s="43"/>
      <c r="U903" s="43"/>
      <c r="V903" s="43"/>
      <c r="W903" s="43"/>
      <c r="X903" s="43"/>
      <c r="Y903" s="43"/>
      <c r="Z903" s="43"/>
    </row>
    <row r="904" ht="15.75" customHeight="1">
      <c r="A904" s="53"/>
      <c r="B904" s="53"/>
      <c r="C904" s="53"/>
      <c r="D904" s="53"/>
      <c r="E904" s="42"/>
      <c r="F904" s="42"/>
      <c r="G904" s="42"/>
      <c r="H904" s="42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43"/>
      <c r="T904" s="43"/>
      <c r="U904" s="43"/>
      <c r="V904" s="43"/>
      <c r="W904" s="43"/>
      <c r="X904" s="43"/>
      <c r="Y904" s="43"/>
      <c r="Z904" s="43"/>
    </row>
    <row r="905" ht="15.75" customHeight="1">
      <c r="A905" s="53"/>
      <c r="B905" s="53"/>
      <c r="C905" s="53"/>
      <c r="D905" s="53"/>
      <c r="E905" s="42"/>
      <c r="F905" s="42"/>
      <c r="G905" s="42"/>
      <c r="H905" s="42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43"/>
      <c r="T905" s="43"/>
      <c r="U905" s="43"/>
      <c r="V905" s="43"/>
      <c r="W905" s="43"/>
      <c r="X905" s="43"/>
      <c r="Y905" s="43"/>
      <c r="Z905" s="43"/>
    </row>
    <row r="906" ht="15.75" customHeight="1">
      <c r="A906" s="53"/>
      <c r="B906" s="53"/>
      <c r="C906" s="53"/>
      <c r="D906" s="53"/>
      <c r="E906" s="42"/>
      <c r="F906" s="42"/>
      <c r="G906" s="42"/>
      <c r="H906" s="42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43"/>
      <c r="T906" s="43"/>
      <c r="U906" s="43"/>
      <c r="V906" s="43"/>
      <c r="W906" s="43"/>
      <c r="X906" s="43"/>
      <c r="Y906" s="43"/>
      <c r="Z906" s="43"/>
    </row>
    <row r="907" ht="15.75" customHeight="1">
      <c r="A907" s="53"/>
      <c r="B907" s="53"/>
      <c r="C907" s="53"/>
      <c r="D907" s="53"/>
      <c r="E907" s="42"/>
      <c r="F907" s="42"/>
      <c r="G907" s="42"/>
      <c r="H907" s="42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43"/>
      <c r="T907" s="43"/>
      <c r="U907" s="43"/>
      <c r="V907" s="43"/>
      <c r="W907" s="43"/>
      <c r="X907" s="43"/>
      <c r="Y907" s="43"/>
      <c r="Z907" s="43"/>
    </row>
    <row r="908" ht="15.75" customHeight="1">
      <c r="A908" s="53"/>
      <c r="B908" s="53"/>
      <c r="C908" s="53"/>
      <c r="D908" s="53"/>
      <c r="E908" s="42"/>
      <c r="F908" s="42"/>
      <c r="G908" s="42"/>
      <c r="H908" s="42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43"/>
      <c r="T908" s="43"/>
      <c r="U908" s="43"/>
      <c r="V908" s="43"/>
      <c r="W908" s="43"/>
      <c r="X908" s="43"/>
      <c r="Y908" s="43"/>
      <c r="Z908" s="43"/>
    </row>
    <row r="909" ht="15.75" customHeight="1">
      <c r="A909" s="53"/>
      <c r="B909" s="53"/>
      <c r="C909" s="53"/>
      <c r="D909" s="53"/>
      <c r="E909" s="42"/>
      <c r="F909" s="42"/>
      <c r="G909" s="42"/>
      <c r="H909" s="42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43"/>
      <c r="T909" s="43"/>
      <c r="U909" s="43"/>
      <c r="V909" s="43"/>
      <c r="W909" s="43"/>
      <c r="X909" s="43"/>
      <c r="Y909" s="43"/>
      <c r="Z909" s="43"/>
    </row>
    <row r="910" ht="15.75" customHeight="1">
      <c r="A910" s="53"/>
      <c r="B910" s="53"/>
      <c r="C910" s="53"/>
      <c r="D910" s="53"/>
      <c r="E910" s="42"/>
      <c r="F910" s="42"/>
      <c r="G910" s="42"/>
      <c r="H910" s="42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43"/>
      <c r="T910" s="43"/>
      <c r="U910" s="43"/>
      <c r="V910" s="43"/>
      <c r="W910" s="43"/>
      <c r="X910" s="43"/>
      <c r="Y910" s="43"/>
      <c r="Z910" s="43"/>
    </row>
    <row r="911" ht="15.75" customHeight="1">
      <c r="A911" s="53"/>
      <c r="B911" s="53"/>
      <c r="C911" s="53"/>
      <c r="D911" s="53"/>
      <c r="E911" s="42"/>
      <c r="F911" s="42"/>
      <c r="G911" s="42"/>
      <c r="H911" s="42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43"/>
      <c r="T911" s="43"/>
      <c r="U911" s="43"/>
      <c r="V911" s="43"/>
      <c r="W911" s="43"/>
      <c r="X911" s="43"/>
      <c r="Y911" s="43"/>
      <c r="Z911" s="43"/>
    </row>
    <row r="912" ht="15.75" customHeight="1">
      <c r="A912" s="53"/>
      <c r="B912" s="53"/>
      <c r="C912" s="53"/>
      <c r="D912" s="53"/>
      <c r="E912" s="42"/>
      <c r="F912" s="42"/>
      <c r="G912" s="42"/>
      <c r="H912" s="42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43"/>
      <c r="T912" s="43"/>
      <c r="U912" s="43"/>
      <c r="V912" s="43"/>
      <c r="W912" s="43"/>
      <c r="X912" s="43"/>
      <c r="Y912" s="43"/>
      <c r="Z912" s="43"/>
    </row>
    <row r="913" ht="15.75" customHeight="1">
      <c r="A913" s="53"/>
      <c r="B913" s="53"/>
      <c r="C913" s="53"/>
      <c r="D913" s="53"/>
      <c r="E913" s="42"/>
      <c r="F913" s="42"/>
      <c r="G913" s="42"/>
      <c r="H913" s="42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43"/>
      <c r="T913" s="43"/>
      <c r="U913" s="43"/>
      <c r="V913" s="43"/>
      <c r="W913" s="43"/>
      <c r="X913" s="43"/>
      <c r="Y913" s="43"/>
      <c r="Z913" s="43"/>
    </row>
    <row r="914" ht="15.75" customHeight="1">
      <c r="A914" s="53"/>
      <c r="B914" s="53"/>
      <c r="C914" s="53"/>
      <c r="D914" s="53"/>
      <c r="E914" s="42"/>
      <c r="F914" s="42"/>
      <c r="G914" s="42"/>
      <c r="H914" s="42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43"/>
      <c r="T914" s="43"/>
      <c r="U914" s="43"/>
      <c r="V914" s="43"/>
      <c r="W914" s="43"/>
      <c r="X914" s="43"/>
      <c r="Y914" s="43"/>
      <c r="Z914" s="43"/>
    </row>
    <row r="915" ht="15.75" customHeight="1">
      <c r="A915" s="53"/>
      <c r="B915" s="53"/>
      <c r="C915" s="53"/>
      <c r="D915" s="53"/>
      <c r="E915" s="42"/>
      <c r="F915" s="42"/>
      <c r="G915" s="42"/>
      <c r="H915" s="42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43"/>
      <c r="T915" s="43"/>
      <c r="U915" s="43"/>
      <c r="V915" s="43"/>
      <c r="W915" s="43"/>
      <c r="X915" s="43"/>
      <c r="Y915" s="43"/>
      <c r="Z915" s="43"/>
    </row>
    <row r="916" ht="15.75" customHeight="1">
      <c r="A916" s="53"/>
      <c r="B916" s="53"/>
      <c r="C916" s="53"/>
      <c r="D916" s="53"/>
      <c r="E916" s="42"/>
      <c r="F916" s="42"/>
      <c r="G916" s="42"/>
      <c r="H916" s="42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43"/>
      <c r="T916" s="43"/>
      <c r="U916" s="43"/>
      <c r="V916" s="43"/>
      <c r="W916" s="43"/>
      <c r="X916" s="43"/>
      <c r="Y916" s="43"/>
      <c r="Z916" s="43"/>
    </row>
    <row r="917" ht="15.75" customHeight="1">
      <c r="A917" s="53"/>
      <c r="B917" s="53"/>
      <c r="C917" s="53"/>
      <c r="D917" s="53"/>
      <c r="E917" s="42"/>
      <c r="F917" s="42"/>
      <c r="G917" s="42"/>
      <c r="H917" s="42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43"/>
      <c r="T917" s="43"/>
      <c r="U917" s="43"/>
      <c r="V917" s="43"/>
      <c r="W917" s="43"/>
      <c r="X917" s="43"/>
      <c r="Y917" s="43"/>
      <c r="Z917" s="43"/>
    </row>
    <row r="918" ht="15.75" customHeight="1">
      <c r="A918" s="53"/>
      <c r="B918" s="53"/>
      <c r="C918" s="53"/>
      <c r="D918" s="53"/>
      <c r="E918" s="42"/>
      <c r="F918" s="42"/>
      <c r="G918" s="42"/>
      <c r="H918" s="42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43"/>
      <c r="T918" s="43"/>
      <c r="U918" s="43"/>
      <c r="V918" s="43"/>
      <c r="W918" s="43"/>
      <c r="X918" s="43"/>
      <c r="Y918" s="43"/>
      <c r="Z918" s="43"/>
    </row>
    <row r="919" ht="15.75" customHeight="1">
      <c r="A919" s="53"/>
      <c r="B919" s="53"/>
      <c r="C919" s="53"/>
      <c r="D919" s="53"/>
      <c r="E919" s="42"/>
      <c r="F919" s="42"/>
      <c r="G919" s="42"/>
      <c r="H919" s="42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43"/>
      <c r="T919" s="43"/>
      <c r="U919" s="43"/>
      <c r="V919" s="43"/>
      <c r="W919" s="43"/>
      <c r="X919" s="43"/>
      <c r="Y919" s="43"/>
      <c r="Z919" s="43"/>
    </row>
    <row r="920" ht="15.75" customHeight="1">
      <c r="A920" s="53"/>
      <c r="B920" s="53"/>
      <c r="C920" s="53"/>
      <c r="D920" s="53"/>
      <c r="E920" s="42"/>
      <c r="F920" s="42"/>
      <c r="G920" s="42"/>
      <c r="H920" s="42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43"/>
      <c r="T920" s="43"/>
      <c r="U920" s="43"/>
      <c r="V920" s="43"/>
      <c r="W920" s="43"/>
      <c r="X920" s="43"/>
      <c r="Y920" s="43"/>
      <c r="Z920" s="43"/>
    </row>
    <row r="921" ht="15.75" customHeight="1">
      <c r="A921" s="53"/>
      <c r="B921" s="53"/>
      <c r="C921" s="53"/>
      <c r="D921" s="53"/>
      <c r="E921" s="42"/>
      <c r="F921" s="42"/>
      <c r="G921" s="42"/>
      <c r="H921" s="42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43"/>
      <c r="T921" s="43"/>
      <c r="U921" s="43"/>
      <c r="V921" s="43"/>
      <c r="W921" s="43"/>
      <c r="X921" s="43"/>
      <c r="Y921" s="43"/>
      <c r="Z921" s="43"/>
    </row>
    <row r="922" ht="15.75" customHeight="1">
      <c r="A922" s="53"/>
      <c r="B922" s="53"/>
      <c r="C922" s="53"/>
      <c r="D922" s="53"/>
      <c r="E922" s="42"/>
      <c r="F922" s="42"/>
      <c r="G922" s="42"/>
      <c r="H922" s="42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43"/>
      <c r="T922" s="43"/>
      <c r="U922" s="43"/>
      <c r="V922" s="43"/>
      <c r="W922" s="43"/>
      <c r="X922" s="43"/>
      <c r="Y922" s="43"/>
      <c r="Z922" s="43"/>
    </row>
    <row r="923" ht="15.75" customHeight="1">
      <c r="A923" s="53"/>
      <c r="B923" s="53"/>
      <c r="C923" s="53"/>
      <c r="D923" s="53"/>
      <c r="E923" s="42"/>
      <c r="F923" s="42"/>
      <c r="G923" s="42"/>
      <c r="H923" s="42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43"/>
      <c r="T923" s="43"/>
      <c r="U923" s="43"/>
      <c r="V923" s="43"/>
      <c r="W923" s="43"/>
      <c r="X923" s="43"/>
      <c r="Y923" s="43"/>
      <c r="Z923" s="43"/>
    </row>
    <row r="924" ht="15.75" customHeight="1">
      <c r="A924" s="53"/>
      <c r="B924" s="53"/>
      <c r="C924" s="53"/>
      <c r="D924" s="53"/>
      <c r="E924" s="42"/>
      <c r="F924" s="42"/>
      <c r="G924" s="42"/>
      <c r="H924" s="42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43"/>
      <c r="T924" s="43"/>
      <c r="U924" s="43"/>
      <c r="V924" s="43"/>
      <c r="W924" s="43"/>
      <c r="X924" s="43"/>
      <c r="Y924" s="43"/>
      <c r="Z924" s="43"/>
    </row>
    <row r="925" ht="15.75" customHeight="1">
      <c r="A925" s="53"/>
      <c r="B925" s="53"/>
      <c r="C925" s="53"/>
      <c r="D925" s="53"/>
      <c r="E925" s="42"/>
      <c r="F925" s="42"/>
      <c r="G925" s="42"/>
      <c r="H925" s="42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43"/>
      <c r="T925" s="43"/>
      <c r="U925" s="43"/>
      <c r="V925" s="43"/>
      <c r="W925" s="43"/>
      <c r="X925" s="43"/>
      <c r="Y925" s="43"/>
      <c r="Z925" s="43"/>
    </row>
    <row r="926" ht="15.75" customHeight="1">
      <c r="A926" s="53"/>
      <c r="B926" s="53"/>
      <c r="C926" s="53"/>
      <c r="D926" s="53"/>
      <c r="E926" s="42"/>
      <c r="F926" s="42"/>
      <c r="G926" s="42"/>
      <c r="H926" s="42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43"/>
      <c r="T926" s="43"/>
      <c r="U926" s="43"/>
      <c r="V926" s="43"/>
      <c r="W926" s="43"/>
      <c r="X926" s="43"/>
      <c r="Y926" s="43"/>
      <c r="Z926" s="43"/>
    </row>
    <row r="927" ht="15.75" customHeight="1">
      <c r="A927" s="53"/>
      <c r="B927" s="53"/>
      <c r="C927" s="53"/>
      <c r="D927" s="53"/>
      <c r="E927" s="42"/>
      <c r="F927" s="42"/>
      <c r="G927" s="42"/>
      <c r="H927" s="42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43"/>
      <c r="T927" s="43"/>
      <c r="U927" s="43"/>
      <c r="V927" s="43"/>
      <c r="W927" s="43"/>
      <c r="X927" s="43"/>
      <c r="Y927" s="43"/>
      <c r="Z927" s="43"/>
    </row>
    <row r="928" ht="15.75" customHeight="1">
      <c r="A928" s="53"/>
      <c r="B928" s="53"/>
      <c r="C928" s="53"/>
      <c r="D928" s="53"/>
      <c r="E928" s="42"/>
      <c r="F928" s="42"/>
      <c r="G928" s="42"/>
      <c r="H928" s="42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43"/>
      <c r="T928" s="43"/>
      <c r="U928" s="43"/>
      <c r="V928" s="43"/>
      <c r="W928" s="43"/>
      <c r="X928" s="43"/>
      <c r="Y928" s="43"/>
      <c r="Z928" s="43"/>
    </row>
    <row r="929" ht="15.75" customHeight="1">
      <c r="A929" s="53"/>
      <c r="B929" s="53"/>
      <c r="C929" s="53"/>
      <c r="D929" s="53"/>
      <c r="E929" s="42"/>
      <c r="F929" s="42"/>
      <c r="G929" s="42"/>
      <c r="H929" s="42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43"/>
      <c r="T929" s="43"/>
      <c r="U929" s="43"/>
      <c r="V929" s="43"/>
      <c r="W929" s="43"/>
      <c r="X929" s="43"/>
      <c r="Y929" s="43"/>
      <c r="Z929" s="43"/>
    </row>
    <row r="930" ht="15.75" customHeight="1">
      <c r="A930" s="53"/>
      <c r="B930" s="53"/>
      <c r="C930" s="53"/>
      <c r="D930" s="53"/>
      <c r="E930" s="42"/>
      <c r="F930" s="42"/>
      <c r="G930" s="42"/>
      <c r="H930" s="42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43"/>
      <c r="T930" s="43"/>
      <c r="U930" s="43"/>
      <c r="V930" s="43"/>
      <c r="W930" s="43"/>
      <c r="X930" s="43"/>
      <c r="Y930" s="43"/>
      <c r="Z930" s="43"/>
    </row>
    <row r="931" ht="15.75" customHeight="1">
      <c r="A931" s="53"/>
      <c r="B931" s="53"/>
      <c r="C931" s="53"/>
      <c r="D931" s="53"/>
      <c r="E931" s="42"/>
      <c r="F931" s="42"/>
      <c r="G931" s="42"/>
      <c r="H931" s="42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43"/>
      <c r="T931" s="43"/>
      <c r="U931" s="43"/>
      <c r="V931" s="43"/>
      <c r="W931" s="43"/>
      <c r="X931" s="43"/>
      <c r="Y931" s="43"/>
      <c r="Z931" s="43"/>
    </row>
    <row r="932" ht="15.75" customHeight="1">
      <c r="A932" s="53"/>
      <c r="B932" s="53"/>
      <c r="C932" s="53"/>
      <c r="D932" s="53"/>
      <c r="E932" s="42"/>
      <c r="F932" s="42"/>
      <c r="G932" s="42"/>
      <c r="H932" s="42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43"/>
      <c r="T932" s="43"/>
      <c r="U932" s="43"/>
      <c r="V932" s="43"/>
      <c r="W932" s="43"/>
      <c r="X932" s="43"/>
      <c r="Y932" s="43"/>
      <c r="Z932" s="43"/>
    </row>
    <row r="933" ht="15.75" customHeight="1">
      <c r="A933" s="53"/>
      <c r="B933" s="53"/>
      <c r="C933" s="53"/>
      <c r="D933" s="53"/>
      <c r="E933" s="42"/>
      <c r="F933" s="42"/>
      <c r="G933" s="42"/>
      <c r="H933" s="42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43"/>
      <c r="T933" s="43"/>
      <c r="U933" s="43"/>
      <c r="V933" s="43"/>
      <c r="W933" s="43"/>
      <c r="X933" s="43"/>
      <c r="Y933" s="43"/>
      <c r="Z933" s="43"/>
    </row>
    <row r="934" ht="15.75" customHeight="1">
      <c r="A934" s="53"/>
      <c r="B934" s="53"/>
      <c r="C934" s="53"/>
      <c r="D934" s="53"/>
      <c r="E934" s="42"/>
      <c r="F934" s="42"/>
      <c r="G934" s="42"/>
      <c r="H934" s="42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43"/>
      <c r="T934" s="43"/>
      <c r="U934" s="43"/>
      <c r="V934" s="43"/>
      <c r="W934" s="43"/>
      <c r="X934" s="43"/>
      <c r="Y934" s="43"/>
      <c r="Z934" s="43"/>
    </row>
    <row r="935" ht="15.75" customHeight="1">
      <c r="A935" s="53"/>
      <c r="B935" s="53"/>
      <c r="C935" s="53"/>
      <c r="D935" s="53"/>
      <c r="E935" s="42"/>
      <c r="F935" s="42"/>
      <c r="G935" s="42"/>
      <c r="H935" s="42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43"/>
      <c r="T935" s="43"/>
      <c r="U935" s="43"/>
      <c r="V935" s="43"/>
      <c r="W935" s="43"/>
      <c r="X935" s="43"/>
      <c r="Y935" s="43"/>
      <c r="Z935" s="43"/>
    </row>
    <row r="936" ht="15.75" customHeight="1">
      <c r="A936" s="53"/>
      <c r="B936" s="53"/>
      <c r="C936" s="53"/>
      <c r="D936" s="53"/>
      <c r="E936" s="42"/>
      <c r="F936" s="42"/>
      <c r="G936" s="42"/>
      <c r="H936" s="42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43"/>
      <c r="T936" s="43"/>
      <c r="U936" s="43"/>
      <c r="V936" s="43"/>
      <c r="W936" s="43"/>
      <c r="X936" s="43"/>
      <c r="Y936" s="43"/>
      <c r="Z936" s="43"/>
    </row>
    <row r="937" ht="15.75" customHeight="1">
      <c r="A937" s="53"/>
      <c r="B937" s="53"/>
      <c r="C937" s="53"/>
      <c r="D937" s="53"/>
      <c r="E937" s="42"/>
      <c r="F937" s="42"/>
      <c r="G937" s="42"/>
      <c r="H937" s="42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43"/>
      <c r="T937" s="43"/>
      <c r="U937" s="43"/>
      <c r="V937" s="43"/>
      <c r="W937" s="43"/>
      <c r="X937" s="43"/>
      <c r="Y937" s="43"/>
      <c r="Z937" s="43"/>
    </row>
    <row r="938" ht="15.75" customHeight="1">
      <c r="A938" s="53"/>
      <c r="B938" s="53"/>
      <c r="C938" s="53"/>
      <c r="D938" s="53"/>
      <c r="E938" s="42"/>
      <c r="F938" s="42"/>
      <c r="G938" s="42"/>
      <c r="H938" s="42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43"/>
      <c r="T938" s="43"/>
      <c r="U938" s="43"/>
      <c r="V938" s="43"/>
      <c r="W938" s="43"/>
      <c r="X938" s="43"/>
      <c r="Y938" s="43"/>
      <c r="Z938" s="43"/>
    </row>
    <row r="939" ht="15.75" customHeight="1">
      <c r="A939" s="53"/>
      <c r="B939" s="53"/>
      <c r="C939" s="53"/>
      <c r="D939" s="53"/>
      <c r="E939" s="42"/>
      <c r="F939" s="42"/>
      <c r="G939" s="42"/>
      <c r="H939" s="42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43"/>
      <c r="T939" s="43"/>
      <c r="U939" s="43"/>
      <c r="V939" s="43"/>
      <c r="W939" s="43"/>
      <c r="X939" s="43"/>
      <c r="Y939" s="43"/>
      <c r="Z939" s="43"/>
    </row>
    <row r="940" ht="15.75" customHeight="1">
      <c r="A940" s="53"/>
      <c r="B940" s="53"/>
      <c r="C940" s="53"/>
      <c r="D940" s="53"/>
      <c r="E940" s="42"/>
      <c r="F940" s="42"/>
      <c r="G940" s="42"/>
      <c r="H940" s="42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43"/>
      <c r="T940" s="43"/>
      <c r="U940" s="43"/>
      <c r="V940" s="43"/>
      <c r="W940" s="43"/>
      <c r="X940" s="43"/>
      <c r="Y940" s="43"/>
      <c r="Z940" s="43"/>
    </row>
    <row r="941" ht="15.75" customHeight="1">
      <c r="A941" s="53"/>
      <c r="B941" s="53"/>
      <c r="C941" s="53"/>
      <c r="D941" s="53"/>
      <c r="E941" s="42"/>
      <c r="F941" s="42"/>
      <c r="G941" s="42"/>
      <c r="H941" s="42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43"/>
      <c r="T941" s="43"/>
      <c r="U941" s="43"/>
      <c r="V941" s="43"/>
      <c r="W941" s="43"/>
      <c r="X941" s="43"/>
      <c r="Y941" s="43"/>
      <c r="Z941" s="43"/>
    </row>
    <row r="942" ht="15.75" customHeight="1">
      <c r="A942" s="53"/>
      <c r="B942" s="53"/>
      <c r="C942" s="53"/>
      <c r="D942" s="53"/>
      <c r="E942" s="42"/>
      <c r="F942" s="42"/>
      <c r="G942" s="42"/>
      <c r="H942" s="42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43"/>
      <c r="T942" s="43"/>
      <c r="U942" s="43"/>
      <c r="V942" s="43"/>
      <c r="W942" s="43"/>
      <c r="X942" s="43"/>
      <c r="Y942" s="43"/>
      <c r="Z942" s="43"/>
    </row>
    <row r="943" ht="15.75" customHeight="1">
      <c r="A943" s="53"/>
      <c r="B943" s="53"/>
      <c r="C943" s="53"/>
      <c r="D943" s="53"/>
      <c r="E943" s="42"/>
      <c r="F943" s="42"/>
      <c r="G943" s="42"/>
      <c r="H943" s="42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43"/>
      <c r="T943" s="43"/>
      <c r="U943" s="43"/>
      <c r="V943" s="43"/>
      <c r="W943" s="43"/>
      <c r="X943" s="43"/>
      <c r="Y943" s="43"/>
      <c r="Z943" s="43"/>
    </row>
    <row r="944" ht="15.75" customHeight="1">
      <c r="A944" s="53"/>
      <c r="B944" s="53"/>
      <c r="C944" s="53"/>
      <c r="D944" s="53"/>
      <c r="E944" s="42"/>
      <c r="F944" s="42"/>
      <c r="G944" s="42"/>
      <c r="H944" s="42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43"/>
      <c r="T944" s="43"/>
      <c r="U944" s="43"/>
      <c r="V944" s="43"/>
      <c r="W944" s="43"/>
      <c r="X944" s="43"/>
      <c r="Y944" s="43"/>
      <c r="Z944" s="43"/>
    </row>
    <row r="945" ht="15.75" customHeight="1">
      <c r="A945" s="53"/>
      <c r="B945" s="53"/>
      <c r="C945" s="53"/>
      <c r="D945" s="53"/>
      <c r="E945" s="42"/>
      <c r="F945" s="42"/>
      <c r="G945" s="42"/>
      <c r="H945" s="42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43"/>
      <c r="T945" s="43"/>
      <c r="U945" s="43"/>
      <c r="V945" s="43"/>
      <c r="W945" s="43"/>
      <c r="X945" s="43"/>
      <c r="Y945" s="43"/>
      <c r="Z945" s="43"/>
    </row>
    <row r="946" ht="15.75" customHeight="1">
      <c r="A946" s="53"/>
      <c r="B946" s="53"/>
      <c r="C946" s="53"/>
      <c r="D946" s="53"/>
      <c r="E946" s="42"/>
      <c r="F946" s="42"/>
      <c r="G946" s="42"/>
      <c r="H946" s="42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43"/>
      <c r="T946" s="43"/>
      <c r="U946" s="43"/>
      <c r="V946" s="43"/>
      <c r="W946" s="43"/>
      <c r="X946" s="43"/>
      <c r="Y946" s="43"/>
      <c r="Z946" s="43"/>
    </row>
    <row r="947" ht="15.75" customHeight="1">
      <c r="A947" s="53"/>
      <c r="B947" s="53"/>
      <c r="C947" s="53"/>
      <c r="D947" s="53"/>
      <c r="E947" s="42"/>
      <c r="F947" s="42"/>
      <c r="G947" s="42"/>
      <c r="H947" s="42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43"/>
      <c r="T947" s="43"/>
      <c r="U947" s="43"/>
      <c r="V947" s="43"/>
      <c r="W947" s="43"/>
      <c r="X947" s="43"/>
      <c r="Y947" s="43"/>
      <c r="Z947" s="43"/>
    </row>
    <row r="948" ht="15.75" customHeight="1">
      <c r="A948" s="53"/>
      <c r="B948" s="53"/>
      <c r="C948" s="53"/>
      <c r="D948" s="53"/>
      <c r="E948" s="42"/>
      <c r="F948" s="42"/>
      <c r="G948" s="42"/>
      <c r="H948" s="42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43"/>
      <c r="T948" s="43"/>
      <c r="U948" s="43"/>
      <c r="V948" s="43"/>
      <c r="W948" s="43"/>
      <c r="X948" s="43"/>
      <c r="Y948" s="43"/>
      <c r="Z948" s="43"/>
    </row>
    <row r="949" ht="15.75" customHeight="1">
      <c r="A949" s="53"/>
      <c r="B949" s="53"/>
      <c r="C949" s="53"/>
      <c r="D949" s="53"/>
      <c r="E949" s="42"/>
      <c r="F949" s="42"/>
      <c r="G949" s="42"/>
      <c r="H949" s="42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43"/>
      <c r="T949" s="43"/>
      <c r="U949" s="43"/>
      <c r="V949" s="43"/>
      <c r="W949" s="43"/>
      <c r="X949" s="43"/>
      <c r="Y949" s="43"/>
      <c r="Z949" s="43"/>
    </row>
    <row r="950" ht="15.75" customHeight="1">
      <c r="A950" s="53"/>
      <c r="B950" s="53"/>
      <c r="C950" s="53"/>
      <c r="D950" s="53"/>
      <c r="E950" s="42"/>
      <c r="F950" s="42"/>
      <c r="G950" s="42"/>
      <c r="H950" s="42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43"/>
      <c r="T950" s="43"/>
      <c r="U950" s="43"/>
      <c r="V950" s="43"/>
      <c r="W950" s="43"/>
      <c r="X950" s="43"/>
      <c r="Y950" s="43"/>
      <c r="Z950" s="43"/>
    </row>
    <row r="951" ht="15.75" customHeight="1">
      <c r="A951" s="53"/>
      <c r="B951" s="53"/>
      <c r="C951" s="53"/>
      <c r="D951" s="53"/>
      <c r="E951" s="42"/>
      <c r="F951" s="42"/>
      <c r="G951" s="42"/>
      <c r="H951" s="42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43"/>
      <c r="T951" s="43"/>
      <c r="U951" s="43"/>
      <c r="V951" s="43"/>
      <c r="W951" s="43"/>
      <c r="X951" s="43"/>
      <c r="Y951" s="43"/>
      <c r="Z951" s="43"/>
    </row>
    <row r="952" ht="15.75" customHeight="1">
      <c r="A952" s="53"/>
      <c r="B952" s="53"/>
      <c r="C952" s="53"/>
      <c r="D952" s="53"/>
      <c r="E952" s="42"/>
      <c r="F952" s="42"/>
      <c r="G952" s="42"/>
      <c r="H952" s="42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43"/>
      <c r="T952" s="43"/>
      <c r="U952" s="43"/>
      <c r="V952" s="43"/>
      <c r="W952" s="43"/>
      <c r="X952" s="43"/>
      <c r="Y952" s="43"/>
      <c r="Z952" s="43"/>
    </row>
    <row r="953" ht="15.75" customHeight="1">
      <c r="A953" s="53"/>
      <c r="B953" s="53"/>
      <c r="C953" s="53"/>
      <c r="D953" s="53"/>
      <c r="E953" s="42"/>
      <c r="F953" s="42"/>
      <c r="G953" s="42"/>
      <c r="H953" s="42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43"/>
      <c r="T953" s="43"/>
      <c r="U953" s="43"/>
      <c r="V953" s="43"/>
      <c r="W953" s="43"/>
      <c r="X953" s="43"/>
      <c r="Y953" s="43"/>
      <c r="Z953" s="43"/>
    </row>
    <row r="954" ht="15.75" customHeight="1">
      <c r="A954" s="53"/>
      <c r="B954" s="53"/>
      <c r="C954" s="53"/>
      <c r="D954" s="53"/>
      <c r="E954" s="42"/>
      <c r="F954" s="42"/>
      <c r="G954" s="42"/>
      <c r="H954" s="42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43"/>
      <c r="T954" s="43"/>
      <c r="U954" s="43"/>
      <c r="V954" s="43"/>
      <c r="W954" s="43"/>
      <c r="X954" s="43"/>
      <c r="Y954" s="43"/>
      <c r="Z954" s="43"/>
    </row>
    <row r="955" ht="15.75" customHeight="1">
      <c r="A955" s="53"/>
      <c r="B955" s="53"/>
      <c r="C955" s="53"/>
      <c r="D955" s="53"/>
      <c r="E955" s="42"/>
      <c r="F955" s="42"/>
      <c r="G955" s="42"/>
      <c r="H955" s="42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43"/>
      <c r="T955" s="43"/>
      <c r="U955" s="43"/>
      <c r="V955" s="43"/>
      <c r="W955" s="43"/>
      <c r="X955" s="43"/>
      <c r="Y955" s="43"/>
      <c r="Z955" s="43"/>
    </row>
    <row r="956" ht="15.75" customHeight="1">
      <c r="A956" s="53"/>
      <c r="B956" s="53"/>
      <c r="C956" s="53"/>
      <c r="D956" s="53"/>
      <c r="E956" s="42"/>
      <c r="F956" s="42"/>
      <c r="G956" s="42"/>
      <c r="H956" s="42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43"/>
      <c r="T956" s="43"/>
      <c r="U956" s="43"/>
      <c r="V956" s="43"/>
      <c r="W956" s="43"/>
      <c r="X956" s="43"/>
      <c r="Y956" s="43"/>
      <c r="Z956" s="43"/>
    </row>
    <row r="957" ht="15.75" customHeight="1">
      <c r="A957" s="53"/>
      <c r="B957" s="53"/>
      <c r="C957" s="53"/>
      <c r="D957" s="53"/>
      <c r="E957" s="42"/>
      <c r="F957" s="42"/>
      <c r="G957" s="42"/>
      <c r="H957" s="42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43"/>
      <c r="T957" s="43"/>
      <c r="U957" s="43"/>
      <c r="V957" s="43"/>
      <c r="W957" s="43"/>
      <c r="X957" s="43"/>
      <c r="Y957" s="43"/>
      <c r="Z957" s="43"/>
    </row>
    <row r="958" ht="15.75" customHeight="1">
      <c r="A958" s="53"/>
      <c r="B958" s="53"/>
      <c r="C958" s="53"/>
      <c r="D958" s="53"/>
      <c r="E958" s="42"/>
      <c r="F958" s="42"/>
      <c r="G958" s="42"/>
      <c r="H958" s="42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43"/>
      <c r="T958" s="43"/>
      <c r="U958" s="43"/>
      <c r="V958" s="43"/>
      <c r="W958" s="43"/>
      <c r="X958" s="43"/>
      <c r="Y958" s="43"/>
      <c r="Z958" s="43"/>
    </row>
    <row r="959" ht="15.75" customHeight="1">
      <c r="A959" s="53"/>
      <c r="B959" s="53"/>
      <c r="C959" s="53"/>
      <c r="D959" s="53"/>
      <c r="E959" s="42"/>
      <c r="F959" s="42"/>
      <c r="G959" s="42"/>
      <c r="H959" s="42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43"/>
      <c r="T959" s="43"/>
      <c r="U959" s="43"/>
      <c r="V959" s="43"/>
      <c r="W959" s="43"/>
      <c r="X959" s="43"/>
      <c r="Y959" s="43"/>
      <c r="Z959" s="43"/>
    </row>
    <row r="960" ht="15.75" customHeight="1">
      <c r="A960" s="53"/>
      <c r="B960" s="53"/>
      <c r="C960" s="53"/>
      <c r="D960" s="53"/>
      <c r="E960" s="42"/>
      <c r="F960" s="42"/>
      <c r="G960" s="42"/>
      <c r="H960" s="42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43"/>
      <c r="T960" s="43"/>
      <c r="U960" s="43"/>
      <c r="V960" s="43"/>
      <c r="W960" s="43"/>
      <c r="X960" s="43"/>
      <c r="Y960" s="43"/>
      <c r="Z960" s="43"/>
    </row>
    <row r="961" ht="15.75" customHeight="1">
      <c r="A961" s="53"/>
      <c r="B961" s="53"/>
      <c r="C961" s="53"/>
      <c r="D961" s="53"/>
      <c r="E961" s="42"/>
      <c r="F961" s="42"/>
      <c r="G961" s="42"/>
      <c r="H961" s="42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43"/>
      <c r="T961" s="43"/>
      <c r="U961" s="43"/>
      <c r="V961" s="43"/>
      <c r="W961" s="43"/>
      <c r="X961" s="43"/>
      <c r="Y961" s="43"/>
      <c r="Z961" s="43"/>
    </row>
    <row r="962" ht="15.75" customHeight="1">
      <c r="A962" s="53"/>
      <c r="B962" s="53"/>
      <c r="C962" s="53"/>
      <c r="D962" s="53"/>
      <c r="E962" s="42"/>
      <c r="F962" s="42"/>
      <c r="G962" s="42"/>
      <c r="H962" s="42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43"/>
      <c r="T962" s="43"/>
      <c r="U962" s="43"/>
      <c r="V962" s="43"/>
      <c r="W962" s="43"/>
      <c r="X962" s="43"/>
      <c r="Y962" s="43"/>
      <c r="Z962" s="43"/>
    </row>
    <row r="963" ht="15.75" customHeight="1">
      <c r="A963" s="53"/>
      <c r="B963" s="53"/>
      <c r="C963" s="53"/>
      <c r="D963" s="53"/>
      <c r="E963" s="42"/>
      <c r="F963" s="42"/>
      <c r="G963" s="42"/>
      <c r="H963" s="42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43"/>
      <c r="T963" s="43"/>
      <c r="U963" s="43"/>
      <c r="V963" s="43"/>
      <c r="W963" s="43"/>
      <c r="X963" s="43"/>
      <c r="Y963" s="43"/>
      <c r="Z963" s="43"/>
    </row>
    <row r="964" ht="15.75" customHeight="1">
      <c r="A964" s="53"/>
      <c r="B964" s="53"/>
      <c r="C964" s="53"/>
      <c r="D964" s="53"/>
      <c r="E964" s="42"/>
      <c r="F964" s="42"/>
      <c r="G964" s="42"/>
      <c r="H964" s="42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43"/>
      <c r="T964" s="43"/>
      <c r="U964" s="43"/>
      <c r="V964" s="43"/>
      <c r="W964" s="43"/>
      <c r="X964" s="43"/>
      <c r="Y964" s="43"/>
      <c r="Z964" s="43"/>
    </row>
    <row r="965" ht="15.75" customHeight="1">
      <c r="A965" s="53"/>
      <c r="B965" s="53"/>
      <c r="C965" s="53"/>
      <c r="D965" s="53"/>
      <c r="E965" s="42"/>
      <c r="F965" s="42"/>
      <c r="G965" s="42"/>
      <c r="H965" s="42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43"/>
      <c r="T965" s="43"/>
      <c r="U965" s="43"/>
      <c r="V965" s="43"/>
      <c r="W965" s="43"/>
      <c r="X965" s="43"/>
      <c r="Y965" s="43"/>
      <c r="Z965" s="43"/>
    </row>
    <row r="966" ht="15.75" customHeight="1">
      <c r="A966" s="53"/>
      <c r="B966" s="53"/>
      <c r="C966" s="53"/>
      <c r="D966" s="53"/>
      <c r="E966" s="42"/>
      <c r="F966" s="42"/>
      <c r="G966" s="42"/>
      <c r="H966" s="42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43"/>
      <c r="T966" s="43"/>
      <c r="U966" s="43"/>
      <c r="V966" s="43"/>
      <c r="W966" s="43"/>
      <c r="X966" s="43"/>
      <c r="Y966" s="43"/>
      <c r="Z966" s="43"/>
    </row>
    <row r="967" ht="15.75" customHeight="1">
      <c r="A967" s="53"/>
      <c r="B967" s="53"/>
      <c r="C967" s="53"/>
      <c r="D967" s="53"/>
      <c r="E967" s="42"/>
      <c r="F967" s="42"/>
      <c r="G967" s="42"/>
      <c r="H967" s="42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43"/>
      <c r="T967" s="43"/>
      <c r="U967" s="43"/>
      <c r="V967" s="43"/>
      <c r="W967" s="43"/>
      <c r="X967" s="43"/>
      <c r="Y967" s="43"/>
      <c r="Z967" s="43"/>
    </row>
    <row r="968" ht="15.75" customHeight="1">
      <c r="A968" s="53"/>
      <c r="B968" s="53"/>
      <c r="C968" s="53"/>
      <c r="D968" s="53"/>
      <c r="E968" s="42"/>
      <c r="F968" s="42"/>
      <c r="G968" s="42"/>
      <c r="H968" s="42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43"/>
      <c r="T968" s="43"/>
      <c r="U968" s="43"/>
      <c r="V968" s="43"/>
      <c r="W968" s="43"/>
      <c r="X968" s="43"/>
      <c r="Y968" s="43"/>
      <c r="Z968" s="43"/>
    </row>
    <row r="969" ht="15.75" customHeight="1">
      <c r="A969" s="53"/>
      <c r="B969" s="53"/>
      <c r="C969" s="53"/>
      <c r="D969" s="53"/>
      <c r="E969" s="42"/>
      <c r="F969" s="42"/>
      <c r="G969" s="42"/>
      <c r="H969" s="42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43"/>
      <c r="T969" s="43"/>
      <c r="U969" s="43"/>
      <c r="V969" s="43"/>
      <c r="W969" s="43"/>
      <c r="X969" s="43"/>
      <c r="Y969" s="43"/>
      <c r="Z969" s="43"/>
    </row>
    <row r="970" ht="15.75" customHeight="1">
      <c r="A970" s="53"/>
      <c r="B970" s="53"/>
      <c r="C970" s="53"/>
      <c r="D970" s="53"/>
      <c r="E970" s="42"/>
      <c r="F970" s="42"/>
      <c r="G970" s="42"/>
      <c r="H970" s="42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43"/>
      <c r="T970" s="43"/>
      <c r="U970" s="43"/>
      <c r="V970" s="43"/>
      <c r="W970" s="43"/>
      <c r="X970" s="43"/>
      <c r="Y970" s="43"/>
      <c r="Z970" s="43"/>
    </row>
    <row r="971" ht="15.75" customHeight="1">
      <c r="A971" s="53"/>
      <c r="B971" s="53"/>
      <c r="C971" s="53"/>
      <c r="D971" s="53"/>
      <c r="E971" s="42"/>
      <c r="F971" s="42"/>
      <c r="G971" s="42"/>
      <c r="H971" s="42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43"/>
      <c r="T971" s="43"/>
      <c r="U971" s="43"/>
      <c r="V971" s="43"/>
      <c r="W971" s="43"/>
      <c r="X971" s="43"/>
      <c r="Y971" s="43"/>
      <c r="Z971" s="43"/>
    </row>
    <row r="972" ht="15.75" customHeight="1">
      <c r="A972" s="53"/>
      <c r="B972" s="53"/>
      <c r="C972" s="53"/>
      <c r="D972" s="53"/>
      <c r="E972" s="42"/>
      <c r="F972" s="42"/>
      <c r="G972" s="42"/>
      <c r="H972" s="42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43"/>
      <c r="T972" s="43"/>
      <c r="U972" s="43"/>
      <c r="V972" s="43"/>
      <c r="W972" s="43"/>
      <c r="X972" s="43"/>
      <c r="Y972" s="43"/>
      <c r="Z972" s="43"/>
    </row>
    <row r="973" ht="15.75" customHeight="1">
      <c r="A973" s="53"/>
      <c r="B973" s="53"/>
      <c r="C973" s="53"/>
      <c r="D973" s="53"/>
      <c r="E973" s="42"/>
      <c r="F973" s="42"/>
      <c r="G973" s="42"/>
      <c r="H973" s="42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43"/>
      <c r="T973" s="43"/>
      <c r="U973" s="43"/>
      <c r="V973" s="43"/>
      <c r="W973" s="43"/>
      <c r="X973" s="43"/>
      <c r="Y973" s="43"/>
      <c r="Z973" s="43"/>
    </row>
    <row r="974" ht="15.75" customHeight="1">
      <c r="A974" s="53"/>
      <c r="B974" s="53"/>
      <c r="C974" s="53"/>
      <c r="D974" s="53"/>
      <c r="E974" s="42"/>
      <c r="F974" s="42"/>
      <c r="G974" s="42"/>
      <c r="H974" s="42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43"/>
      <c r="T974" s="43"/>
      <c r="U974" s="43"/>
      <c r="V974" s="43"/>
      <c r="W974" s="43"/>
      <c r="X974" s="43"/>
      <c r="Y974" s="43"/>
      <c r="Z974" s="43"/>
    </row>
    <row r="975" ht="15.75" customHeight="1">
      <c r="A975" s="53"/>
      <c r="B975" s="53"/>
      <c r="C975" s="53"/>
      <c r="D975" s="53"/>
      <c r="E975" s="42"/>
      <c r="F975" s="42"/>
      <c r="G975" s="42"/>
      <c r="H975" s="42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43"/>
      <c r="T975" s="43"/>
      <c r="U975" s="43"/>
      <c r="V975" s="43"/>
      <c r="W975" s="43"/>
      <c r="X975" s="43"/>
      <c r="Y975" s="43"/>
      <c r="Z975" s="43"/>
    </row>
    <row r="976" ht="15.75" customHeight="1">
      <c r="A976" s="53"/>
      <c r="B976" s="53"/>
      <c r="C976" s="53"/>
      <c r="D976" s="53"/>
      <c r="E976" s="42"/>
      <c r="F976" s="42"/>
      <c r="G976" s="42"/>
      <c r="H976" s="42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43"/>
      <c r="T976" s="43"/>
      <c r="U976" s="43"/>
      <c r="V976" s="43"/>
      <c r="W976" s="43"/>
      <c r="X976" s="43"/>
      <c r="Y976" s="43"/>
      <c r="Z976" s="43"/>
    </row>
    <row r="977" ht="15.75" customHeight="1">
      <c r="A977" s="53"/>
      <c r="B977" s="53"/>
      <c r="C977" s="53"/>
      <c r="D977" s="53"/>
      <c r="E977" s="42"/>
      <c r="F977" s="42"/>
      <c r="G977" s="42"/>
      <c r="H977" s="42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43"/>
      <c r="T977" s="43"/>
      <c r="U977" s="43"/>
      <c r="V977" s="43"/>
      <c r="W977" s="43"/>
      <c r="X977" s="43"/>
      <c r="Y977" s="43"/>
      <c r="Z977" s="43"/>
    </row>
    <row r="978" ht="15.75" customHeight="1">
      <c r="A978" s="53"/>
      <c r="B978" s="53"/>
      <c r="C978" s="53"/>
      <c r="D978" s="53"/>
      <c r="E978" s="42"/>
      <c r="F978" s="42"/>
      <c r="G978" s="42"/>
      <c r="H978" s="42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43"/>
      <c r="T978" s="43"/>
      <c r="U978" s="43"/>
      <c r="V978" s="43"/>
      <c r="W978" s="43"/>
      <c r="X978" s="43"/>
      <c r="Y978" s="43"/>
      <c r="Z978" s="43"/>
    </row>
    <row r="979" ht="15.75" customHeight="1">
      <c r="A979" s="53"/>
      <c r="B979" s="53"/>
      <c r="C979" s="53"/>
      <c r="D979" s="53"/>
      <c r="E979" s="42"/>
      <c r="F979" s="42"/>
      <c r="G979" s="42"/>
      <c r="H979" s="42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43"/>
      <c r="T979" s="43"/>
      <c r="U979" s="43"/>
      <c r="V979" s="43"/>
      <c r="W979" s="43"/>
      <c r="X979" s="43"/>
      <c r="Y979" s="43"/>
      <c r="Z979" s="43"/>
    </row>
    <row r="980" ht="15.75" customHeight="1">
      <c r="A980" s="53"/>
      <c r="B980" s="53"/>
      <c r="C980" s="53"/>
      <c r="D980" s="53"/>
      <c r="E980" s="42"/>
      <c r="F980" s="42"/>
      <c r="G980" s="42"/>
      <c r="H980" s="42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43"/>
      <c r="T980" s="43"/>
      <c r="U980" s="43"/>
      <c r="V980" s="43"/>
      <c r="W980" s="43"/>
      <c r="X980" s="43"/>
      <c r="Y980" s="43"/>
      <c r="Z980" s="43"/>
    </row>
    <row r="981" ht="15.75" customHeight="1">
      <c r="A981" s="53"/>
      <c r="B981" s="53"/>
      <c r="C981" s="53"/>
      <c r="D981" s="53"/>
      <c r="E981" s="42"/>
      <c r="F981" s="42"/>
      <c r="G981" s="42"/>
      <c r="H981" s="42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43"/>
      <c r="T981" s="43"/>
      <c r="U981" s="43"/>
      <c r="V981" s="43"/>
      <c r="W981" s="43"/>
      <c r="X981" s="43"/>
      <c r="Y981" s="43"/>
      <c r="Z981" s="43"/>
    </row>
    <row r="982" ht="15.75" customHeight="1">
      <c r="A982" s="53"/>
      <c r="B982" s="53"/>
      <c r="C982" s="53"/>
      <c r="D982" s="53"/>
      <c r="E982" s="42"/>
      <c r="F982" s="42"/>
      <c r="G982" s="42"/>
      <c r="H982" s="42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43"/>
      <c r="T982" s="43"/>
      <c r="U982" s="43"/>
      <c r="V982" s="43"/>
      <c r="W982" s="43"/>
      <c r="X982" s="43"/>
      <c r="Y982" s="43"/>
      <c r="Z982" s="43"/>
    </row>
    <row r="983" ht="15.75" customHeight="1">
      <c r="A983" s="53"/>
      <c r="B983" s="53"/>
      <c r="C983" s="53"/>
      <c r="D983" s="53"/>
      <c r="E983" s="42"/>
      <c r="F983" s="42"/>
      <c r="G983" s="42"/>
      <c r="H983" s="42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43"/>
      <c r="T983" s="43"/>
      <c r="U983" s="43"/>
      <c r="V983" s="43"/>
      <c r="W983" s="43"/>
      <c r="X983" s="43"/>
      <c r="Y983" s="43"/>
      <c r="Z983" s="43"/>
    </row>
    <row r="984" ht="15.75" customHeight="1">
      <c r="A984" s="53"/>
      <c r="B984" s="53"/>
      <c r="C984" s="53"/>
      <c r="D984" s="53"/>
      <c r="E984" s="42"/>
      <c r="F984" s="42"/>
      <c r="G984" s="42"/>
      <c r="H984" s="42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43"/>
      <c r="T984" s="43"/>
      <c r="U984" s="43"/>
      <c r="V984" s="43"/>
      <c r="W984" s="43"/>
      <c r="X984" s="43"/>
      <c r="Y984" s="43"/>
      <c r="Z984" s="43"/>
    </row>
    <row r="985" ht="15.75" customHeight="1">
      <c r="A985" s="53"/>
      <c r="B985" s="53"/>
      <c r="C985" s="53"/>
      <c r="D985" s="53"/>
      <c r="E985" s="42"/>
      <c r="F985" s="42"/>
      <c r="G985" s="42"/>
      <c r="H985" s="42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43"/>
      <c r="T985" s="43"/>
      <c r="U985" s="43"/>
      <c r="V985" s="43"/>
      <c r="W985" s="43"/>
      <c r="X985" s="43"/>
      <c r="Y985" s="43"/>
      <c r="Z985" s="43"/>
    </row>
    <row r="986" ht="15.75" customHeight="1">
      <c r="A986" s="53"/>
      <c r="B986" s="53"/>
      <c r="C986" s="53"/>
      <c r="D986" s="53"/>
      <c r="E986" s="42"/>
      <c r="F986" s="42"/>
      <c r="G986" s="42"/>
      <c r="H986" s="42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43"/>
      <c r="T986" s="43"/>
      <c r="U986" s="43"/>
      <c r="V986" s="43"/>
      <c r="W986" s="43"/>
      <c r="X986" s="43"/>
      <c r="Y986" s="43"/>
      <c r="Z986" s="43"/>
    </row>
    <row r="987" ht="15.75" customHeight="1">
      <c r="A987" s="53"/>
      <c r="B987" s="53"/>
      <c r="C987" s="53"/>
      <c r="D987" s="53"/>
      <c r="E987" s="42"/>
      <c r="F987" s="42"/>
      <c r="G987" s="42"/>
      <c r="H987" s="42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43"/>
      <c r="T987" s="43"/>
      <c r="U987" s="43"/>
      <c r="V987" s="43"/>
      <c r="W987" s="43"/>
      <c r="X987" s="43"/>
      <c r="Y987" s="43"/>
      <c r="Z987" s="43"/>
    </row>
    <row r="988" ht="15.75" customHeight="1">
      <c r="A988" s="53"/>
      <c r="B988" s="53"/>
      <c r="C988" s="53"/>
      <c r="D988" s="53"/>
      <c r="E988" s="42"/>
      <c r="F988" s="42"/>
      <c r="G988" s="42"/>
      <c r="H988" s="42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43"/>
      <c r="T988" s="43"/>
      <c r="U988" s="43"/>
      <c r="V988" s="43"/>
      <c r="W988" s="43"/>
      <c r="X988" s="43"/>
      <c r="Y988" s="43"/>
      <c r="Z988" s="43"/>
    </row>
    <row r="989" ht="15.75" customHeight="1">
      <c r="A989" s="53"/>
      <c r="B989" s="53"/>
      <c r="C989" s="53"/>
      <c r="D989" s="53"/>
      <c r="E989" s="42"/>
      <c r="F989" s="42"/>
      <c r="G989" s="42"/>
      <c r="H989" s="42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43"/>
      <c r="T989" s="43"/>
      <c r="U989" s="43"/>
      <c r="V989" s="43"/>
      <c r="W989" s="43"/>
      <c r="X989" s="43"/>
      <c r="Y989" s="43"/>
      <c r="Z989" s="43"/>
    </row>
    <row r="990" ht="15.75" customHeight="1">
      <c r="A990" s="53"/>
      <c r="B990" s="53"/>
      <c r="C990" s="53"/>
      <c r="D990" s="53"/>
      <c r="E990" s="42"/>
      <c r="F990" s="42"/>
      <c r="G990" s="42"/>
      <c r="H990" s="42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43"/>
      <c r="T990" s="43"/>
      <c r="U990" s="43"/>
      <c r="V990" s="43"/>
      <c r="W990" s="43"/>
      <c r="X990" s="43"/>
      <c r="Y990" s="43"/>
      <c r="Z990" s="43"/>
    </row>
    <row r="991" ht="15.75" customHeight="1">
      <c r="A991" s="53"/>
      <c r="B991" s="53"/>
      <c r="C991" s="53"/>
      <c r="D991" s="53"/>
      <c r="E991" s="42"/>
      <c r="F991" s="42"/>
      <c r="G991" s="42"/>
      <c r="H991" s="42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43"/>
      <c r="T991" s="43"/>
      <c r="U991" s="43"/>
      <c r="V991" s="43"/>
      <c r="W991" s="43"/>
      <c r="X991" s="43"/>
      <c r="Y991" s="43"/>
      <c r="Z991" s="43"/>
    </row>
    <row r="992" ht="15.75" customHeight="1">
      <c r="A992" s="53"/>
      <c r="B992" s="53"/>
      <c r="C992" s="53"/>
      <c r="D992" s="53"/>
      <c r="E992" s="42"/>
      <c r="F992" s="42"/>
      <c r="G992" s="42"/>
      <c r="H992" s="42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43"/>
      <c r="T992" s="43"/>
      <c r="U992" s="43"/>
      <c r="V992" s="43"/>
      <c r="W992" s="43"/>
      <c r="X992" s="43"/>
      <c r="Y992" s="43"/>
      <c r="Z992" s="43"/>
    </row>
    <row r="993" ht="15.75" customHeight="1">
      <c r="A993" s="53"/>
      <c r="B993" s="53"/>
      <c r="C993" s="53"/>
      <c r="D993" s="53"/>
      <c r="E993" s="42"/>
      <c r="F993" s="42"/>
      <c r="G993" s="42"/>
      <c r="H993" s="42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43"/>
      <c r="T993" s="43"/>
      <c r="U993" s="43"/>
      <c r="V993" s="43"/>
      <c r="W993" s="43"/>
      <c r="X993" s="43"/>
      <c r="Y993" s="43"/>
      <c r="Z993" s="43"/>
    </row>
    <row r="994" ht="15.75" customHeight="1">
      <c r="A994" s="53"/>
      <c r="B994" s="53"/>
      <c r="C994" s="53"/>
      <c r="D994" s="53"/>
      <c r="E994" s="42"/>
      <c r="F994" s="42"/>
      <c r="G994" s="42"/>
      <c r="H994" s="42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43"/>
      <c r="T994" s="43"/>
      <c r="U994" s="43"/>
      <c r="V994" s="43"/>
      <c r="W994" s="43"/>
      <c r="X994" s="43"/>
      <c r="Y994" s="43"/>
      <c r="Z994" s="43"/>
    </row>
    <row r="995" ht="15.75" customHeight="1">
      <c r="A995" s="53"/>
      <c r="B995" s="53"/>
      <c r="C995" s="53"/>
      <c r="D995" s="53"/>
      <c r="E995" s="42"/>
      <c r="F995" s="42"/>
      <c r="G995" s="42"/>
      <c r="H995" s="42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43"/>
      <c r="T995" s="43"/>
      <c r="U995" s="43"/>
      <c r="V995" s="43"/>
      <c r="W995" s="43"/>
      <c r="X995" s="43"/>
      <c r="Y995" s="43"/>
      <c r="Z995" s="43"/>
    </row>
    <row r="996" ht="15.75" customHeight="1">
      <c r="A996" s="53"/>
      <c r="B996" s="53"/>
      <c r="C996" s="53"/>
      <c r="D996" s="53"/>
      <c r="E996" s="42"/>
      <c r="F996" s="42"/>
      <c r="G996" s="42"/>
      <c r="H996" s="42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43"/>
      <c r="T996" s="43"/>
      <c r="U996" s="43"/>
      <c r="V996" s="43"/>
      <c r="W996" s="43"/>
      <c r="X996" s="43"/>
      <c r="Y996" s="43"/>
      <c r="Z996" s="43"/>
    </row>
    <row r="997" ht="15.75" customHeight="1">
      <c r="A997" s="53"/>
      <c r="B997" s="53"/>
      <c r="C997" s="53"/>
      <c r="D997" s="53"/>
      <c r="E997" s="42"/>
      <c r="F997" s="42"/>
      <c r="G997" s="42"/>
      <c r="H997" s="42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43"/>
      <c r="T997" s="43"/>
      <c r="U997" s="43"/>
      <c r="V997" s="43"/>
      <c r="W997" s="43"/>
      <c r="X997" s="43"/>
      <c r="Y997" s="43"/>
      <c r="Z997" s="43"/>
    </row>
    <row r="998" ht="15.75" customHeight="1">
      <c r="A998" s="53"/>
      <c r="B998" s="53"/>
      <c r="C998" s="53"/>
      <c r="D998" s="53"/>
      <c r="E998" s="42"/>
      <c r="F998" s="42"/>
      <c r="G998" s="42"/>
      <c r="H998" s="42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43"/>
      <c r="T998" s="43"/>
      <c r="U998" s="43"/>
      <c r="V998" s="43"/>
      <c r="W998" s="43"/>
      <c r="X998" s="43"/>
      <c r="Y998" s="43"/>
      <c r="Z998" s="43"/>
    </row>
    <row r="999" ht="15.75" customHeight="1">
      <c r="A999" s="53"/>
      <c r="B999" s="53"/>
      <c r="C999" s="53"/>
      <c r="D999" s="53"/>
      <c r="E999" s="42"/>
      <c r="F999" s="42"/>
      <c r="G999" s="42"/>
      <c r="H999" s="42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43"/>
      <c r="T999" s="43"/>
      <c r="U999" s="43"/>
      <c r="V999" s="43"/>
      <c r="W999" s="43"/>
      <c r="X999" s="43"/>
      <c r="Y999" s="43"/>
      <c r="Z999" s="43"/>
    </row>
    <row r="1000" ht="15.75" customHeight="1">
      <c r="A1000" s="53"/>
      <c r="B1000" s="53"/>
      <c r="C1000" s="53"/>
      <c r="D1000" s="53"/>
      <c r="E1000" s="42"/>
      <c r="F1000" s="42"/>
      <c r="G1000" s="42"/>
      <c r="H1000" s="42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43"/>
      <c r="T1000" s="43"/>
      <c r="U1000" s="43"/>
      <c r="V1000" s="43"/>
      <c r="W1000" s="43"/>
      <c r="X1000" s="43"/>
      <c r="Y1000" s="43"/>
      <c r="Z1000" s="43"/>
    </row>
  </sheetData>
  <mergeCells count="1">
    <mergeCell ref="A2:F2"/>
  </mergeCells>
  <printOptions/>
  <pageMargins bottom="0.75" footer="0.0" header="0.0" left="0.7" right="0.7" top="0.75"/>
  <pageSetup orientation="landscape"/>
  <headerFooter>
    <oddFooter>&amp;L&amp;D 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2002-07-25T02:08:18Z</dcterms:created>
  <dc:creator>hhandri</dc:creator>
</cp:coreProperties>
</file>