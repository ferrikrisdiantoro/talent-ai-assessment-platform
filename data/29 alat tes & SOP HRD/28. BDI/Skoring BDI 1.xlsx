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6665" windowHeight="7065" activeTab="1"/>
  </bookViews>
  <sheets>
    <sheet name="Soal" sheetId="1" r:id="rId1"/>
    <sheet name="Skoring" sheetId="2" r:id="rId2"/>
  </sheets>
  <definedNames>
    <definedName name="_xlnm.Print_Area" localSheetId="1">Skoring!$A$1:$AE$26</definedName>
    <definedName name="_xlnm.Print_Area" localSheetId="0">Soal!$A$1:$P$116</definedName>
  </definedNames>
  <calcPr calcId="145621"/>
</workbook>
</file>

<file path=xl/calcChain.xml><?xml version="1.0" encoding="utf-8"?>
<calcChain xmlns="http://schemas.openxmlformats.org/spreadsheetml/2006/main">
  <c r="R114" i="1" l="1"/>
  <c r="R113" i="1"/>
  <c r="R112" i="1"/>
  <c r="R111" i="1"/>
  <c r="R109" i="1"/>
  <c r="R108" i="1"/>
  <c r="R107" i="1"/>
  <c r="R106" i="1"/>
  <c r="R104" i="1"/>
  <c r="R103" i="1"/>
  <c r="R102" i="1"/>
  <c r="R101" i="1"/>
  <c r="R99" i="1"/>
  <c r="R98" i="1"/>
  <c r="R97" i="1"/>
  <c r="R96" i="1"/>
  <c r="R94" i="1"/>
  <c r="R93" i="1"/>
  <c r="R92" i="1"/>
  <c r="R91" i="1"/>
  <c r="R89" i="1"/>
  <c r="R88" i="1"/>
  <c r="R87" i="1"/>
  <c r="R86" i="1"/>
  <c r="R84" i="1"/>
  <c r="R83" i="1"/>
  <c r="R82" i="1"/>
  <c r="R81" i="1"/>
  <c r="R79" i="1"/>
  <c r="R78" i="1"/>
  <c r="R77" i="1"/>
  <c r="R76" i="1"/>
  <c r="R74" i="1"/>
  <c r="R73" i="1"/>
  <c r="R72" i="1"/>
  <c r="R71" i="1"/>
  <c r="R69" i="1"/>
  <c r="R68" i="1"/>
  <c r="R67" i="1"/>
  <c r="R66" i="1"/>
  <c r="R64" i="1"/>
  <c r="R63" i="1"/>
  <c r="R62" i="1"/>
  <c r="R61" i="1"/>
  <c r="R59" i="1"/>
  <c r="R58" i="1"/>
  <c r="R57" i="1"/>
  <c r="R56" i="1"/>
  <c r="R54" i="1"/>
  <c r="R53" i="1"/>
  <c r="R52" i="1"/>
  <c r="R51" i="1"/>
  <c r="R49" i="1"/>
  <c r="R48" i="1"/>
  <c r="R47" i="1"/>
  <c r="R46" i="1"/>
  <c r="R44" i="1"/>
  <c r="R43" i="1"/>
  <c r="R42" i="1"/>
  <c r="R41" i="1"/>
  <c r="R39" i="1"/>
  <c r="R38" i="1"/>
  <c r="R37" i="1"/>
  <c r="R36" i="1"/>
  <c r="R34" i="1"/>
  <c r="R33" i="1"/>
  <c r="R32" i="1"/>
  <c r="R31" i="1"/>
  <c r="R29" i="1"/>
  <c r="R28" i="1"/>
  <c r="R27" i="1"/>
  <c r="R26" i="1"/>
  <c r="R24" i="1"/>
  <c r="R23" i="1"/>
  <c r="R22" i="1"/>
  <c r="R21" i="1"/>
  <c r="R19" i="1"/>
  <c r="R18" i="1"/>
  <c r="R17" i="1"/>
  <c r="R16" i="1"/>
  <c r="R14" i="1"/>
  <c r="R13" i="1"/>
  <c r="R12" i="1"/>
  <c r="R11" i="1"/>
  <c r="R116" i="1" l="1"/>
  <c r="C116" i="1" s="1"/>
  <c r="O16" i="2"/>
  <c r="T114" i="1"/>
  <c r="C24" i="2" s="1"/>
  <c r="T113" i="1"/>
  <c r="C23" i="2" s="1"/>
  <c r="T112" i="1"/>
  <c r="C22" i="2" s="1"/>
  <c r="T111" i="1"/>
  <c r="C21" i="2" s="1"/>
  <c r="T109" i="1"/>
  <c r="AD18" i="2" s="1"/>
  <c r="T108" i="1"/>
  <c r="AD17" i="2" s="1"/>
  <c r="T107" i="1"/>
  <c r="AD16" i="2" s="1"/>
  <c r="T106" i="1"/>
  <c r="AD15" i="2" s="1"/>
  <c r="T104" i="1"/>
  <c r="AA18" i="2" s="1"/>
  <c r="T103" i="1"/>
  <c r="AA17" i="2" s="1"/>
  <c r="T102" i="1"/>
  <c r="AA16" i="2" s="1"/>
  <c r="T101" i="1"/>
  <c r="AA15" i="2" s="1"/>
  <c r="T99" i="1"/>
  <c r="X18" i="2" s="1"/>
  <c r="T98" i="1"/>
  <c r="X17" i="2" s="1"/>
  <c r="T97" i="1"/>
  <c r="X16" i="2" s="1"/>
  <c r="T96" i="1"/>
  <c r="X15" i="2" s="1"/>
  <c r="T94" i="1"/>
  <c r="U18" i="2" s="1"/>
  <c r="T93" i="1"/>
  <c r="U17" i="2" s="1"/>
  <c r="T92" i="1"/>
  <c r="U16" i="2" s="1"/>
  <c r="T91" i="1"/>
  <c r="U15" i="2" s="1"/>
  <c r="T89" i="1"/>
  <c r="R18" i="2" s="1"/>
  <c r="T88" i="1"/>
  <c r="R17" i="2" s="1"/>
  <c r="T87" i="1"/>
  <c r="R16" i="2" s="1"/>
  <c r="T86" i="1"/>
  <c r="R15" i="2" s="1"/>
  <c r="T84" i="1"/>
  <c r="O18" i="2" s="1"/>
  <c r="T83" i="1"/>
  <c r="O17" i="2" s="1"/>
  <c r="T82" i="1"/>
  <c r="T81" i="1"/>
  <c r="O15" i="2" s="1"/>
  <c r="T79" i="1"/>
  <c r="L18" i="2" s="1"/>
  <c r="T78" i="1"/>
  <c r="L17" i="2" s="1"/>
  <c r="T77" i="1"/>
  <c r="L16" i="2" s="1"/>
  <c r="T76" i="1"/>
  <c r="L15" i="2" s="1"/>
  <c r="T74" i="1"/>
  <c r="I18" i="2" s="1"/>
  <c r="T73" i="1"/>
  <c r="I17" i="2" s="1"/>
  <c r="T72" i="1"/>
  <c r="I16" i="2" s="1"/>
  <c r="T71" i="1"/>
  <c r="I15" i="2" s="1"/>
  <c r="T69" i="1"/>
  <c r="F18" i="2" s="1"/>
  <c r="T68" i="1"/>
  <c r="F17" i="2" s="1"/>
  <c r="T67" i="1"/>
  <c r="F16" i="2" s="1"/>
  <c r="T66" i="1"/>
  <c r="F15" i="2" s="1"/>
  <c r="T64" i="1"/>
  <c r="C18" i="2" s="1"/>
  <c r="T63" i="1"/>
  <c r="C17" i="2" s="1"/>
  <c r="T62" i="1"/>
  <c r="C16" i="2" s="1"/>
  <c r="T61" i="1"/>
  <c r="C15" i="2" s="1"/>
  <c r="T59" i="1"/>
  <c r="AD12" i="2" s="1"/>
  <c r="T58" i="1"/>
  <c r="AD11" i="2" s="1"/>
  <c r="T57" i="1"/>
  <c r="AD10" i="2" s="1"/>
  <c r="T56" i="1"/>
  <c r="AD9" i="2" s="1"/>
  <c r="T54" i="1"/>
  <c r="AA12" i="2" s="1"/>
  <c r="T53" i="1"/>
  <c r="AA11" i="2" s="1"/>
  <c r="T52" i="1"/>
  <c r="AA10" i="2" s="1"/>
  <c r="T51" i="1"/>
  <c r="AA9" i="2" s="1"/>
  <c r="T49" i="1"/>
  <c r="X12" i="2" s="1"/>
  <c r="T48" i="1"/>
  <c r="X11" i="2" s="1"/>
  <c r="T47" i="1"/>
  <c r="X10" i="2" s="1"/>
  <c r="T46" i="1"/>
  <c r="X9" i="2" s="1"/>
  <c r="T44" i="1"/>
  <c r="U12" i="2" s="1"/>
  <c r="T43" i="1"/>
  <c r="U11" i="2" s="1"/>
  <c r="T42" i="1"/>
  <c r="U10" i="2" s="1"/>
  <c r="T41" i="1"/>
  <c r="U9" i="2" s="1"/>
  <c r="T39" i="1"/>
  <c r="R12" i="2" s="1"/>
  <c r="T38" i="1"/>
  <c r="R11" i="2" s="1"/>
  <c r="T37" i="1"/>
  <c r="R10" i="2" s="1"/>
  <c r="T36" i="1"/>
  <c r="R9" i="2" s="1"/>
  <c r="T34" i="1"/>
  <c r="O12" i="2" s="1"/>
  <c r="T33" i="1"/>
  <c r="O11" i="2" s="1"/>
  <c r="T32" i="1"/>
  <c r="O10" i="2" s="1"/>
  <c r="T31" i="1"/>
  <c r="O9" i="2" s="1"/>
  <c r="T29" i="1"/>
  <c r="L12" i="2" s="1"/>
  <c r="T28" i="1"/>
  <c r="L11" i="2" s="1"/>
  <c r="T27" i="1"/>
  <c r="L10" i="2" s="1"/>
  <c r="T26" i="1"/>
  <c r="L9" i="2" s="1"/>
  <c r="T24" i="1"/>
  <c r="I12" i="2" s="1"/>
  <c r="T23" i="1"/>
  <c r="I11" i="2" s="1"/>
  <c r="T22" i="1"/>
  <c r="I10" i="2" s="1"/>
  <c r="T21" i="1"/>
  <c r="I9" i="2" s="1"/>
  <c r="T19" i="1"/>
  <c r="F12" i="2" s="1"/>
  <c r="T18" i="1"/>
  <c r="F11" i="2" s="1"/>
  <c r="T17" i="1"/>
  <c r="F10" i="2" s="1"/>
  <c r="T16" i="1"/>
  <c r="F9" i="2" s="1"/>
  <c r="T14" i="1"/>
  <c r="C12" i="2" s="1"/>
  <c r="T13" i="1"/>
  <c r="C11" i="2" s="1"/>
  <c r="T12" i="1"/>
  <c r="C10" i="2" s="1"/>
  <c r="T11" i="1"/>
  <c r="C9" i="2" s="1"/>
  <c r="G22" i="2" l="1"/>
  <c r="F25" i="2"/>
  <c r="G25" i="2"/>
  <c r="G24" i="2"/>
  <c r="G23" i="2"/>
  <c r="G21" i="2"/>
  <c r="F24" i="2"/>
  <c r="F23" i="2"/>
  <c r="F22" i="2"/>
  <c r="F21" i="2"/>
  <c r="T116" i="1"/>
  <c r="E9" i="2"/>
  <c r="H9" i="2" s="1"/>
  <c r="K9" i="2" s="1"/>
  <c r="N9" i="2" s="1"/>
  <c r="Q9" i="2" s="1"/>
  <c r="T9" i="2" s="1"/>
  <c r="W9" i="2" s="1"/>
  <c r="Z9" i="2" s="1"/>
  <c r="AC9" i="2" s="1"/>
  <c r="B15" i="2" s="1"/>
  <c r="E15" i="2" s="1"/>
  <c r="H15" i="2" s="1"/>
  <c r="K15" i="2" s="1"/>
  <c r="N15" i="2" s="1"/>
  <c r="Q15" i="2" s="1"/>
  <c r="T15" i="2" s="1"/>
  <c r="W15" i="2" s="1"/>
  <c r="Z15" i="2" s="1"/>
  <c r="AC15" i="2" s="1"/>
  <c r="B21" i="2" s="1"/>
  <c r="F7" i="2"/>
  <c r="F6" i="2"/>
  <c r="F5" i="2"/>
  <c r="F4" i="2"/>
  <c r="F3" i="2"/>
  <c r="E7" i="2"/>
  <c r="E6" i="2"/>
  <c r="E5" i="2"/>
  <c r="E4" i="2"/>
  <c r="E3" i="2"/>
  <c r="K1" i="2"/>
  <c r="A7" i="2"/>
  <c r="A6" i="2"/>
  <c r="A5" i="2"/>
  <c r="A4" i="2"/>
  <c r="A3" i="2"/>
  <c r="A1" i="2"/>
  <c r="B21" i="1"/>
  <c r="B26" i="1" s="1"/>
  <c r="B31" i="1" s="1"/>
  <c r="B36" i="1" s="1"/>
  <c r="B41" i="1" s="1"/>
  <c r="B46" i="1" s="1"/>
  <c r="B51" i="1" s="1"/>
  <c r="B56" i="1" s="1"/>
  <c r="B61" i="1" s="1"/>
  <c r="B66" i="1" s="1"/>
  <c r="B71" i="1" s="1"/>
  <c r="B76" i="1" s="1"/>
  <c r="B81" i="1" s="1"/>
  <c r="B86" i="1" s="1"/>
  <c r="B91" i="1" s="1"/>
  <c r="B96" i="1" s="1"/>
  <c r="B101" i="1" s="1"/>
  <c r="B106" i="1" s="1"/>
  <c r="B111" i="1" s="1"/>
  <c r="B16" i="1"/>
  <c r="J21" i="2" l="1"/>
  <c r="L22" i="2" s="1"/>
</calcChain>
</file>

<file path=xl/sharedStrings.xml><?xml version="1.0" encoding="utf-8"?>
<sst xmlns="http://schemas.openxmlformats.org/spreadsheetml/2006/main" count="98" uniqueCount="94">
  <si>
    <t>BDI (The Beck Depression Inventory) Test</t>
  </si>
  <si>
    <t>“RAHASIA”</t>
  </si>
  <si>
    <t>NAMA</t>
  </si>
  <si>
    <t>JENIS KELAMIN</t>
  </si>
  <si>
    <t>USIA</t>
  </si>
  <si>
    <t>PENDIDIKAN</t>
  </si>
  <si>
    <t>PEKERJAAN</t>
  </si>
  <si>
    <t>:</t>
  </si>
  <si>
    <t>Saya merasa bersalah sepanjang waktu</t>
  </si>
  <si>
    <t>Saya begitu sedih sehingga saya merasa tidak tahan lagi</t>
  </si>
  <si>
    <t>Saya sama sekali kehilangan minat terhadap seks</t>
  </si>
  <si>
    <t>Pilihlah salah satu penyataan yang anda anggap sesuai dengan diri anda saat ini, dengan memberi tanda silang (x) pada huruf di depan penyataan yang anda pilih :</t>
  </si>
  <si>
    <t>Saya tidak merasa sedih</t>
  </si>
  <si>
    <t>Saya merasa sedih</t>
  </si>
  <si>
    <t>Saya merasa sedih sepanjang waktu dan saya tidak dapat menghilangkannya</t>
  </si>
  <si>
    <t>Saya tidak merasa berkecil hati terhadap masa depan</t>
  </si>
  <si>
    <t>Saya merasa berkecil hati terhadap masa depan</t>
  </si>
  <si>
    <t>Saya merasa tidak ada sesuatu yang saya nantikan</t>
  </si>
  <si>
    <t>Saya merasa bahwa tidak ada harapan di masa depan dan segala sesuatunya tidak dapat diperbaiki</t>
  </si>
  <si>
    <t>Saya tidak merasa gagal</t>
  </si>
  <si>
    <t>Saya merasa lebih banyak mengalami kegagalan daripada rata – rata orang</t>
  </si>
  <si>
    <t>Kalau saya meninjau kembali hidup saya, yang dapat saya lihat hanyalah banyak kegagalan</t>
  </si>
  <si>
    <t>Saya merasa sebagai seorang pribadi yang gagal total</t>
  </si>
  <si>
    <t>Saya memperoleh kepuasan atas segala sesuatu seperti biasanya</t>
  </si>
  <si>
    <t>Saya tidak dapat menikmati segala sesuatu seperti biasanya</t>
  </si>
  <si>
    <t>Saya tidak lagi memperoleh kepuasan yang nyata dari segala sesuatu</t>
  </si>
  <si>
    <t>Saya merasa tidak puas atau bosan terhadap apa saja</t>
  </si>
  <si>
    <t>Saya tidak merasa bersalah</t>
  </si>
  <si>
    <t>Saya cukup sering merasa bersalah</t>
  </si>
  <si>
    <t>Saya sering merasa sangat bersalah</t>
  </si>
  <si>
    <t>Saya tidak merasa bahwa saya sedang dihukum</t>
  </si>
  <si>
    <t>Saya merasa bahwa saya mungkin dihukum</t>
  </si>
  <si>
    <t>Saya mengharapkan agar dihukum</t>
  </si>
  <si>
    <t>Saya merasa bahwa saya sedang dihukum</t>
  </si>
  <si>
    <t>Saya tidak merasa kecewa terhadap diri saya sendiri</t>
  </si>
  <si>
    <t>Saya merasa kecewa terhadap diri saya sendiri</t>
  </si>
  <si>
    <t>Saya merasa jijik terhadap diri saya sendiri</t>
  </si>
  <si>
    <t>Saya membenci diri saya sendiri</t>
  </si>
  <si>
    <t>Saya tidak merasa bahwa saya lebih buruk daripada orang lain</t>
  </si>
  <si>
    <t>Saya selalu mencela diri saya sendiri karena kelemahan atau kekeliruan saya</t>
  </si>
  <si>
    <t>Saya menyalahkan diri saya sendiri sepanjang waktu atas kesalahan – kesalahan saya</t>
  </si>
  <si>
    <t>Saya menyalahkan diri saya sendiri atas semua hal buruk yang terjadi</t>
  </si>
  <si>
    <t>Sekarang saya sangat kurang berminat terhadap seks</t>
  </si>
  <si>
    <t>Saya kurang berminat terhadap seks kalau dibandingkan dengan biasanya</t>
  </si>
  <si>
    <t>Saya tidak merasa ada perubahan dalam minat saya terhadap seks pada  akhir – akhir ini</t>
  </si>
  <si>
    <t>Saya begitu cemas akan kesehatan fisik saya sehingga saya tidak dapat berpikir mengenai hal – hal lainnya</t>
  </si>
  <si>
    <t>Saya tidak mempunyai pikiran untuk bunuh diri</t>
  </si>
  <si>
    <t>Saya mempunyai pikiran – pikiran untuk bunuh diri, tetapi saya tidak akan melaksanakannya</t>
  </si>
  <si>
    <t>Saya ingin bunuh diri</t>
  </si>
  <si>
    <t>Saya akan bunuh diri kalau ada kesempatan</t>
  </si>
  <si>
    <t>Saya tidak menangis lebih dari biasanya</t>
  </si>
  <si>
    <t>Sekarang saya lebih banyak menangis daripada biasanya</t>
  </si>
  <si>
    <t>Sekarang saya menangis sepanjang waktu</t>
  </si>
  <si>
    <t>Saya biasanya dapat menangis, tetapi sekarang saya tidak dapat menangis meskipun saya ingin menangis</t>
  </si>
  <si>
    <t>Sekarang saya tidak merasa lebih jengkel daripada sebelumnya</t>
  </si>
  <si>
    <t>Saya lebih mudah jengkel atau marah daripada biasanya</t>
  </si>
  <si>
    <t>Saya sekarang merasa jengkel sepanjang waktu</t>
  </si>
  <si>
    <t>Saya tidak dibuat jengkel oleh hal – hal yang biasanya menjengkelkan saya</t>
  </si>
  <si>
    <t>Saya masih tetap senang bergaul dengan orang lain</t>
  </si>
  <si>
    <t>Saya kurang berminat pada orang lain dibandingkan dengan biasanya</t>
  </si>
  <si>
    <t>Saya tak kehilangan sebagian besar minat saya terhadap orang lain</t>
  </si>
  <si>
    <t>Saya telah kehilangan seluruh minat saya terhadap orang lain</t>
  </si>
  <si>
    <t>Saya mengambil keputusan – keputusan sama baiknya dengan sebelumnya</t>
  </si>
  <si>
    <t>Saya lebih banyak menunda keputusan daripada biasanya</t>
  </si>
  <si>
    <t>Saya mempunyai kesulitan yang lebih besar dalam mengambil keputusan daripada sebelumnya</t>
  </si>
  <si>
    <t>Saya sama sekali tidak dapat mengambil keputusan apa pun</t>
  </si>
  <si>
    <t>Saya tidak merasa bahwa saya kelihatan lebih jelek daripada sebelumnya</t>
  </si>
  <si>
    <t>Saya merasa cemas jangan – jangan saya tua atau tidak menarik</t>
  </si>
  <si>
    <t>Saya merasa bahwa ada perubahan – perubahan tetap pada penampilan saya yang membuat saya kelihatan tidak menarik</t>
  </si>
  <si>
    <t>Saya yakin bahwa saya kelihatan jelek</t>
  </si>
  <si>
    <t>Saya dapat bekerja dengan baik seperti sebelumnya</t>
  </si>
  <si>
    <t>Saya membutuhkan usaha istimewa untuk mulai mengerjakan sesuatu</t>
  </si>
  <si>
    <t>Saya harus memaksa diri saya untuk mengerjakan sesuatu</t>
  </si>
  <si>
    <t>Saya sama sekali tidak dapat mengerjakan apa – apa</t>
  </si>
  <si>
    <t>Saya dapat tidur nyenyak seperti biasanya</t>
  </si>
  <si>
    <t>Saya tidak dapat tidur nyenyak seperti biasanya</t>
  </si>
  <si>
    <t>Saya bangun 2-3 jam lebih awal dari biasanya dan sukar tidur kembali</t>
  </si>
  <si>
    <t>Saya bangun beberapa jam lebih awal daripada biasanya dan tidak dapat tidur kembali</t>
  </si>
  <si>
    <t>Saya tidak lebih lelah dari biasanya</t>
  </si>
  <si>
    <t>Saya lebih mudah lelah dari biasanya</t>
  </si>
  <si>
    <t>Saya hampir selalu merasa lelah dalam mengerjakan segala sesuatu</t>
  </si>
  <si>
    <t>Saya merasa terlalu lelah untuk mengerjakan apa saja</t>
  </si>
  <si>
    <t>Nafsu makan saya masih seperti biasanya</t>
  </si>
  <si>
    <t>Nafsu makan saya tidak sebesar biasanya</t>
  </si>
  <si>
    <t>Sekarang nafsu makan saya jauh lebih berkurang</t>
  </si>
  <si>
    <t>Saya tidak mempunyai nafsu makan sama sekali</t>
  </si>
  <si>
    <t>Saya tidak banyak kehilangan berat badan akhir - akhir ini</t>
  </si>
  <si>
    <t>Saya telah kehilangan berat badan 2,5 kg lebih</t>
  </si>
  <si>
    <t>Saya telah kehilangan berat badan 5 kg lebih</t>
  </si>
  <si>
    <t>Saya telah kehilangan berat badan 7,5 kg lebih. Saya sengaja berusaha mengurangi berat badan dengan makan lebih sedikit :- ya – tidak</t>
  </si>
  <si>
    <t>Saya tidak mencemaskan kesehatan saya melebihi biasanya</t>
  </si>
  <si>
    <t>Saya cemas akan masalah kesehatan fisik saya, seperti sakit dan rasa nyeri; sakit perut; ataupun sembelit</t>
  </si>
  <si>
    <t>Saya sangat cemas akan masalah kesehatan fisik saya dan sulit memikirkan hal – hal lainnya</t>
  </si>
  <si>
    <t>Interpretasi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</si>
</sst>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 applyProtection="1">
      <protection locked="0"/>
    </xf>
    <xf numFmtId="0" fontId="4" fillId="0" borderId="2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2" borderId="0" xfId="0" applyFont="1" applyFill="1" applyAlignment="1" applyProtection="1">
      <protection hidden="1"/>
    </xf>
    <xf numFmtId="0" fontId="3" fillId="0" borderId="0" xfId="0" applyFont="1" applyAlignme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justify" vertical="center"/>
      <protection hidden="1"/>
    </xf>
    <xf numFmtId="0" fontId="4" fillId="0" borderId="0" xfId="0" applyFont="1" applyAlignment="1" applyProtection="1">
      <protection hidden="1"/>
    </xf>
    <xf numFmtId="0" fontId="4" fillId="0" borderId="0" xfId="0" applyFont="1" applyBorder="1" applyAlignment="1" applyProtection="1">
      <protection hidden="1"/>
    </xf>
    <xf numFmtId="0" fontId="2" fillId="2" borderId="0" xfId="0" applyFont="1" applyFill="1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4" fillId="0" borderId="0" xfId="0" applyFont="1" applyBorder="1" applyProtection="1"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3" fillId="3" borderId="0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3" fillId="0" borderId="2" xfId="0" applyFont="1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4" borderId="4" xfId="0" applyFont="1" applyFill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center" vertical="center"/>
      <protection hidden="1"/>
    </xf>
    <xf numFmtId="0" fontId="6" fillId="0" borderId="0" xfId="0" applyFont="1" applyFill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7" fillId="6" borderId="0" xfId="0" applyFont="1" applyFill="1" applyAlignment="1" applyProtection="1">
      <alignment horizontal="left" vertical="top" wrapText="1"/>
      <protection hidden="1"/>
    </xf>
    <xf numFmtId="0" fontId="3" fillId="5" borderId="0" xfId="0" applyFont="1" applyFill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24933</xdr:colOff>
      <xdr:row>0</xdr:row>
      <xdr:rowOff>1</xdr:rowOff>
    </xdr:from>
    <xdr:to>
      <xdr:col>18</xdr:col>
      <xdr:colOff>278118</xdr:colOff>
      <xdr:row>7</xdr:row>
      <xdr:rowOff>157942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1791" y="1"/>
          <a:ext cx="1383716" cy="1496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2"/>
  <sheetViews>
    <sheetView zoomScale="80" zoomScaleNormal="80" workbookViewId="0">
      <selection activeCell="D11" sqref="D11"/>
    </sheetView>
  </sheetViews>
  <sheetFormatPr defaultColWidth="8.85546875" defaultRowHeight="15" x14ac:dyDescent="0.25"/>
  <cols>
    <col min="1" max="1" width="8.85546875" style="11"/>
    <col min="2" max="2" width="4" style="15" customWidth="1"/>
    <col min="3" max="3" width="4.140625" style="5" customWidth="1"/>
    <col min="4" max="4" width="8.85546875" style="1"/>
    <col min="5" max="5" width="11.28515625" style="1" customWidth="1"/>
    <col min="6" max="13" width="8.85546875" style="1"/>
    <col min="14" max="17" width="8.85546875" style="15"/>
    <col min="18" max="21" width="0" style="15" hidden="1" customWidth="1"/>
    <col min="22" max="27" width="8.85546875" style="15"/>
    <col min="28" max="16384" width="8.85546875" style="1"/>
  </cols>
  <sheetData>
    <row r="1" spans="1:20" s="15" customFormat="1" x14ac:dyDescent="0.25">
      <c r="A1" s="6" t="s">
        <v>0</v>
      </c>
      <c r="B1" s="13"/>
      <c r="C1" s="24"/>
      <c r="D1" s="13"/>
      <c r="E1" s="13"/>
      <c r="G1" s="13" t="s">
        <v>1</v>
      </c>
    </row>
    <row r="3" spans="1:20" x14ac:dyDescent="0.3">
      <c r="A3" s="7" t="s">
        <v>2</v>
      </c>
      <c r="B3" s="14"/>
      <c r="C3" s="17" t="s">
        <v>7</v>
      </c>
      <c r="D3" s="2"/>
      <c r="E3" s="2"/>
      <c r="F3" s="2"/>
    </row>
    <row r="4" spans="1:20" x14ac:dyDescent="0.3">
      <c r="A4" s="7" t="s">
        <v>3</v>
      </c>
      <c r="B4" s="14"/>
      <c r="C4" s="17" t="s">
        <v>7</v>
      </c>
      <c r="D4" s="2"/>
      <c r="E4" s="2"/>
      <c r="F4" s="2"/>
    </row>
    <row r="5" spans="1:20" x14ac:dyDescent="0.3">
      <c r="A5" s="7" t="s">
        <v>4</v>
      </c>
      <c r="B5" s="14"/>
      <c r="C5" s="17" t="s">
        <v>7</v>
      </c>
      <c r="D5" s="3"/>
      <c r="E5" s="3"/>
      <c r="F5" s="3"/>
    </row>
    <row r="6" spans="1:20" x14ac:dyDescent="0.3">
      <c r="A6" s="7" t="s">
        <v>5</v>
      </c>
      <c r="B6" s="14"/>
      <c r="C6" s="17" t="s">
        <v>7</v>
      </c>
      <c r="D6" s="3"/>
      <c r="E6" s="3"/>
      <c r="F6" s="3"/>
    </row>
    <row r="7" spans="1:20" x14ac:dyDescent="0.3">
      <c r="A7" s="7" t="s">
        <v>6</v>
      </c>
      <c r="B7" s="14"/>
      <c r="C7" s="17" t="s">
        <v>7</v>
      </c>
      <c r="D7" s="3"/>
      <c r="E7" s="3"/>
      <c r="F7" s="3"/>
    </row>
    <row r="8" spans="1:20" x14ac:dyDescent="0.3">
      <c r="C8" s="18"/>
    </row>
    <row r="9" spans="1:20" s="15" customFormat="1" ht="15.75" customHeight="1" x14ac:dyDescent="0.3">
      <c r="A9" s="8" t="s">
        <v>11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20" s="15" customFormat="1" x14ac:dyDescent="0.3">
      <c r="A10" s="11"/>
      <c r="C10" s="18"/>
    </row>
    <row r="11" spans="1:20" x14ac:dyDescent="0.3">
      <c r="A11" s="9"/>
      <c r="B11" s="15">
        <v>1</v>
      </c>
      <c r="C11" s="4"/>
      <c r="D11" s="19" t="s">
        <v>12</v>
      </c>
      <c r="E11" s="15"/>
      <c r="F11" s="15"/>
      <c r="G11" s="15"/>
      <c r="H11" s="15"/>
      <c r="I11" s="15"/>
      <c r="J11" s="15"/>
      <c r="K11" s="15"/>
      <c r="L11" s="15"/>
      <c r="R11" s="23" t="str">
        <f>IF(C11="X",1,"0")</f>
        <v>0</v>
      </c>
      <c r="T11" s="23" t="str">
        <f>IF(C11="X",0,"0")</f>
        <v>0</v>
      </c>
    </row>
    <row r="12" spans="1:20" x14ac:dyDescent="0.3">
      <c r="A12" s="9"/>
      <c r="C12" s="4"/>
      <c r="D12" s="19" t="s">
        <v>13</v>
      </c>
      <c r="E12" s="15"/>
      <c r="F12" s="15"/>
      <c r="G12" s="15"/>
      <c r="H12" s="15"/>
      <c r="I12" s="15"/>
      <c r="J12" s="15"/>
      <c r="K12" s="15"/>
      <c r="L12" s="15"/>
      <c r="R12" s="23" t="str">
        <f t="shared" ref="R12:R14" si="0">IF(C12="X",1,"0")</f>
        <v>0</v>
      </c>
      <c r="T12" s="23" t="str">
        <f>IF(C12="X",1,"0")</f>
        <v>0</v>
      </c>
    </row>
    <row r="13" spans="1:20" x14ac:dyDescent="0.3">
      <c r="A13" s="10"/>
      <c r="C13" s="4"/>
      <c r="D13" s="19" t="s">
        <v>14</v>
      </c>
      <c r="E13" s="15"/>
      <c r="F13" s="15"/>
      <c r="G13" s="15"/>
      <c r="H13" s="15"/>
      <c r="I13" s="15"/>
      <c r="J13" s="15"/>
      <c r="K13" s="15"/>
      <c r="L13" s="15"/>
      <c r="R13" s="23" t="str">
        <f t="shared" si="0"/>
        <v>0</v>
      </c>
      <c r="T13" s="23" t="str">
        <f>IF(C13="X",2,"0")</f>
        <v>0</v>
      </c>
    </row>
    <row r="14" spans="1:20" x14ac:dyDescent="0.3">
      <c r="A14" s="10"/>
      <c r="C14" s="4"/>
      <c r="D14" s="19" t="s">
        <v>9</v>
      </c>
      <c r="E14" s="15"/>
      <c r="F14" s="15"/>
      <c r="G14" s="15"/>
      <c r="H14" s="15"/>
      <c r="I14" s="15"/>
      <c r="J14" s="15"/>
      <c r="K14" s="15"/>
      <c r="L14" s="15"/>
      <c r="R14" s="23" t="str">
        <f t="shared" si="0"/>
        <v>0</v>
      </c>
      <c r="T14" s="23" t="str">
        <f>IF(C14="X",3,"0")</f>
        <v>0</v>
      </c>
    </row>
    <row r="15" spans="1:20" x14ac:dyDescent="0.3">
      <c r="A15" s="10"/>
      <c r="D15" s="19"/>
      <c r="E15" s="15"/>
      <c r="F15" s="15"/>
      <c r="G15" s="15"/>
      <c r="H15" s="15"/>
      <c r="I15" s="15"/>
      <c r="J15" s="15"/>
      <c r="K15" s="15"/>
      <c r="L15" s="15"/>
    </row>
    <row r="16" spans="1:20" x14ac:dyDescent="0.3">
      <c r="A16" s="10"/>
      <c r="B16" s="15">
        <f>B11+1</f>
        <v>2</v>
      </c>
      <c r="C16" s="4"/>
      <c r="D16" s="19" t="s">
        <v>15</v>
      </c>
      <c r="E16" s="15"/>
      <c r="F16" s="15"/>
      <c r="G16" s="15"/>
      <c r="H16" s="15"/>
      <c r="I16" s="15"/>
      <c r="J16" s="15"/>
      <c r="K16" s="15"/>
      <c r="L16" s="15"/>
      <c r="R16" s="23" t="str">
        <f>IF(C16="X",1,"0")</f>
        <v>0</v>
      </c>
      <c r="T16" s="23" t="str">
        <f>IF(C16="X",0,"0")</f>
        <v>0</v>
      </c>
    </row>
    <row r="17" spans="1:20" x14ac:dyDescent="0.3">
      <c r="A17" s="10"/>
      <c r="C17" s="4"/>
      <c r="D17" s="19" t="s">
        <v>16</v>
      </c>
      <c r="E17" s="15"/>
      <c r="F17" s="15"/>
      <c r="G17" s="15"/>
      <c r="H17" s="15"/>
      <c r="I17" s="15"/>
      <c r="J17" s="15"/>
      <c r="K17" s="15"/>
      <c r="L17" s="15"/>
      <c r="R17" s="23" t="str">
        <f t="shared" ref="R17:R19" si="1">IF(C17="X",1,"0")</f>
        <v>0</v>
      </c>
      <c r="T17" s="23" t="str">
        <f>IF(C17="X",1,"0")</f>
        <v>0</v>
      </c>
    </row>
    <row r="18" spans="1:20" x14ac:dyDescent="0.3">
      <c r="A18" s="10"/>
      <c r="C18" s="4"/>
      <c r="D18" s="19" t="s">
        <v>17</v>
      </c>
      <c r="E18" s="15"/>
      <c r="F18" s="15"/>
      <c r="G18" s="15"/>
      <c r="H18" s="15"/>
      <c r="I18" s="15"/>
      <c r="J18" s="15"/>
      <c r="K18" s="15"/>
      <c r="L18" s="15"/>
      <c r="R18" s="23" t="str">
        <f t="shared" si="1"/>
        <v>0</v>
      </c>
      <c r="T18" s="23" t="str">
        <f>IF(C18="X",2,"0")</f>
        <v>0</v>
      </c>
    </row>
    <row r="19" spans="1:20" x14ac:dyDescent="0.3">
      <c r="A19" s="10"/>
      <c r="C19" s="4"/>
      <c r="D19" s="19" t="s">
        <v>18</v>
      </c>
      <c r="E19" s="15"/>
      <c r="F19" s="15"/>
      <c r="G19" s="15"/>
      <c r="H19" s="15"/>
      <c r="I19" s="15"/>
      <c r="J19" s="15"/>
      <c r="K19" s="15"/>
      <c r="L19" s="15"/>
      <c r="R19" s="23" t="str">
        <f t="shared" si="1"/>
        <v>0</v>
      </c>
      <c r="T19" s="23" t="str">
        <f>IF(C19="X",3,"0")</f>
        <v>0</v>
      </c>
    </row>
    <row r="20" spans="1:20" x14ac:dyDescent="0.3">
      <c r="A20" s="10"/>
      <c r="D20" s="19"/>
      <c r="E20" s="15"/>
      <c r="F20" s="15"/>
      <c r="G20" s="15"/>
      <c r="H20" s="15"/>
      <c r="I20" s="15"/>
      <c r="J20" s="15"/>
      <c r="K20" s="15"/>
      <c r="L20" s="15"/>
    </row>
    <row r="21" spans="1:20" x14ac:dyDescent="0.3">
      <c r="A21" s="10"/>
      <c r="B21" s="15">
        <f>B16+1</f>
        <v>3</v>
      </c>
      <c r="C21" s="4"/>
      <c r="D21" s="19" t="s">
        <v>19</v>
      </c>
      <c r="E21" s="15"/>
      <c r="F21" s="15"/>
      <c r="G21" s="15"/>
      <c r="H21" s="15"/>
      <c r="I21" s="15"/>
      <c r="J21" s="15"/>
      <c r="K21" s="15"/>
      <c r="L21" s="15"/>
      <c r="R21" s="23" t="str">
        <f>IF(C21="X",1,"0")</f>
        <v>0</v>
      </c>
      <c r="T21" s="23" t="str">
        <f>IF(C21="X",0,"0")</f>
        <v>0</v>
      </c>
    </row>
    <row r="22" spans="1:20" x14ac:dyDescent="0.25">
      <c r="A22" s="10"/>
      <c r="C22" s="4"/>
      <c r="D22" s="19" t="s">
        <v>20</v>
      </c>
      <c r="E22" s="15"/>
      <c r="F22" s="15"/>
      <c r="G22" s="15"/>
      <c r="H22" s="15"/>
      <c r="I22" s="15"/>
      <c r="J22" s="15"/>
      <c r="K22" s="15"/>
      <c r="L22" s="15"/>
      <c r="R22" s="23" t="str">
        <f t="shared" ref="R22:R24" si="2">IF(C22="X",1,"0")</f>
        <v>0</v>
      </c>
      <c r="T22" s="23" t="str">
        <f>IF(C22="X",1,"0")</f>
        <v>0</v>
      </c>
    </row>
    <row r="23" spans="1:20" x14ac:dyDescent="0.3">
      <c r="A23" s="10"/>
      <c r="C23" s="4"/>
      <c r="D23" s="19" t="s">
        <v>21</v>
      </c>
      <c r="E23" s="15"/>
      <c r="F23" s="15"/>
      <c r="G23" s="15"/>
      <c r="H23" s="15"/>
      <c r="I23" s="15"/>
      <c r="J23" s="15"/>
      <c r="K23" s="15"/>
      <c r="L23" s="15"/>
      <c r="R23" s="23" t="str">
        <f t="shared" si="2"/>
        <v>0</v>
      </c>
      <c r="T23" s="23" t="str">
        <f>IF(C23="X",2,"0")</f>
        <v>0</v>
      </c>
    </row>
    <row r="24" spans="1:20" x14ac:dyDescent="0.3">
      <c r="A24" s="10"/>
      <c r="C24" s="4"/>
      <c r="D24" s="19" t="s">
        <v>22</v>
      </c>
      <c r="E24" s="15"/>
      <c r="F24" s="15"/>
      <c r="G24" s="15"/>
      <c r="H24" s="15"/>
      <c r="I24" s="15"/>
      <c r="J24" s="15"/>
      <c r="K24" s="15"/>
      <c r="L24" s="15"/>
      <c r="R24" s="23" t="str">
        <f t="shared" si="2"/>
        <v>0</v>
      </c>
      <c r="T24" s="23" t="str">
        <f>IF(C24="X",3,"0")</f>
        <v>0</v>
      </c>
    </row>
    <row r="25" spans="1:20" x14ac:dyDescent="0.3">
      <c r="A25" s="10"/>
      <c r="D25" s="19"/>
      <c r="E25" s="15"/>
      <c r="F25" s="15"/>
      <c r="G25" s="15"/>
      <c r="H25" s="15"/>
      <c r="I25" s="15"/>
      <c r="J25" s="15"/>
      <c r="K25" s="15"/>
      <c r="L25" s="15"/>
    </row>
    <row r="26" spans="1:20" x14ac:dyDescent="0.3">
      <c r="A26" s="10"/>
      <c r="B26" s="15">
        <f>B21+1</f>
        <v>4</v>
      </c>
      <c r="C26" s="4"/>
      <c r="D26" s="19" t="s">
        <v>23</v>
      </c>
      <c r="E26" s="15"/>
      <c r="F26" s="15"/>
      <c r="G26" s="15"/>
      <c r="H26" s="15"/>
      <c r="I26" s="15"/>
      <c r="J26" s="15"/>
      <c r="K26" s="15"/>
      <c r="L26" s="15"/>
      <c r="R26" s="23" t="str">
        <f>IF(C26="X",1,"0")</f>
        <v>0</v>
      </c>
      <c r="T26" s="23" t="str">
        <f>IF(C26="X",0,"0")</f>
        <v>0</v>
      </c>
    </row>
    <row r="27" spans="1:20" x14ac:dyDescent="0.3">
      <c r="A27" s="10"/>
      <c r="C27" s="4"/>
      <c r="D27" s="19" t="s">
        <v>24</v>
      </c>
      <c r="E27" s="15"/>
      <c r="F27" s="15"/>
      <c r="G27" s="15"/>
      <c r="H27" s="15"/>
      <c r="I27" s="15"/>
      <c r="J27" s="15"/>
      <c r="K27" s="15"/>
      <c r="L27" s="15"/>
      <c r="R27" s="23" t="str">
        <f t="shared" ref="R27:R29" si="3">IF(C27="X",1,"0")</f>
        <v>0</v>
      </c>
      <c r="T27" s="23" t="str">
        <f>IF(C27="X",1,"0")</f>
        <v>0</v>
      </c>
    </row>
    <row r="28" spans="1:20" x14ac:dyDescent="0.3">
      <c r="A28" s="10"/>
      <c r="C28" s="4"/>
      <c r="D28" s="19" t="s">
        <v>25</v>
      </c>
      <c r="E28" s="15"/>
      <c r="F28" s="15"/>
      <c r="G28" s="15"/>
      <c r="H28" s="15"/>
      <c r="I28" s="15"/>
      <c r="J28" s="15"/>
      <c r="K28" s="15"/>
      <c r="L28" s="15"/>
      <c r="R28" s="23" t="str">
        <f t="shared" si="3"/>
        <v>0</v>
      </c>
      <c r="T28" s="23" t="str">
        <f>IF(C28="X",2,"0")</f>
        <v>0</v>
      </c>
    </row>
    <row r="29" spans="1:20" x14ac:dyDescent="0.3">
      <c r="A29" s="10"/>
      <c r="C29" s="4"/>
      <c r="D29" s="19" t="s">
        <v>26</v>
      </c>
      <c r="E29" s="15"/>
      <c r="F29" s="15"/>
      <c r="G29" s="15"/>
      <c r="H29" s="15"/>
      <c r="I29" s="15"/>
      <c r="J29" s="15"/>
      <c r="K29" s="15"/>
      <c r="L29" s="15"/>
      <c r="R29" s="23" t="str">
        <f t="shared" si="3"/>
        <v>0</v>
      </c>
      <c r="T29" s="23" t="str">
        <f>IF(C29="X",3,"0")</f>
        <v>0</v>
      </c>
    </row>
    <row r="30" spans="1:20" x14ac:dyDescent="0.3">
      <c r="A30" s="10"/>
      <c r="D30" s="19"/>
      <c r="E30" s="15"/>
      <c r="F30" s="15"/>
      <c r="G30" s="15"/>
      <c r="H30" s="15"/>
      <c r="I30" s="15"/>
      <c r="J30" s="15"/>
      <c r="K30" s="15"/>
      <c r="L30" s="15"/>
    </row>
    <row r="31" spans="1:20" x14ac:dyDescent="0.3">
      <c r="A31" s="10"/>
      <c r="B31" s="15">
        <f>B26+1</f>
        <v>5</v>
      </c>
      <c r="C31" s="4"/>
      <c r="D31" s="19" t="s">
        <v>27</v>
      </c>
      <c r="E31" s="15"/>
      <c r="F31" s="15"/>
      <c r="G31" s="15"/>
      <c r="H31" s="15"/>
      <c r="I31" s="15"/>
      <c r="J31" s="15"/>
      <c r="K31" s="15"/>
      <c r="L31" s="15"/>
      <c r="R31" s="23" t="str">
        <f>IF(C31="X",1,"0")</f>
        <v>0</v>
      </c>
      <c r="T31" s="23" t="str">
        <f>IF(C31="X",0,"0")</f>
        <v>0</v>
      </c>
    </row>
    <row r="32" spans="1:20" x14ac:dyDescent="0.3">
      <c r="A32" s="10"/>
      <c r="C32" s="4"/>
      <c r="D32" s="19" t="s">
        <v>28</v>
      </c>
      <c r="E32" s="15"/>
      <c r="F32" s="15"/>
      <c r="G32" s="15"/>
      <c r="H32" s="15"/>
      <c r="I32" s="15"/>
      <c r="J32" s="15"/>
      <c r="K32" s="15"/>
      <c r="L32" s="15"/>
      <c r="R32" s="23" t="str">
        <f t="shared" ref="R32:R34" si="4">IF(C32="X",1,"0")</f>
        <v>0</v>
      </c>
      <c r="T32" s="23" t="str">
        <f>IF(C32="X",1,"0")</f>
        <v>0</v>
      </c>
    </row>
    <row r="33" spans="1:20" x14ac:dyDescent="0.3">
      <c r="A33" s="10"/>
      <c r="C33" s="4"/>
      <c r="D33" s="19" t="s">
        <v>29</v>
      </c>
      <c r="E33" s="15"/>
      <c r="F33" s="15"/>
      <c r="G33" s="15"/>
      <c r="H33" s="15"/>
      <c r="I33" s="15"/>
      <c r="J33" s="15"/>
      <c r="K33" s="15"/>
      <c r="L33" s="15"/>
      <c r="R33" s="23" t="str">
        <f t="shared" si="4"/>
        <v>0</v>
      </c>
      <c r="T33" s="23" t="str">
        <f>IF(C33="X",2,"0")</f>
        <v>0</v>
      </c>
    </row>
    <row r="34" spans="1:20" x14ac:dyDescent="0.3">
      <c r="C34" s="4"/>
      <c r="D34" s="19" t="s">
        <v>8</v>
      </c>
      <c r="E34" s="15"/>
      <c r="F34" s="15"/>
      <c r="G34" s="15"/>
      <c r="H34" s="15"/>
      <c r="I34" s="15"/>
      <c r="J34" s="15"/>
      <c r="K34" s="15"/>
      <c r="L34" s="15"/>
      <c r="R34" s="23" t="str">
        <f t="shared" si="4"/>
        <v>0</v>
      </c>
      <c r="T34" s="23" t="str">
        <f>IF(C34="X",3,"0")</f>
        <v>0</v>
      </c>
    </row>
    <row r="35" spans="1:20" x14ac:dyDescent="0.25">
      <c r="D35" s="19"/>
      <c r="E35" s="15"/>
      <c r="F35" s="15"/>
      <c r="G35" s="15"/>
      <c r="H35" s="15"/>
      <c r="I35" s="15"/>
      <c r="J35" s="15"/>
      <c r="K35" s="15"/>
      <c r="L35" s="15"/>
    </row>
    <row r="36" spans="1:20" x14ac:dyDescent="0.25">
      <c r="B36" s="15">
        <f>B31+1</f>
        <v>6</v>
      </c>
      <c r="C36" s="4"/>
      <c r="D36" s="19" t="s">
        <v>30</v>
      </c>
      <c r="E36" s="15"/>
      <c r="F36" s="15"/>
      <c r="G36" s="15"/>
      <c r="H36" s="15"/>
      <c r="I36" s="15"/>
      <c r="J36" s="15"/>
      <c r="K36" s="15"/>
      <c r="L36" s="15"/>
      <c r="R36" s="23" t="str">
        <f>IF(C36="X",1,"0")</f>
        <v>0</v>
      </c>
      <c r="T36" s="23" t="str">
        <f>IF(C36="X",0,"0")</f>
        <v>0</v>
      </c>
    </row>
    <row r="37" spans="1:20" x14ac:dyDescent="0.25">
      <c r="C37" s="4"/>
      <c r="D37" s="19" t="s">
        <v>31</v>
      </c>
      <c r="E37" s="15"/>
      <c r="F37" s="15"/>
      <c r="G37" s="15"/>
      <c r="H37" s="15"/>
      <c r="I37" s="15"/>
      <c r="J37" s="15"/>
      <c r="K37" s="15"/>
      <c r="L37" s="15"/>
      <c r="R37" s="23" t="str">
        <f t="shared" ref="R37:R39" si="5">IF(C37="X",1,"0")</f>
        <v>0</v>
      </c>
      <c r="T37" s="23" t="str">
        <f>IF(C37="X",1,"0")</f>
        <v>0</v>
      </c>
    </row>
    <row r="38" spans="1:20" x14ac:dyDescent="0.25">
      <c r="C38" s="4"/>
      <c r="D38" s="19" t="s">
        <v>32</v>
      </c>
      <c r="E38" s="15"/>
      <c r="F38" s="15"/>
      <c r="G38" s="15"/>
      <c r="H38" s="15"/>
      <c r="I38" s="15"/>
      <c r="J38" s="15"/>
      <c r="K38" s="15"/>
      <c r="L38" s="15"/>
      <c r="R38" s="23" t="str">
        <f t="shared" si="5"/>
        <v>0</v>
      </c>
      <c r="T38" s="23" t="str">
        <f>IF(C38="X",2,"0")</f>
        <v>0</v>
      </c>
    </row>
    <row r="39" spans="1:20" x14ac:dyDescent="0.25">
      <c r="C39" s="4"/>
      <c r="D39" s="19" t="s">
        <v>33</v>
      </c>
      <c r="E39" s="15"/>
      <c r="F39" s="15"/>
      <c r="G39" s="15"/>
      <c r="H39" s="15"/>
      <c r="I39" s="15"/>
      <c r="J39" s="15"/>
      <c r="K39" s="15"/>
      <c r="L39" s="15"/>
      <c r="R39" s="23" t="str">
        <f t="shared" si="5"/>
        <v>0</v>
      </c>
      <c r="T39" s="23" t="str">
        <f>IF(C39="X",3,"0")</f>
        <v>0</v>
      </c>
    </row>
    <row r="40" spans="1:20" x14ac:dyDescent="0.25">
      <c r="D40" s="19"/>
      <c r="E40" s="15"/>
      <c r="F40" s="15"/>
      <c r="G40" s="15"/>
      <c r="H40" s="15"/>
      <c r="I40" s="15"/>
      <c r="J40" s="15"/>
      <c r="K40" s="15"/>
      <c r="L40" s="15"/>
    </row>
    <row r="41" spans="1:20" x14ac:dyDescent="0.25">
      <c r="B41" s="15">
        <f>B36+1</f>
        <v>7</v>
      </c>
      <c r="C41" s="4"/>
      <c r="D41" s="19" t="s">
        <v>34</v>
      </c>
      <c r="E41" s="15"/>
      <c r="F41" s="15"/>
      <c r="G41" s="15"/>
      <c r="H41" s="15"/>
      <c r="I41" s="15"/>
      <c r="J41" s="15"/>
      <c r="K41" s="15"/>
      <c r="L41" s="15"/>
      <c r="R41" s="23" t="str">
        <f>IF(C41="X",1,"0")</f>
        <v>0</v>
      </c>
      <c r="T41" s="23" t="str">
        <f>IF(C41="X",0,"0")</f>
        <v>0</v>
      </c>
    </row>
    <row r="42" spans="1:20" x14ac:dyDescent="0.25">
      <c r="C42" s="4"/>
      <c r="D42" s="19" t="s">
        <v>35</v>
      </c>
      <c r="E42" s="15"/>
      <c r="F42" s="15"/>
      <c r="G42" s="15"/>
      <c r="H42" s="15"/>
      <c r="I42" s="15"/>
      <c r="J42" s="15"/>
      <c r="K42" s="15"/>
      <c r="L42" s="15"/>
      <c r="R42" s="23" t="str">
        <f t="shared" ref="R42:R44" si="6">IF(C42="X",1,"0")</f>
        <v>0</v>
      </c>
      <c r="T42" s="23" t="str">
        <f>IF(C42="X",1,"0")</f>
        <v>0</v>
      </c>
    </row>
    <row r="43" spans="1:20" x14ac:dyDescent="0.25">
      <c r="C43" s="4"/>
      <c r="D43" s="19" t="s">
        <v>36</v>
      </c>
      <c r="E43" s="15"/>
      <c r="F43" s="15"/>
      <c r="G43" s="15"/>
      <c r="H43" s="15"/>
      <c r="I43" s="15"/>
      <c r="J43" s="15"/>
      <c r="K43" s="15"/>
      <c r="L43" s="15"/>
      <c r="R43" s="23" t="str">
        <f t="shared" si="6"/>
        <v>0</v>
      </c>
      <c r="T43" s="23" t="str">
        <f>IF(C43="X",2,"0")</f>
        <v>0</v>
      </c>
    </row>
    <row r="44" spans="1:20" x14ac:dyDescent="0.25">
      <c r="C44" s="4"/>
      <c r="D44" s="19" t="s">
        <v>37</v>
      </c>
      <c r="E44" s="15"/>
      <c r="F44" s="15"/>
      <c r="G44" s="15"/>
      <c r="H44" s="15"/>
      <c r="I44" s="15"/>
      <c r="J44" s="15"/>
      <c r="K44" s="15"/>
      <c r="L44" s="15"/>
      <c r="R44" s="23" t="str">
        <f t="shared" si="6"/>
        <v>0</v>
      </c>
      <c r="T44" s="23" t="str">
        <f>IF(C44="X",3,"0")</f>
        <v>0</v>
      </c>
    </row>
    <row r="45" spans="1:20" x14ac:dyDescent="0.25">
      <c r="D45" s="19"/>
      <c r="E45" s="15"/>
      <c r="F45" s="15"/>
      <c r="G45" s="15"/>
      <c r="H45" s="15"/>
      <c r="I45" s="15"/>
      <c r="J45" s="15"/>
      <c r="K45" s="15"/>
      <c r="L45" s="15"/>
    </row>
    <row r="46" spans="1:20" x14ac:dyDescent="0.25">
      <c r="B46" s="15">
        <f>B41+1</f>
        <v>8</v>
      </c>
      <c r="C46" s="4"/>
      <c r="D46" s="19" t="s">
        <v>38</v>
      </c>
      <c r="E46" s="15"/>
      <c r="F46" s="15"/>
      <c r="G46" s="15"/>
      <c r="H46" s="15"/>
      <c r="I46" s="15"/>
      <c r="J46" s="15"/>
      <c r="K46" s="15"/>
      <c r="L46" s="15"/>
      <c r="R46" s="23" t="str">
        <f>IF(C46="X",1,"0")</f>
        <v>0</v>
      </c>
      <c r="T46" s="23" t="str">
        <f>IF(C46="X",0,"0")</f>
        <v>0</v>
      </c>
    </row>
    <row r="47" spans="1:20" x14ac:dyDescent="0.25">
      <c r="C47" s="4"/>
      <c r="D47" s="19" t="s">
        <v>39</v>
      </c>
      <c r="E47" s="15"/>
      <c r="F47" s="15"/>
      <c r="G47" s="15"/>
      <c r="H47" s="15"/>
      <c r="I47" s="15"/>
      <c r="J47" s="15"/>
      <c r="K47" s="15"/>
      <c r="L47" s="15"/>
      <c r="R47" s="23" t="str">
        <f t="shared" ref="R47:R49" si="7">IF(C47="X",1,"0")</f>
        <v>0</v>
      </c>
      <c r="T47" s="23" t="str">
        <f>IF(C47="X",1,"0")</f>
        <v>0</v>
      </c>
    </row>
    <row r="48" spans="1:20" x14ac:dyDescent="0.25">
      <c r="C48" s="4"/>
      <c r="D48" s="19" t="s">
        <v>40</v>
      </c>
      <c r="E48" s="15"/>
      <c r="F48" s="15"/>
      <c r="G48" s="15"/>
      <c r="H48" s="15"/>
      <c r="I48" s="15"/>
      <c r="J48" s="15"/>
      <c r="K48" s="15"/>
      <c r="L48" s="15"/>
      <c r="R48" s="23" t="str">
        <f t="shared" si="7"/>
        <v>0</v>
      </c>
      <c r="T48" s="23" t="str">
        <f>IF(C48="X",2,"0")</f>
        <v>0</v>
      </c>
    </row>
    <row r="49" spans="2:20" x14ac:dyDescent="0.25">
      <c r="C49" s="4"/>
      <c r="D49" s="19" t="s">
        <v>41</v>
      </c>
      <c r="E49" s="15"/>
      <c r="F49" s="15"/>
      <c r="G49" s="15"/>
      <c r="H49" s="15"/>
      <c r="I49" s="15"/>
      <c r="J49" s="15"/>
      <c r="K49" s="15"/>
      <c r="L49" s="15"/>
      <c r="R49" s="23" t="str">
        <f t="shared" si="7"/>
        <v>0</v>
      </c>
      <c r="T49" s="23" t="str">
        <f>IF(C49="X",3,"0")</f>
        <v>0</v>
      </c>
    </row>
    <row r="50" spans="2:20" x14ac:dyDescent="0.25">
      <c r="D50" s="19"/>
      <c r="E50" s="15"/>
      <c r="F50" s="15"/>
      <c r="G50" s="15"/>
      <c r="H50" s="15"/>
      <c r="I50" s="15"/>
      <c r="J50" s="15"/>
      <c r="K50" s="15"/>
      <c r="L50" s="15"/>
    </row>
    <row r="51" spans="2:20" x14ac:dyDescent="0.25">
      <c r="B51" s="15">
        <f>B46+1</f>
        <v>9</v>
      </c>
      <c r="C51" s="4"/>
      <c r="D51" s="19" t="s">
        <v>46</v>
      </c>
      <c r="E51" s="15"/>
      <c r="F51" s="15"/>
      <c r="G51" s="15"/>
      <c r="H51" s="15"/>
      <c r="I51" s="15"/>
      <c r="J51" s="15"/>
      <c r="K51" s="15"/>
      <c r="L51" s="15"/>
      <c r="R51" s="23" t="str">
        <f>IF(C51="X",1,"0")</f>
        <v>0</v>
      </c>
      <c r="T51" s="23" t="str">
        <f>IF(C51="X",0,"0")</f>
        <v>0</v>
      </c>
    </row>
    <row r="52" spans="2:20" x14ac:dyDescent="0.25">
      <c r="C52" s="4"/>
      <c r="D52" s="19" t="s">
        <v>47</v>
      </c>
      <c r="E52" s="15"/>
      <c r="F52" s="15"/>
      <c r="G52" s="15"/>
      <c r="H52" s="15"/>
      <c r="I52" s="15"/>
      <c r="J52" s="15"/>
      <c r="K52" s="15"/>
      <c r="L52" s="15"/>
      <c r="R52" s="23" t="str">
        <f t="shared" ref="R52:R54" si="8">IF(C52="X",1,"0")</f>
        <v>0</v>
      </c>
      <c r="T52" s="23" t="str">
        <f>IF(C52="X",1,"0")</f>
        <v>0</v>
      </c>
    </row>
    <row r="53" spans="2:20" x14ac:dyDescent="0.25">
      <c r="C53" s="4"/>
      <c r="D53" s="19" t="s">
        <v>48</v>
      </c>
      <c r="E53" s="15"/>
      <c r="F53" s="15"/>
      <c r="G53" s="15"/>
      <c r="H53" s="15"/>
      <c r="I53" s="15"/>
      <c r="J53" s="15"/>
      <c r="K53" s="15"/>
      <c r="L53" s="15"/>
      <c r="R53" s="23" t="str">
        <f t="shared" si="8"/>
        <v>0</v>
      </c>
      <c r="T53" s="23" t="str">
        <f>IF(C53="X",2,"0")</f>
        <v>0</v>
      </c>
    </row>
    <row r="54" spans="2:20" x14ac:dyDescent="0.25">
      <c r="C54" s="4"/>
      <c r="D54" s="19" t="s">
        <v>49</v>
      </c>
      <c r="E54" s="15"/>
      <c r="F54" s="15"/>
      <c r="G54" s="15"/>
      <c r="H54" s="15"/>
      <c r="I54" s="15"/>
      <c r="J54" s="15"/>
      <c r="K54" s="15"/>
      <c r="L54" s="15"/>
      <c r="R54" s="23" t="str">
        <f t="shared" si="8"/>
        <v>0</v>
      </c>
      <c r="T54" s="23" t="str">
        <f>IF(C54="X",3,"0")</f>
        <v>0</v>
      </c>
    </row>
    <row r="55" spans="2:20" x14ac:dyDescent="0.25">
      <c r="D55" s="19"/>
      <c r="E55" s="15"/>
      <c r="F55" s="15"/>
      <c r="G55" s="15"/>
      <c r="H55" s="15"/>
      <c r="I55" s="15"/>
      <c r="J55" s="15"/>
      <c r="K55" s="15"/>
      <c r="L55" s="15"/>
    </row>
    <row r="56" spans="2:20" x14ac:dyDescent="0.25">
      <c r="B56" s="15">
        <f>B51+1</f>
        <v>10</v>
      </c>
      <c r="C56" s="4"/>
      <c r="D56" s="19" t="s">
        <v>50</v>
      </c>
      <c r="E56" s="15"/>
      <c r="F56" s="15"/>
      <c r="G56" s="15"/>
      <c r="H56" s="15"/>
      <c r="I56" s="15"/>
      <c r="J56" s="15"/>
      <c r="K56" s="15"/>
      <c r="L56" s="15"/>
      <c r="R56" s="23" t="str">
        <f>IF(C56="X",1,"0")</f>
        <v>0</v>
      </c>
      <c r="T56" s="23" t="str">
        <f>IF(C56="X",0,"0")</f>
        <v>0</v>
      </c>
    </row>
    <row r="57" spans="2:20" x14ac:dyDescent="0.25">
      <c r="C57" s="4"/>
      <c r="D57" s="19" t="s">
        <v>51</v>
      </c>
      <c r="E57" s="15"/>
      <c r="F57" s="15"/>
      <c r="G57" s="15"/>
      <c r="H57" s="15"/>
      <c r="I57" s="15"/>
      <c r="J57" s="15"/>
      <c r="K57" s="15"/>
      <c r="L57" s="15"/>
      <c r="R57" s="23" t="str">
        <f t="shared" ref="R57:R59" si="9">IF(C57="X",1,"0")</f>
        <v>0</v>
      </c>
      <c r="T57" s="23" t="str">
        <f>IF(C57="X",1,"0")</f>
        <v>0</v>
      </c>
    </row>
    <row r="58" spans="2:20" x14ac:dyDescent="0.25">
      <c r="C58" s="4"/>
      <c r="D58" s="19" t="s">
        <v>52</v>
      </c>
      <c r="E58" s="15"/>
      <c r="F58" s="15"/>
      <c r="G58" s="15"/>
      <c r="H58" s="15"/>
      <c r="I58" s="15"/>
      <c r="J58" s="15"/>
      <c r="K58" s="15"/>
      <c r="L58" s="15"/>
      <c r="R58" s="23" t="str">
        <f t="shared" si="9"/>
        <v>0</v>
      </c>
      <c r="T58" s="23" t="str">
        <f>IF(C58="X",2,"0")</f>
        <v>0</v>
      </c>
    </row>
    <row r="59" spans="2:20" x14ac:dyDescent="0.25">
      <c r="C59" s="4"/>
      <c r="D59" s="19" t="s">
        <v>53</v>
      </c>
      <c r="E59" s="15"/>
      <c r="F59" s="15"/>
      <c r="G59" s="15"/>
      <c r="H59" s="15"/>
      <c r="I59" s="15"/>
      <c r="J59" s="15"/>
      <c r="K59" s="15"/>
      <c r="L59" s="15"/>
      <c r="R59" s="23" t="str">
        <f t="shared" si="9"/>
        <v>0</v>
      </c>
      <c r="T59" s="23" t="str">
        <f>IF(C59="X",3,"0")</f>
        <v>0</v>
      </c>
    </row>
    <row r="60" spans="2:20" x14ac:dyDescent="0.25">
      <c r="D60" s="19"/>
      <c r="E60" s="15"/>
      <c r="F60" s="15"/>
      <c r="G60" s="15"/>
      <c r="H60" s="15"/>
      <c r="I60" s="15"/>
      <c r="J60" s="15"/>
      <c r="K60" s="15"/>
      <c r="L60" s="15"/>
    </row>
    <row r="61" spans="2:20" x14ac:dyDescent="0.25">
      <c r="B61" s="15">
        <f>B56+1</f>
        <v>11</v>
      </c>
      <c r="C61" s="4"/>
      <c r="D61" s="19" t="s">
        <v>54</v>
      </c>
      <c r="E61" s="15"/>
      <c r="F61" s="15"/>
      <c r="G61" s="15"/>
      <c r="H61" s="15"/>
      <c r="I61" s="15"/>
      <c r="J61" s="15"/>
      <c r="K61" s="15"/>
      <c r="L61" s="15"/>
      <c r="R61" s="23" t="str">
        <f>IF(C61="X",1,"0")</f>
        <v>0</v>
      </c>
      <c r="T61" s="23" t="str">
        <f>IF(C61="X",0,"0")</f>
        <v>0</v>
      </c>
    </row>
    <row r="62" spans="2:20" x14ac:dyDescent="0.25">
      <c r="C62" s="4"/>
      <c r="D62" s="19" t="s">
        <v>55</v>
      </c>
      <c r="E62" s="15"/>
      <c r="F62" s="15"/>
      <c r="G62" s="15"/>
      <c r="H62" s="15"/>
      <c r="I62" s="15"/>
      <c r="J62" s="15"/>
      <c r="K62" s="15"/>
      <c r="L62" s="15"/>
      <c r="R62" s="23" t="str">
        <f t="shared" ref="R62:R64" si="10">IF(C62="X",1,"0")</f>
        <v>0</v>
      </c>
      <c r="T62" s="23" t="str">
        <f>IF(C62="X",1,"0")</f>
        <v>0</v>
      </c>
    </row>
    <row r="63" spans="2:20" x14ac:dyDescent="0.25">
      <c r="C63" s="4"/>
      <c r="D63" s="19" t="s">
        <v>56</v>
      </c>
      <c r="E63" s="15"/>
      <c r="F63" s="15"/>
      <c r="G63" s="15"/>
      <c r="H63" s="15"/>
      <c r="I63" s="15"/>
      <c r="J63" s="15"/>
      <c r="K63" s="15"/>
      <c r="L63" s="15"/>
      <c r="R63" s="23" t="str">
        <f t="shared" si="10"/>
        <v>0</v>
      </c>
      <c r="T63" s="23" t="str">
        <f>IF(C63="X",2,"0")</f>
        <v>0</v>
      </c>
    </row>
    <row r="64" spans="2:20" x14ac:dyDescent="0.25">
      <c r="C64" s="4"/>
      <c r="D64" s="19" t="s">
        <v>57</v>
      </c>
      <c r="E64" s="15"/>
      <c r="F64" s="15"/>
      <c r="G64" s="15"/>
      <c r="H64" s="15"/>
      <c r="I64" s="15"/>
      <c r="J64" s="15"/>
      <c r="K64" s="15"/>
      <c r="L64" s="15"/>
      <c r="R64" s="23" t="str">
        <f t="shared" si="10"/>
        <v>0</v>
      </c>
      <c r="T64" s="23" t="str">
        <f>IF(C64="X",3,"0")</f>
        <v>0</v>
      </c>
    </row>
    <row r="65" spans="2:20" x14ac:dyDescent="0.25">
      <c r="D65" s="19"/>
      <c r="E65" s="15"/>
      <c r="F65" s="15"/>
      <c r="G65" s="15"/>
      <c r="H65" s="15"/>
      <c r="I65" s="15"/>
      <c r="J65" s="15"/>
      <c r="K65" s="15"/>
      <c r="L65" s="15"/>
    </row>
    <row r="66" spans="2:20" x14ac:dyDescent="0.25">
      <c r="B66" s="15">
        <f>B61+1</f>
        <v>12</v>
      </c>
      <c r="C66" s="4"/>
      <c r="D66" s="19" t="s">
        <v>58</v>
      </c>
      <c r="E66" s="15"/>
      <c r="F66" s="15"/>
      <c r="G66" s="15"/>
      <c r="H66" s="15"/>
      <c r="I66" s="15"/>
      <c r="J66" s="15"/>
      <c r="K66" s="15"/>
      <c r="L66" s="15"/>
      <c r="R66" s="23" t="str">
        <f>IF(C66="X",1,"0")</f>
        <v>0</v>
      </c>
      <c r="T66" s="23" t="str">
        <f>IF(C66="X",0,"0")</f>
        <v>0</v>
      </c>
    </row>
    <row r="67" spans="2:20" x14ac:dyDescent="0.25">
      <c r="C67" s="4"/>
      <c r="D67" s="19" t="s">
        <v>59</v>
      </c>
      <c r="E67" s="15"/>
      <c r="F67" s="15"/>
      <c r="G67" s="15"/>
      <c r="H67" s="15"/>
      <c r="I67" s="15"/>
      <c r="J67" s="15"/>
      <c r="K67" s="15"/>
      <c r="L67" s="15"/>
      <c r="R67" s="23" t="str">
        <f t="shared" ref="R67:R69" si="11">IF(C67="X",1,"0")</f>
        <v>0</v>
      </c>
      <c r="T67" s="23" t="str">
        <f>IF(C67="X",1,"0")</f>
        <v>0</v>
      </c>
    </row>
    <row r="68" spans="2:20" x14ac:dyDescent="0.25">
      <c r="C68" s="4"/>
      <c r="D68" s="19" t="s">
        <v>60</v>
      </c>
      <c r="E68" s="15"/>
      <c r="F68" s="15"/>
      <c r="G68" s="15"/>
      <c r="H68" s="15"/>
      <c r="I68" s="15"/>
      <c r="J68" s="15"/>
      <c r="K68" s="15"/>
      <c r="L68" s="15"/>
      <c r="R68" s="23" t="str">
        <f t="shared" si="11"/>
        <v>0</v>
      </c>
      <c r="T68" s="23" t="str">
        <f>IF(C68="X",2,"0")</f>
        <v>0</v>
      </c>
    </row>
    <row r="69" spans="2:20" x14ac:dyDescent="0.25">
      <c r="C69" s="4"/>
      <c r="D69" s="19" t="s">
        <v>61</v>
      </c>
      <c r="E69" s="15"/>
      <c r="F69" s="15"/>
      <c r="G69" s="15"/>
      <c r="H69" s="15"/>
      <c r="I69" s="15"/>
      <c r="J69" s="15"/>
      <c r="K69" s="15"/>
      <c r="L69" s="15"/>
      <c r="R69" s="23" t="str">
        <f t="shared" si="11"/>
        <v>0</v>
      </c>
      <c r="T69" s="23" t="str">
        <f>IF(C69="X",3,"0")</f>
        <v>0</v>
      </c>
    </row>
    <row r="70" spans="2:20" x14ac:dyDescent="0.25">
      <c r="D70" s="19"/>
      <c r="E70" s="15"/>
      <c r="F70" s="15"/>
      <c r="G70" s="15"/>
      <c r="H70" s="15"/>
      <c r="I70" s="15"/>
      <c r="J70" s="15"/>
      <c r="K70" s="15"/>
      <c r="L70" s="15"/>
    </row>
    <row r="71" spans="2:20" x14ac:dyDescent="0.25">
      <c r="B71" s="15">
        <f>B66+1</f>
        <v>13</v>
      </c>
      <c r="C71" s="4"/>
      <c r="D71" s="19" t="s">
        <v>62</v>
      </c>
      <c r="E71" s="15"/>
      <c r="F71" s="15"/>
      <c r="G71" s="15"/>
      <c r="H71" s="15"/>
      <c r="I71" s="15"/>
      <c r="J71" s="15"/>
      <c r="K71" s="15"/>
      <c r="L71" s="15"/>
      <c r="R71" s="23" t="str">
        <f>IF(C71="X",1,"0")</f>
        <v>0</v>
      </c>
      <c r="T71" s="23" t="str">
        <f>IF(C71="X",0,"0")</f>
        <v>0</v>
      </c>
    </row>
    <row r="72" spans="2:20" x14ac:dyDescent="0.25">
      <c r="C72" s="4"/>
      <c r="D72" s="19" t="s">
        <v>63</v>
      </c>
      <c r="E72" s="15"/>
      <c r="F72" s="15"/>
      <c r="G72" s="15"/>
      <c r="H72" s="15"/>
      <c r="I72" s="15"/>
      <c r="J72" s="15"/>
      <c r="K72" s="15"/>
      <c r="L72" s="15"/>
      <c r="R72" s="23" t="str">
        <f t="shared" ref="R72:R74" si="12">IF(C72="X",1,"0")</f>
        <v>0</v>
      </c>
      <c r="T72" s="23" t="str">
        <f>IF(C72="X",1,"0")</f>
        <v>0</v>
      </c>
    </row>
    <row r="73" spans="2:20" x14ac:dyDescent="0.25">
      <c r="C73" s="4"/>
      <c r="D73" s="19" t="s">
        <v>64</v>
      </c>
      <c r="E73" s="15"/>
      <c r="F73" s="15"/>
      <c r="G73" s="15"/>
      <c r="H73" s="15"/>
      <c r="I73" s="15"/>
      <c r="J73" s="15"/>
      <c r="K73" s="15"/>
      <c r="L73" s="15"/>
      <c r="R73" s="23" t="str">
        <f t="shared" si="12"/>
        <v>0</v>
      </c>
      <c r="T73" s="23" t="str">
        <f>IF(C73="X",2,"0")</f>
        <v>0</v>
      </c>
    </row>
    <row r="74" spans="2:20" x14ac:dyDescent="0.25">
      <c r="C74" s="4"/>
      <c r="D74" s="19" t="s">
        <v>65</v>
      </c>
      <c r="E74" s="15"/>
      <c r="F74" s="15"/>
      <c r="G74" s="15"/>
      <c r="H74" s="15"/>
      <c r="I74" s="15"/>
      <c r="J74" s="15"/>
      <c r="K74" s="15"/>
      <c r="L74" s="15"/>
      <c r="R74" s="23" t="str">
        <f t="shared" si="12"/>
        <v>0</v>
      </c>
      <c r="T74" s="23" t="str">
        <f>IF(C74="X",3,"0")</f>
        <v>0</v>
      </c>
    </row>
    <row r="75" spans="2:20" x14ac:dyDescent="0.25">
      <c r="D75" s="19"/>
      <c r="E75" s="15"/>
      <c r="F75" s="15"/>
      <c r="G75" s="15"/>
      <c r="H75" s="15"/>
      <c r="I75" s="15"/>
      <c r="J75" s="15"/>
      <c r="K75" s="15"/>
      <c r="L75" s="15"/>
    </row>
    <row r="76" spans="2:20" x14ac:dyDescent="0.25">
      <c r="B76" s="15">
        <f>B71+1</f>
        <v>14</v>
      </c>
      <c r="C76" s="4"/>
      <c r="D76" s="19" t="s">
        <v>66</v>
      </c>
      <c r="E76" s="15"/>
      <c r="F76" s="15"/>
      <c r="G76" s="15"/>
      <c r="H76" s="15"/>
      <c r="I76" s="15"/>
      <c r="J76" s="15"/>
      <c r="K76" s="15"/>
      <c r="L76" s="15"/>
      <c r="R76" s="23" t="str">
        <f>IF(C76="X",1,"0")</f>
        <v>0</v>
      </c>
      <c r="T76" s="23" t="str">
        <f>IF(C76="X",0,"0")</f>
        <v>0</v>
      </c>
    </row>
    <row r="77" spans="2:20" x14ac:dyDescent="0.25">
      <c r="C77" s="4"/>
      <c r="D77" s="19" t="s">
        <v>67</v>
      </c>
      <c r="E77" s="15"/>
      <c r="F77" s="15"/>
      <c r="G77" s="15"/>
      <c r="H77" s="15"/>
      <c r="I77" s="15"/>
      <c r="J77" s="15"/>
      <c r="K77" s="15"/>
      <c r="L77" s="15"/>
      <c r="R77" s="23" t="str">
        <f t="shared" ref="R77:R79" si="13">IF(C77="X",1,"0")</f>
        <v>0</v>
      </c>
      <c r="T77" s="23" t="str">
        <f>IF(C77="X",1,"0")</f>
        <v>0</v>
      </c>
    </row>
    <row r="78" spans="2:20" x14ac:dyDescent="0.25">
      <c r="C78" s="4"/>
      <c r="D78" s="19" t="s">
        <v>68</v>
      </c>
      <c r="E78" s="15"/>
      <c r="F78" s="15"/>
      <c r="G78" s="15"/>
      <c r="H78" s="15"/>
      <c r="I78" s="15"/>
      <c r="J78" s="15"/>
      <c r="K78" s="15"/>
      <c r="L78" s="15"/>
      <c r="R78" s="23" t="str">
        <f t="shared" si="13"/>
        <v>0</v>
      </c>
      <c r="T78" s="23" t="str">
        <f>IF(C78="X",2,"0")</f>
        <v>0</v>
      </c>
    </row>
    <row r="79" spans="2:20" x14ac:dyDescent="0.25">
      <c r="C79" s="4"/>
      <c r="D79" s="19" t="s">
        <v>69</v>
      </c>
      <c r="E79" s="15"/>
      <c r="F79" s="15"/>
      <c r="G79" s="15"/>
      <c r="H79" s="15"/>
      <c r="I79" s="15"/>
      <c r="J79" s="15"/>
      <c r="K79" s="15"/>
      <c r="L79" s="15"/>
      <c r="R79" s="23" t="str">
        <f t="shared" si="13"/>
        <v>0</v>
      </c>
      <c r="T79" s="23" t="str">
        <f>IF(C79="X",3,"0")</f>
        <v>0</v>
      </c>
    </row>
    <row r="80" spans="2:20" x14ac:dyDescent="0.25">
      <c r="D80" s="19"/>
      <c r="E80" s="15"/>
      <c r="F80" s="15"/>
      <c r="G80" s="15"/>
      <c r="H80" s="15"/>
      <c r="I80" s="15"/>
      <c r="J80" s="15"/>
      <c r="K80" s="15"/>
      <c r="L80" s="15"/>
    </row>
    <row r="81" spans="2:20" x14ac:dyDescent="0.25">
      <c r="B81" s="15">
        <f>B76+1</f>
        <v>15</v>
      </c>
      <c r="C81" s="4"/>
      <c r="D81" s="19" t="s">
        <v>70</v>
      </c>
      <c r="E81" s="15"/>
      <c r="F81" s="15"/>
      <c r="G81" s="15"/>
      <c r="H81" s="15"/>
      <c r="I81" s="15"/>
      <c r="J81" s="15"/>
      <c r="K81" s="15"/>
      <c r="L81" s="15"/>
      <c r="R81" s="23" t="str">
        <f>IF(C81="X",1,"0")</f>
        <v>0</v>
      </c>
      <c r="T81" s="23" t="str">
        <f>IF(C81="X",0,"0")</f>
        <v>0</v>
      </c>
    </row>
    <row r="82" spans="2:20" x14ac:dyDescent="0.25">
      <c r="C82" s="4"/>
      <c r="D82" s="19" t="s">
        <v>71</v>
      </c>
      <c r="E82" s="15"/>
      <c r="F82" s="15"/>
      <c r="G82" s="15"/>
      <c r="H82" s="15"/>
      <c r="I82" s="15"/>
      <c r="J82" s="15"/>
      <c r="K82" s="15"/>
      <c r="L82" s="15"/>
      <c r="R82" s="23" t="str">
        <f t="shared" ref="R82:R84" si="14">IF(C82="X",1,"0")</f>
        <v>0</v>
      </c>
      <c r="T82" s="23" t="str">
        <f>IF(C82="X",1,"0")</f>
        <v>0</v>
      </c>
    </row>
    <row r="83" spans="2:20" x14ac:dyDescent="0.25">
      <c r="C83" s="4"/>
      <c r="D83" s="19" t="s">
        <v>72</v>
      </c>
      <c r="E83" s="15"/>
      <c r="F83" s="15"/>
      <c r="G83" s="15"/>
      <c r="H83" s="15"/>
      <c r="I83" s="15"/>
      <c r="J83" s="15"/>
      <c r="K83" s="15"/>
      <c r="L83" s="15"/>
      <c r="R83" s="23" t="str">
        <f t="shared" si="14"/>
        <v>0</v>
      </c>
      <c r="T83" s="23" t="str">
        <f>IF(C83="X",2,"0")</f>
        <v>0</v>
      </c>
    </row>
    <row r="84" spans="2:20" x14ac:dyDescent="0.25">
      <c r="C84" s="4"/>
      <c r="D84" s="19" t="s">
        <v>73</v>
      </c>
      <c r="E84" s="15"/>
      <c r="F84" s="15"/>
      <c r="G84" s="15"/>
      <c r="H84" s="15"/>
      <c r="I84" s="15"/>
      <c r="J84" s="15"/>
      <c r="K84" s="15"/>
      <c r="L84" s="15"/>
      <c r="R84" s="23" t="str">
        <f t="shared" si="14"/>
        <v>0</v>
      </c>
      <c r="T84" s="23" t="str">
        <f>IF(C84="X",3,"0")</f>
        <v>0</v>
      </c>
    </row>
    <row r="85" spans="2:20" x14ac:dyDescent="0.25">
      <c r="D85" s="19"/>
      <c r="E85" s="15"/>
      <c r="F85" s="15"/>
      <c r="G85" s="15"/>
      <c r="H85" s="15"/>
      <c r="I85" s="15"/>
      <c r="J85" s="15"/>
      <c r="K85" s="15"/>
      <c r="L85" s="15"/>
    </row>
    <row r="86" spans="2:20" x14ac:dyDescent="0.25">
      <c r="B86" s="15">
        <f>B81+1</f>
        <v>16</v>
      </c>
      <c r="C86" s="4"/>
      <c r="D86" s="19" t="s">
        <v>74</v>
      </c>
      <c r="E86" s="15"/>
      <c r="F86" s="15"/>
      <c r="G86" s="15"/>
      <c r="H86" s="15"/>
      <c r="I86" s="15"/>
      <c r="J86" s="15"/>
      <c r="K86" s="15"/>
      <c r="L86" s="15"/>
      <c r="R86" s="23" t="str">
        <f>IF(C86="X",1,"0")</f>
        <v>0</v>
      </c>
      <c r="T86" s="23" t="str">
        <f>IF(C86="X",0,"0")</f>
        <v>0</v>
      </c>
    </row>
    <row r="87" spans="2:20" x14ac:dyDescent="0.25">
      <c r="C87" s="4"/>
      <c r="D87" s="19" t="s">
        <v>75</v>
      </c>
      <c r="E87" s="15"/>
      <c r="F87" s="15"/>
      <c r="G87" s="15"/>
      <c r="H87" s="15"/>
      <c r="I87" s="15"/>
      <c r="J87" s="15"/>
      <c r="K87" s="15"/>
      <c r="L87" s="15"/>
      <c r="R87" s="23" t="str">
        <f t="shared" ref="R87:R89" si="15">IF(C87="X",1,"0")</f>
        <v>0</v>
      </c>
      <c r="T87" s="23" t="str">
        <f>IF(C87="X",1,"0")</f>
        <v>0</v>
      </c>
    </row>
    <row r="88" spans="2:20" x14ac:dyDescent="0.25">
      <c r="C88" s="4"/>
      <c r="D88" s="19" t="s">
        <v>76</v>
      </c>
      <c r="E88" s="15"/>
      <c r="F88" s="15"/>
      <c r="G88" s="15"/>
      <c r="H88" s="15"/>
      <c r="I88" s="15"/>
      <c r="J88" s="15"/>
      <c r="K88" s="15"/>
      <c r="L88" s="15"/>
      <c r="R88" s="23" t="str">
        <f t="shared" si="15"/>
        <v>0</v>
      </c>
      <c r="T88" s="23" t="str">
        <f>IF(C88="X",2,"0")</f>
        <v>0</v>
      </c>
    </row>
    <row r="89" spans="2:20" x14ac:dyDescent="0.25">
      <c r="C89" s="4"/>
      <c r="D89" s="19" t="s">
        <v>77</v>
      </c>
      <c r="E89" s="15"/>
      <c r="F89" s="15"/>
      <c r="G89" s="15"/>
      <c r="H89" s="15"/>
      <c r="I89" s="15"/>
      <c r="J89" s="15"/>
      <c r="K89" s="15"/>
      <c r="L89" s="15"/>
      <c r="R89" s="23" t="str">
        <f t="shared" si="15"/>
        <v>0</v>
      </c>
      <c r="T89" s="23" t="str">
        <f>IF(C89="X",3,"0")</f>
        <v>0</v>
      </c>
    </row>
    <row r="90" spans="2:20" x14ac:dyDescent="0.25">
      <c r="D90" s="19"/>
      <c r="E90" s="15"/>
      <c r="F90" s="15"/>
      <c r="G90" s="15"/>
      <c r="H90" s="15"/>
      <c r="I90" s="15"/>
      <c r="J90" s="15"/>
      <c r="K90" s="15"/>
      <c r="L90" s="15"/>
    </row>
    <row r="91" spans="2:20" x14ac:dyDescent="0.25">
      <c r="B91" s="15">
        <f>B86+1</f>
        <v>17</v>
      </c>
      <c r="C91" s="4"/>
      <c r="D91" s="19" t="s">
        <v>78</v>
      </c>
      <c r="E91" s="15"/>
      <c r="F91" s="15"/>
      <c r="G91" s="15"/>
      <c r="H91" s="15"/>
      <c r="I91" s="15"/>
      <c r="J91" s="15"/>
      <c r="K91" s="15"/>
      <c r="L91" s="15"/>
      <c r="R91" s="23" t="str">
        <f>IF(C91="X",1,"0")</f>
        <v>0</v>
      </c>
      <c r="T91" s="23" t="str">
        <f>IF(C91="X",0,"0")</f>
        <v>0</v>
      </c>
    </row>
    <row r="92" spans="2:20" x14ac:dyDescent="0.25">
      <c r="C92" s="4"/>
      <c r="D92" s="19" t="s">
        <v>79</v>
      </c>
      <c r="E92" s="15"/>
      <c r="F92" s="15"/>
      <c r="G92" s="15"/>
      <c r="H92" s="15"/>
      <c r="I92" s="15"/>
      <c r="J92" s="15"/>
      <c r="K92" s="15"/>
      <c r="L92" s="15"/>
      <c r="R92" s="23" t="str">
        <f t="shared" ref="R92:R94" si="16">IF(C92="X",1,"0")</f>
        <v>0</v>
      </c>
      <c r="T92" s="23" t="str">
        <f>IF(C92="X",1,"0")</f>
        <v>0</v>
      </c>
    </row>
    <row r="93" spans="2:20" x14ac:dyDescent="0.25">
      <c r="C93" s="4"/>
      <c r="D93" s="19" t="s">
        <v>80</v>
      </c>
      <c r="E93" s="15"/>
      <c r="F93" s="15"/>
      <c r="G93" s="15"/>
      <c r="H93" s="15"/>
      <c r="I93" s="15"/>
      <c r="J93" s="15"/>
      <c r="K93" s="15"/>
      <c r="L93" s="15"/>
      <c r="R93" s="23" t="str">
        <f t="shared" si="16"/>
        <v>0</v>
      </c>
      <c r="T93" s="23" t="str">
        <f>IF(C93="X",2,"0")</f>
        <v>0</v>
      </c>
    </row>
    <row r="94" spans="2:20" x14ac:dyDescent="0.25">
      <c r="C94" s="4"/>
      <c r="D94" s="19" t="s">
        <v>81</v>
      </c>
      <c r="E94" s="15"/>
      <c r="F94" s="15"/>
      <c r="G94" s="15"/>
      <c r="H94" s="15"/>
      <c r="I94" s="15"/>
      <c r="J94" s="15"/>
      <c r="K94" s="15"/>
      <c r="L94" s="15"/>
      <c r="R94" s="23" t="str">
        <f t="shared" si="16"/>
        <v>0</v>
      </c>
      <c r="T94" s="23" t="str">
        <f>IF(C94="X",3,"0")</f>
        <v>0</v>
      </c>
    </row>
    <row r="95" spans="2:20" x14ac:dyDescent="0.25">
      <c r="D95" s="19"/>
      <c r="E95" s="15"/>
      <c r="F95" s="15"/>
      <c r="G95" s="15"/>
      <c r="H95" s="15"/>
      <c r="I95" s="15"/>
      <c r="J95" s="15"/>
      <c r="K95" s="15"/>
      <c r="L95" s="15"/>
    </row>
    <row r="96" spans="2:20" x14ac:dyDescent="0.25">
      <c r="B96" s="15">
        <f>B91+1</f>
        <v>18</v>
      </c>
      <c r="C96" s="4"/>
      <c r="D96" s="19" t="s">
        <v>82</v>
      </c>
      <c r="E96" s="15"/>
      <c r="F96" s="15"/>
      <c r="G96" s="15"/>
      <c r="H96" s="15"/>
      <c r="I96" s="15"/>
      <c r="J96" s="15"/>
      <c r="K96" s="15"/>
      <c r="L96" s="15"/>
      <c r="R96" s="23" t="str">
        <f>IF(C96="X",1,"0")</f>
        <v>0</v>
      </c>
      <c r="T96" s="23" t="str">
        <f>IF(C96="X",0,"0")</f>
        <v>0</v>
      </c>
    </row>
    <row r="97" spans="2:20" x14ac:dyDescent="0.25">
      <c r="C97" s="4"/>
      <c r="D97" s="19" t="s">
        <v>83</v>
      </c>
      <c r="E97" s="15"/>
      <c r="F97" s="15"/>
      <c r="G97" s="15"/>
      <c r="H97" s="15"/>
      <c r="I97" s="15"/>
      <c r="J97" s="15"/>
      <c r="K97" s="15"/>
      <c r="L97" s="15"/>
      <c r="R97" s="23" t="str">
        <f t="shared" ref="R97:R99" si="17">IF(C97="X",1,"0")</f>
        <v>0</v>
      </c>
      <c r="T97" s="23" t="str">
        <f>IF(C97="X",1,"0")</f>
        <v>0</v>
      </c>
    </row>
    <row r="98" spans="2:20" x14ac:dyDescent="0.25">
      <c r="C98" s="4"/>
      <c r="D98" s="19" t="s">
        <v>84</v>
      </c>
      <c r="E98" s="15"/>
      <c r="F98" s="15"/>
      <c r="G98" s="15"/>
      <c r="H98" s="15"/>
      <c r="I98" s="15"/>
      <c r="J98" s="15"/>
      <c r="K98" s="15"/>
      <c r="L98" s="15"/>
      <c r="R98" s="23" t="str">
        <f t="shared" si="17"/>
        <v>0</v>
      </c>
      <c r="T98" s="23" t="str">
        <f>IF(C98="X",2,"0")</f>
        <v>0</v>
      </c>
    </row>
    <row r="99" spans="2:20" x14ac:dyDescent="0.25">
      <c r="C99" s="4"/>
      <c r="D99" s="19" t="s">
        <v>85</v>
      </c>
      <c r="E99" s="15"/>
      <c r="F99" s="15"/>
      <c r="G99" s="15"/>
      <c r="H99" s="15"/>
      <c r="I99" s="15"/>
      <c r="J99" s="15"/>
      <c r="K99" s="15"/>
      <c r="L99" s="15"/>
      <c r="R99" s="23" t="str">
        <f t="shared" si="17"/>
        <v>0</v>
      </c>
      <c r="T99" s="23" t="str">
        <f>IF(C99="X",3,"0")</f>
        <v>0</v>
      </c>
    </row>
    <row r="100" spans="2:20" x14ac:dyDescent="0.25">
      <c r="D100" s="19"/>
      <c r="E100" s="15"/>
      <c r="F100" s="15"/>
      <c r="G100" s="15"/>
      <c r="H100" s="15"/>
      <c r="I100" s="15"/>
      <c r="J100" s="15"/>
      <c r="K100" s="15"/>
      <c r="L100" s="15"/>
    </row>
    <row r="101" spans="2:20" x14ac:dyDescent="0.25">
      <c r="B101" s="15">
        <f>B96+1</f>
        <v>19</v>
      </c>
      <c r="C101" s="4"/>
      <c r="D101" s="19" t="s">
        <v>86</v>
      </c>
      <c r="E101" s="15"/>
      <c r="F101" s="15"/>
      <c r="G101" s="15"/>
      <c r="H101" s="15"/>
      <c r="I101" s="15"/>
      <c r="J101" s="15"/>
      <c r="K101" s="15"/>
      <c r="L101" s="15"/>
      <c r="R101" s="23" t="str">
        <f>IF(C101="X",1,"0")</f>
        <v>0</v>
      </c>
      <c r="T101" s="23" t="str">
        <f>IF(C101="X",0,"0")</f>
        <v>0</v>
      </c>
    </row>
    <row r="102" spans="2:20" x14ac:dyDescent="0.25">
      <c r="C102" s="4"/>
      <c r="D102" s="19" t="s">
        <v>87</v>
      </c>
      <c r="E102" s="15"/>
      <c r="F102" s="15"/>
      <c r="G102" s="15"/>
      <c r="H102" s="15"/>
      <c r="I102" s="15"/>
      <c r="J102" s="15"/>
      <c r="K102" s="15"/>
      <c r="L102" s="15"/>
      <c r="R102" s="23" t="str">
        <f t="shared" ref="R102:R104" si="18">IF(C102="X",1,"0")</f>
        <v>0</v>
      </c>
      <c r="T102" s="23" t="str">
        <f>IF(C102="X",1,"0")</f>
        <v>0</v>
      </c>
    </row>
    <row r="103" spans="2:20" x14ac:dyDescent="0.25">
      <c r="C103" s="4"/>
      <c r="D103" s="19" t="s">
        <v>88</v>
      </c>
      <c r="E103" s="15"/>
      <c r="F103" s="15"/>
      <c r="G103" s="15"/>
      <c r="H103" s="15"/>
      <c r="I103" s="15"/>
      <c r="J103" s="15"/>
      <c r="K103" s="15"/>
      <c r="L103" s="15"/>
      <c r="R103" s="23" t="str">
        <f t="shared" si="18"/>
        <v>0</v>
      </c>
      <c r="T103" s="23" t="str">
        <f>IF(C103="X",2,"0")</f>
        <v>0</v>
      </c>
    </row>
    <row r="104" spans="2:20" x14ac:dyDescent="0.25">
      <c r="C104" s="4"/>
      <c r="D104" s="19" t="s">
        <v>89</v>
      </c>
      <c r="E104" s="15"/>
      <c r="F104" s="15"/>
      <c r="G104" s="15"/>
      <c r="H104" s="15"/>
      <c r="I104" s="15"/>
      <c r="J104" s="15"/>
      <c r="K104" s="15"/>
      <c r="L104" s="15"/>
      <c r="R104" s="23" t="str">
        <f t="shared" si="18"/>
        <v>0</v>
      </c>
      <c r="T104" s="23" t="str">
        <f>IF(C104="X",3,"0")</f>
        <v>0</v>
      </c>
    </row>
    <row r="105" spans="2:20" x14ac:dyDescent="0.25">
      <c r="D105" s="19"/>
      <c r="E105" s="15"/>
      <c r="F105" s="15"/>
      <c r="G105" s="15"/>
      <c r="H105" s="15"/>
      <c r="I105" s="15"/>
      <c r="J105" s="15"/>
      <c r="K105" s="15"/>
      <c r="L105" s="15"/>
    </row>
    <row r="106" spans="2:20" x14ac:dyDescent="0.25">
      <c r="B106" s="15">
        <f>B101+1</f>
        <v>20</v>
      </c>
      <c r="C106" s="4"/>
      <c r="D106" s="19" t="s">
        <v>90</v>
      </c>
      <c r="E106" s="15"/>
      <c r="F106" s="15"/>
      <c r="G106" s="15"/>
      <c r="H106" s="15"/>
      <c r="I106" s="15"/>
      <c r="J106" s="15"/>
      <c r="K106" s="15"/>
      <c r="L106" s="15"/>
      <c r="R106" s="23" t="str">
        <f>IF(C106="X",1,"0")</f>
        <v>0</v>
      </c>
      <c r="T106" s="23" t="str">
        <f>IF(C106="X",0,"0")</f>
        <v>0</v>
      </c>
    </row>
    <row r="107" spans="2:20" x14ac:dyDescent="0.25">
      <c r="C107" s="4"/>
      <c r="D107" s="19" t="s">
        <v>91</v>
      </c>
      <c r="E107" s="15"/>
      <c r="F107" s="15"/>
      <c r="G107" s="15"/>
      <c r="H107" s="15"/>
      <c r="I107" s="15"/>
      <c r="J107" s="15"/>
      <c r="K107" s="15"/>
      <c r="L107" s="15"/>
      <c r="R107" s="23" t="str">
        <f t="shared" ref="R107:R109" si="19">IF(C107="X",1,"0")</f>
        <v>0</v>
      </c>
      <c r="T107" s="23" t="str">
        <f>IF(C107="X",1,"0")</f>
        <v>0</v>
      </c>
    </row>
    <row r="108" spans="2:20" x14ac:dyDescent="0.25">
      <c r="C108" s="4"/>
      <c r="D108" s="19" t="s">
        <v>92</v>
      </c>
      <c r="E108" s="15"/>
      <c r="F108" s="15"/>
      <c r="G108" s="15"/>
      <c r="H108" s="15"/>
      <c r="I108" s="15"/>
      <c r="J108" s="15"/>
      <c r="K108" s="15"/>
      <c r="L108" s="15"/>
      <c r="R108" s="23" t="str">
        <f t="shared" si="19"/>
        <v>0</v>
      </c>
      <c r="T108" s="23" t="str">
        <f>IF(C108="X",2,"0")</f>
        <v>0</v>
      </c>
    </row>
    <row r="109" spans="2:20" x14ac:dyDescent="0.25">
      <c r="C109" s="4"/>
      <c r="D109" s="19" t="s">
        <v>45</v>
      </c>
      <c r="E109" s="15"/>
      <c r="F109" s="15"/>
      <c r="G109" s="15"/>
      <c r="H109" s="15"/>
      <c r="I109" s="15"/>
      <c r="J109" s="15"/>
      <c r="K109" s="15"/>
      <c r="L109" s="15"/>
      <c r="R109" s="23" t="str">
        <f t="shared" si="19"/>
        <v>0</v>
      </c>
      <c r="T109" s="23" t="str">
        <f>IF(C109="X",3,"0")</f>
        <v>0</v>
      </c>
    </row>
    <row r="110" spans="2:20" x14ac:dyDescent="0.25">
      <c r="D110" s="19"/>
      <c r="E110" s="15"/>
      <c r="F110" s="15"/>
      <c r="G110" s="15"/>
      <c r="H110" s="15"/>
      <c r="I110" s="15"/>
      <c r="J110" s="15"/>
      <c r="K110" s="15"/>
      <c r="L110" s="15"/>
    </row>
    <row r="111" spans="2:20" x14ac:dyDescent="0.25">
      <c r="B111" s="15">
        <f>B106+1</f>
        <v>21</v>
      </c>
      <c r="C111" s="4"/>
      <c r="D111" s="19" t="s">
        <v>44</v>
      </c>
      <c r="E111" s="15"/>
      <c r="F111" s="15"/>
      <c r="G111" s="15"/>
      <c r="H111" s="15"/>
      <c r="I111" s="15"/>
      <c r="J111" s="15"/>
      <c r="K111" s="15"/>
      <c r="L111" s="15"/>
      <c r="R111" s="23" t="str">
        <f>IF(C111="X",1,"0")</f>
        <v>0</v>
      </c>
      <c r="T111" s="23" t="str">
        <f>IF(C111="X",0,"0")</f>
        <v>0</v>
      </c>
    </row>
    <row r="112" spans="2:20" x14ac:dyDescent="0.25">
      <c r="C112" s="4"/>
      <c r="D112" s="19" t="s">
        <v>43</v>
      </c>
      <c r="E112" s="15"/>
      <c r="F112" s="15"/>
      <c r="G112" s="15"/>
      <c r="H112" s="15"/>
      <c r="I112" s="15"/>
      <c r="J112" s="15"/>
      <c r="K112" s="15"/>
      <c r="L112" s="15"/>
      <c r="R112" s="23" t="str">
        <f t="shared" ref="R112:R114" si="20">IF(C112="X",1,"0")</f>
        <v>0</v>
      </c>
      <c r="T112" s="23" t="str">
        <f>IF(C112="X",1,"0")</f>
        <v>0</v>
      </c>
    </row>
    <row r="113" spans="1:20" x14ac:dyDescent="0.25">
      <c r="C113" s="4"/>
      <c r="D113" s="19" t="s">
        <v>42</v>
      </c>
      <c r="E113" s="15"/>
      <c r="F113" s="15"/>
      <c r="G113" s="15"/>
      <c r="H113" s="15"/>
      <c r="I113" s="15"/>
      <c r="J113" s="15"/>
      <c r="K113" s="15"/>
      <c r="L113" s="15"/>
      <c r="R113" s="23" t="str">
        <f t="shared" si="20"/>
        <v>0</v>
      </c>
      <c r="T113" s="23" t="str">
        <f>IF(C113="X",2,"0")</f>
        <v>0</v>
      </c>
    </row>
    <row r="114" spans="1:20" x14ac:dyDescent="0.25">
      <c r="C114" s="4"/>
      <c r="D114" s="11" t="s">
        <v>10</v>
      </c>
      <c r="E114" s="15"/>
      <c r="F114" s="15"/>
      <c r="G114" s="15"/>
      <c r="H114" s="15"/>
      <c r="I114" s="15"/>
      <c r="J114" s="15"/>
      <c r="K114" s="15"/>
      <c r="L114" s="15"/>
      <c r="R114" s="23" t="str">
        <f t="shared" si="20"/>
        <v>0</v>
      </c>
      <c r="T114" s="23" t="str">
        <f>IF(C114="X",3,"0")</f>
        <v>0</v>
      </c>
    </row>
    <row r="115" spans="1:20" s="15" customFormat="1" x14ac:dyDescent="0.25">
      <c r="A115" s="12"/>
      <c r="B115" s="16"/>
      <c r="C115" s="22"/>
      <c r="D115" s="16"/>
    </row>
    <row r="116" spans="1:20" s="15" customFormat="1" ht="15" customHeight="1" x14ac:dyDescent="0.25">
      <c r="A116" s="12"/>
      <c r="B116" s="16"/>
      <c r="C116" s="20" t="str">
        <f>IF(R116=21,"Terima kasih sudah mengerjakan hingga semuanya",IF(R116&lt;21,"Mohon di cek kembali, sepertinya masih kurang untuk mengisinya"))</f>
        <v>Mohon di cek kembali, sepertinya masih kurang untuk mengisinya</v>
      </c>
      <c r="D116" s="20"/>
      <c r="E116" s="20"/>
      <c r="F116" s="20"/>
      <c r="G116" s="20"/>
      <c r="H116" s="20"/>
      <c r="I116" s="20"/>
      <c r="R116" s="21">
        <f>SUM(R11:R115)</f>
        <v>0</v>
      </c>
      <c r="T116" s="21">
        <f>SUM(T11:T115)</f>
        <v>0</v>
      </c>
    </row>
    <row r="117" spans="1:20" s="15" customFormat="1" x14ac:dyDescent="0.25">
      <c r="A117" s="12"/>
      <c r="B117" s="16"/>
      <c r="C117" s="22"/>
      <c r="D117" s="16"/>
    </row>
    <row r="118" spans="1:20" s="15" customFormat="1" x14ac:dyDescent="0.25">
      <c r="A118" s="12"/>
      <c r="B118" s="16"/>
      <c r="C118" s="22"/>
      <c r="D118" s="16"/>
    </row>
    <row r="119" spans="1:20" x14ac:dyDescent="0.25">
      <c r="D119" s="15"/>
      <c r="E119" s="15"/>
      <c r="F119" s="15"/>
      <c r="G119" s="15"/>
      <c r="H119" s="15"/>
      <c r="I119" s="15"/>
      <c r="J119" s="15"/>
      <c r="K119" s="15"/>
      <c r="L119" s="15"/>
    </row>
    <row r="120" spans="1:20" x14ac:dyDescent="0.25">
      <c r="D120" s="15"/>
      <c r="E120" s="15"/>
      <c r="F120" s="15"/>
      <c r="G120" s="15"/>
      <c r="H120" s="15"/>
      <c r="I120" s="15"/>
      <c r="J120" s="15"/>
      <c r="K120" s="15"/>
      <c r="L120" s="15"/>
    </row>
    <row r="121" spans="1:20" x14ac:dyDescent="0.25"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20" x14ac:dyDescent="0.25">
      <c r="D122" s="15"/>
      <c r="E122" s="15"/>
      <c r="F122" s="15"/>
      <c r="G122" s="15"/>
      <c r="H122" s="15"/>
      <c r="I122" s="15"/>
      <c r="J122" s="15"/>
      <c r="K122" s="15"/>
      <c r="L122" s="15"/>
    </row>
  </sheetData>
  <sheetProtection password="C53D" sheet="1" objects="1" scenarios="1"/>
  <pageMargins left="0.39370078740157483" right="0.39370078740157483" top="0.39370078740157483" bottom="0.39370078740157483" header="0.31496062992125984" footer="0.31496062992125984"/>
  <pageSetup paperSize="9" scale="88" orientation="landscape" r:id="rId1"/>
  <rowBreaks count="2" manualBreakCount="2">
    <brk id="35" max="15" man="1"/>
    <brk id="74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3"/>
  <sheetViews>
    <sheetView tabSelected="1" zoomScale="80" zoomScaleNormal="80" workbookViewId="0">
      <selection activeCell="L3" sqref="L3"/>
    </sheetView>
  </sheetViews>
  <sheetFormatPr defaultColWidth="8.85546875" defaultRowHeight="15" x14ac:dyDescent="0.25"/>
  <cols>
    <col min="1" max="1" width="3.7109375" style="28" customWidth="1"/>
    <col min="2" max="30" width="3.7109375" style="27" customWidth="1"/>
    <col min="31" max="40" width="3.7109375" style="28" customWidth="1"/>
    <col min="41" max="16384" width="8.85546875" style="28"/>
  </cols>
  <sheetData>
    <row r="1" spans="1:30" x14ac:dyDescent="0.3">
      <c r="A1" s="25" t="str">
        <f>Soal!A1</f>
        <v>BDI (The Beck Depression Inventory) Test</v>
      </c>
      <c r="B1" s="26"/>
      <c r="C1" s="26"/>
      <c r="D1" s="26"/>
      <c r="E1" s="26"/>
      <c r="F1" s="26"/>
      <c r="G1" s="26"/>
      <c r="H1" s="26"/>
      <c r="I1" s="26"/>
      <c r="K1" s="25" t="str">
        <f>Soal!G1</f>
        <v>“RAHASIA”</v>
      </c>
      <c r="L1" s="26"/>
      <c r="M1" s="26"/>
    </row>
    <row r="3" spans="1:30" x14ac:dyDescent="0.3">
      <c r="A3" s="14" t="str">
        <f>Soal!A3</f>
        <v>NAMA</v>
      </c>
      <c r="B3" s="18"/>
      <c r="C3" s="18"/>
      <c r="D3" s="18"/>
      <c r="E3" s="18" t="str">
        <f>Soal!C3</f>
        <v>:</v>
      </c>
      <c r="F3" s="29">
        <f>Soal!D3</f>
        <v>0</v>
      </c>
      <c r="G3" s="29"/>
      <c r="H3" s="29"/>
      <c r="I3" s="29"/>
      <c r="J3" s="30"/>
      <c r="K3" s="30"/>
    </row>
    <row r="4" spans="1:30" x14ac:dyDescent="0.3">
      <c r="A4" s="14" t="str">
        <f>Soal!A4</f>
        <v>JENIS KELAMIN</v>
      </c>
      <c r="B4" s="18"/>
      <c r="C4" s="18"/>
      <c r="D4" s="18"/>
      <c r="E4" s="18" t="str">
        <f>Soal!C4</f>
        <v>:</v>
      </c>
      <c r="F4" s="31">
        <f>Soal!D4</f>
        <v>0</v>
      </c>
      <c r="G4" s="31"/>
      <c r="H4" s="31"/>
      <c r="I4" s="31"/>
      <c r="J4" s="32"/>
      <c r="K4" s="32"/>
    </row>
    <row r="5" spans="1:30" x14ac:dyDescent="0.3">
      <c r="A5" s="14" t="str">
        <f>Soal!A5</f>
        <v>USIA</v>
      </c>
      <c r="B5" s="18"/>
      <c r="C5" s="18"/>
      <c r="D5" s="18"/>
      <c r="E5" s="18" t="str">
        <f>Soal!C5</f>
        <v>:</v>
      </c>
      <c r="F5" s="31">
        <f>Soal!D5</f>
        <v>0</v>
      </c>
      <c r="G5" s="31"/>
      <c r="H5" s="31"/>
      <c r="I5" s="31"/>
      <c r="J5" s="32"/>
      <c r="K5" s="32"/>
    </row>
    <row r="6" spans="1:30" x14ac:dyDescent="0.3">
      <c r="A6" s="14" t="str">
        <f>Soal!A6</f>
        <v>PENDIDIKAN</v>
      </c>
      <c r="B6" s="18"/>
      <c r="C6" s="18"/>
      <c r="D6" s="18"/>
      <c r="E6" s="18" t="str">
        <f>Soal!C6</f>
        <v>:</v>
      </c>
      <c r="F6" s="29">
        <f>Soal!D6</f>
        <v>0</v>
      </c>
      <c r="G6" s="29"/>
      <c r="H6" s="29"/>
      <c r="I6" s="29"/>
      <c r="J6" s="30"/>
      <c r="K6" s="30"/>
    </row>
    <row r="7" spans="1:30" x14ac:dyDescent="0.3">
      <c r="A7" s="14" t="str">
        <f>Soal!A7</f>
        <v>PEKERJAAN</v>
      </c>
      <c r="B7" s="18"/>
      <c r="C7" s="18"/>
      <c r="D7" s="18"/>
      <c r="E7" s="18" t="str">
        <f>Soal!C7</f>
        <v>:</v>
      </c>
      <c r="F7" s="31">
        <f>Soal!D7</f>
        <v>0</v>
      </c>
      <c r="G7" s="31"/>
      <c r="H7" s="31"/>
      <c r="I7" s="31"/>
      <c r="J7" s="32"/>
      <c r="K7" s="32"/>
    </row>
    <row r="8" spans="1:30" ht="15.75" thickBot="1" x14ac:dyDescent="0.35"/>
    <row r="9" spans="1:30" s="33" customFormat="1" ht="15.75" thickBot="1" x14ac:dyDescent="0.35">
      <c r="B9" s="34">
        <v>1</v>
      </c>
      <c r="C9" s="35" t="str">
        <f>Soal!T11</f>
        <v>0</v>
      </c>
      <c r="E9" s="34">
        <f>B9+1</f>
        <v>2</v>
      </c>
      <c r="F9" s="35" t="str">
        <f>Soal!T16</f>
        <v>0</v>
      </c>
      <c r="H9" s="34">
        <f>E9+1</f>
        <v>3</v>
      </c>
      <c r="I9" s="35" t="str">
        <f>Soal!T21</f>
        <v>0</v>
      </c>
      <c r="K9" s="34">
        <f>H9+1</f>
        <v>4</v>
      </c>
      <c r="L9" s="35" t="str">
        <f>Soal!T26</f>
        <v>0</v>
      </c>
      <c r="N9" s="34">
        <f>K9+1</f>
        <v>5</v>
      </c>
      <c r="O9" s="35" t="str">
        <f>Soal!T31</f>
        <v>0</v>
      </c>
      <c r="Q9" s="34">
        <f>N9+1</f>
        <v>6</v>
      </c>
      <c r="R9" s="35" t="str">
        <f>Soal!T36</f>
        <v>0</v>
      </c>
      <c r="T9" s="34">
        <f>Q9+1</f>
        <v>7</v>
      </c>
      <c r="U9" s="35" t="str">
        <f>Soal!T41</f>
        <v>0</v>
      </c>
      <c r="W9" s="34">
        <f>T9+1</f>
        <v>8</v>
      </c>
      <c r="X9" s="35" t="str">
        <f>Soal!T46</f>
        <v>0</v>
      </c>
      <c r="Z9" s="34">
        <f>W9+1</f>
        <v>9</v>
      </c>
      <c r="AA9" s="35" t="str">
        <f>Soal!T51</f>
        <v>0</v>
      </c>
      <c r="AC9" s="34">
        <f>Z9+1</f>
        <v>10</v>
      </c>
      <c r="AD9" s="35" t="str">
        <f>Soal!T56</f>
        <v>0</v>
      </c>
    </row>
    <row r="10" spans="1:30" s="33" customFormat="1" x14ac:dyDescent="0.3">
      <c r="B10" s="17"/>
      <c r="C10" s="23" t="str">
        <f>Soal!T12</f>
        <v>0</v>
      </c>
      <c r="E10" s="17"/>
      <c r="F10" s="23" t="str">
        <f>Soal!T17</f>
        <v>0</v>
      </c>
      <c r="H10" s="21"/>
      <c r="I10" s="23" t="str">
        <f>Soal!T22</f>
        <v>0</v>
      </c>
      <c r="K10" s="21"/>
      <c r="L10" s="23" t="str">
        <f>Soal!T27</f>
        <v>0</v>
      </c>
      <c r="N10" s="21"/>
      <c r="O10" s="23" t="str">
        <f>Soal!T32</f>
        <v>0</v>
      </c>
      <c r="Q10" s="21"/>
      <c r="R10" s="23" t="str">
        <f>Soal!T37</f>
        <v>0</v>
      </c>
      <c r="T10" s="21"/>
      <c r="U10" s="23" t="str">
        <f>Soal!T42</f>
        <v>0</v>
      </c>
      <c r="W10" s="21"/>
      <c r="X10" s="23" t="str">
        <f>Soal!T47</f>
        <v>0</v>
      </c>
      <c r="Z10" s="21"/>
      <c r="AA10" s="23" t="str">
        <f>Soal!T52</f>
        <v>0</v>
      </c>
      <c r="AC10" s="21"/>
      <c r="AD10" s="23" t="str">
        <f>Soal!T57</f>
        <v>0</v>
      </c>
    </row>
    <row r="11" spans="1:30" s="33" customFormat="1" x14ac:dyDescent="0.3">
      <c r="B11" s="17"/>
      <c r="C11" s="23" t="str">
        <f>Soal!T13</f>
        <v>0</v>
      </c>
      <c r="E11" s="17"/>
      <c r="F11" s="23" t="str">
        <f>Soal!T18</f>
        <v>0</v>
      </c>
      <c r="H11" s="21"/>
      <c r="I11" s="23" t="str">
        <f>Soal!T23</f>
        <v>0</v>
      </c>
      <c r="K11" s="21"/>
      <c r="L11" s="23" t="str">
        <f>Soal!T28</f>
        <v>0</v>
      </c>
      <c r="N11" s="21"/>
      <c r="O11" s="23" t="str">
        <f>Soal!T33</f>
        <v>0</v>
      </c>
      <c r="Q11" s="21"/>
      <c r="R11" s="23" t="str">
        <f>Soal!T38</f>
        <v>0</v>
      </c>
      <c r="T11" s="21"/>
      <c r="U11" s="23" t="str">
        <f>Soal!T43</f>
        <v>0</v>
      </c>
      <c r="W11" s="21"/>
      <c r="X11" s="23" t="str">
        <f>Soal!T48</f>
        <v>0</v>
      </c>
      <c r="Z11" s="21"/>
      <c r="AA11" s="23" t="str">
        <f>Soal!T53</f>
        <v>0</v>
      </c>
      <c r="AC11" s="21"/>
      <c r="AD11" s="23" t="str">
        <f>Soal!T58</f>
        <v>0</v>
      </c>
    </row>
    <row r="12" spans="1:30" s="33" customFormat="1" x14ac:dyDescent="0.3">
      <c r="B12" s="17"/>
      <c r="C12" s="23" t="str">
        <f>Soal!T14</f>
        <v>0</v>
      </c>
      <c r="E12" s="17"/>
      <c r="F12" s="23" t="str">
        <f>Soal!T19</f>
        <v>0</v>
      </c>
      <c r="H12" s="21"/>
      <c r="I12" s="23" t="str">
        <f>Soal!T24</f>
        <v>0</v>
      </c>
      <c r="K12" s="21"/>
      <c r="L12" s="23" t="str">
        <f>Soal!T29</f>
        <v>0</v>
      </c>
      <c r="N12" s="21"/>
      <c r="O12" s="23" t="str">
        <f>Soal!T34</f>
        <v>0</v>
      </c>
      <c r="Q12" s="21"/>
      <c r="R12" s="23" t="str">
        <f>Soal!T39</f>
        <v>0</v>
      </c>
      <c r="T12" s="21"/>
      <c r="U12" s="23" t="str">
        <f>Soal!T44</f>
        <v>0</v>
      </c>
      <c r="W12" s="21"/>
      <c r="X12" s="23" t="str">
        <f>Soal!T49</f>
        <v>0</v>
      </c>
      <c r="Z12" s="21"/>
      <c r="AA12" s="23" t="str">
        <f>Soal!T54</f>
        <v>0</v>
      </c>
      <c r="AC12" s="21"/>
      <c r="AD12" s="23" t="str">
        <f>Soal!T59</f>
        <v>0</v>
      </c>
    </row>
    <row r="13" spans="1:30" s="33" customFormat="1" x14ac:dyDescent="0.3">
      <c r="B13" s="17"/>
      <c r="C13" s="21"/>
      <c r="E13" s="17"/>
    </row>
    <row r="14" spans="1:30" s="33" customFormat="1" ht="15.75" thickBot="1" x14ac:dyDescent="0.35">
      <c r="B14" s="36"/>
      <c r="C14" s="37"/>
      <c r="D14" s="38"/>
      <c r="E14" s="17"/>
    </row>
    <row r="15" spans="1:30" s="33" customFormat="1" ht="15.75" thickBot="1" x14ac:dyDescent="0.35">
      <c r="B15" s="34">
        <f>AC9+1</f>
        <v>11</v>
      </c>
      <c r="C15" s="35" t="str">
        <f>Soal!T61</f>
        <v>0</v>
      </c>
      <c r="D15" s="38"/>
      <c r="E15" s="34">
        <f>B15+1</f>
        <v>12</v>
      </c>
      <c r="F15" s="35" t="str">
        <f>Soal!T66</f>
        <v>0</v>
      </c>
      <c r="H15" s="34">
        <f>E15+1</f>
        <v>13</v>
      </c>
      <c r="I15" s="35" t="str">
        <f>Soal!T71</f>
        <v>0</v>
      </c>
      <c r="K15" s="34">
        <f>H15+1</f>
        <v>14</v>
      </c>
      <c r="L15" s="35" t="str">
        <f>Soal!T76</f>
        <v>0</v>
      </c>
      <c r="N15" s="34">
        <f>K15+1</f>
        <v>15</v>
      </c>
      <c r="O15" s="35" t="str">
        <f>Soal!T81</f>
        <v>0</v>
      </c>
      <c r="Q15" s="34">
        <f>N15+1</f>
        <v>16</v>
      </c>
      <c r="R15" s="35" t="str">
        <f>Soal!T86</f>
        <v>0</v>
      </c>
      <c r="T15" s="34">
        <f>Q15+1</f>
        <v>17</v>
      </c>
      <c r="U15" s="35" t="str">
        <f>Soal!T91</f>
        <v>0</v>
      </c>
      <c r="W15" s="34">
        <f>T15+1</f>
        <v>18</v>
      </c>
      <c r="X15" s="35" t="str">
        <f>Soal!T96</f>
        <v>0</v>
      </c>
      <c r="Z15" s="34">
        <f>W15+1</f>
        <v>19</v>
      </c>
      <c r="AA15" s="35" t="str">
        <f>Soal!T101</f>
        <v>0</v>
      </c>
      <c r="AC15" s="34">
        <f>Z15+1</f>
        <v>20</v>
      </c>
      <c r="AD15" s="35" t="str">
        <f>Soal!T106</f>
        <v>0</v>
      </c>
    </row>
    <row r="16" spans="1:30" s="33" customFormat="1" x14ac:dyDescent="0.3">
      <c r="B16" s="17"/>
      <c r="C16" s="23" t="str">
        <f>Soal!T62</f>
        <v>0</v>
      </c>
      <c r="D16" s="38"/>
      <c r="E16" s="21"/>
      <c r="F16" s="23" t="str">
        <f>Soal!T67</f>
        <v>0</v>
      </c>
      <c r="H16" s="21"/>
      <c r="I16" s="23" t="str">
        <f>Soal!T72</f>
        <v>0</v>
      </c>
      <c r="K16" s="21"/>
      <c r="L16" s="23" t="str">
        <f>Soal!T77</f>
        <v>0</v>
      </c>
      <c r="N16" s="21"/>
      <c r="O16" s="23" t="str">
        <f>Soal!T82</f>
        <v>0</v>
      </c>
      <c r="Q16" s="21"/>
      <c r="R16" s="23" t="str">
        <f>Soal!T87</f>
        <v>0</v>
      </c>
      <c r="T16" s="21"/>
      <c r="U16" s="23" t="str">
        <f>Soal!T92</f>
        <v>0</v>
      </c>
      <c r="W16" s="21"/>
      <c r="X16" s="23" t="str">
        <f>Soal!T97</f>
        <v>0</v>
      </c>
      <c r="Z16" s="21"/>
      <c r="AA16" s="23" t="str">
        <f>Soal!T102</f>
        <v>0</v>
      </c>
      <c r="AC16" s="21"/>
      <c r="AD16" s="23" t="str">
        <f>Soal!T107</f>
        <v>0</v>
      </c>
    </row>
    <row r="17" spans="2:30" s="33" customFormat="1" x14ac:dyDescent="0.3">
      <c r="B17" s="17"/>
      <c r="C17" s="23" t="str">
        <f>Soal!T63</f>
        <v>0</v>
      </c>
      <c r="D17" s="38"/>
      <c r="E17" s="21"/>
      <c r="F17" s="23" t="str">
        <f>Soal!T68</f>
        <v>0</v>
      </c>
      <c r="H17" s="21"/>
      <c r="I17" s="23" t="str">
        <f>Soal!T73</f>
        <v>0</v>
      </c>
      <c r="K17" s="21"/>
      <c r="L17" s="23" t="str">
        <f>Soal!T78</f>
        <v>0</v>
      </c>
      <c r="N17" s="21"/>
      <c r="O17" s="23" t="str">
        <f>Soal!T83</f>
        <v>0</v>
      </c>
      <c r="Q17" s="21"/>
      <c r="R17" s="23" t="str">
        <f>Soal!T88</f>
        <v>0</v>
      </c>
      <c r="T17" s="21"/>
      <c r="U17" s="23" t="str">
        <f>Soal!T93</f>
        <v>0</v>
      </c>
      <c r="W17" s="21"/>
      <c r="X17" s="23" t="str">
        <f>Soal!T98</f>
        <v>0</v>
      </c>
      <c r="Z17" s="21"/>
      <c r="AA17" s="23" t="str">
        <f>Soal!T103</f>
        <v>0</v>
      </c>
      <c r="AC17" s="21"/>
      <c r="AD17" s="23" t="str">
        <f>Soal!T108</f>
        <v>0</v>
      </c>
    </row>
    <row r="18" spans="2:30" s="33" customFormat="1" x14ac:dyDescent="0.3">
      <c r="B18" s="17"/>
      <c r="C18" s="23" t="str">
        <f>Soal!T64</f>
        <v>0</v>
      </c>
      <c r="D18" s="38"/>
      <c r="E18" s="21"/>
      <c r="F18" s="23" t="str">
        <f>Soal!T69</f>
        <v>0</v>
      </c>
      <c r="H18" s="21"/>
      <c r="I18" s="23" t="str">
        <f>Soal!T74</f>
        <v>0</v>
      </c>
      <c r="K18" s="21"/>
      <c r="L18" s="23" t="str">
        <f>Soal!T79</f>
        <v>0</v>
      </c>
      <c r="N18" s="21"/>
      <c r="O18" s="23" t="str">
        <f>Soal!T84</f>
        <v>0</v>
      </c>
      <c r="Q18" s="21"/>
      <c r="R18" s="23" t="str">
        <f>Soal!T89</f>
        <v>0</v>
      </c>
      <c r="T18" s="21"/>
      <c r="U18" s="23" t="str">
        <f>Soal!T94</f>
        <v>0</v>
      </c>
      <c r="W18" s="21"/>
      <c r="X18" s="23" t="str">
        <f>Soal!T99</f>
        <v>0</v>
      </c>
      <c r="Z18" s="21"/>
      <c r="AA18" s="23" t="str">
        <f>Soal!T104</f>
        <v>0</v>
      </c>
      <c r="AC18" s="21"/>
      <c r="AD18" s="23" t="str">
        <f>Soal!T109</f>
        <v>0</v>
      </c>
    </row>
    <row r="19" spans="2:30" s="33" customFormat="1" x14ac:dyDescent="0.3">
      <c r="B19" s="36"/>
      <c r="C19" s="37"/>
      <c r="D19" s="38"/>
    </row>
    <row r="20" spans="2:30" s="33" customFormat="1" ht="15.75" thickBot="1" x14ac:dyDescent="0.35">
      <c r="B20" s="36"/>
      <c r="C20" s="37"/>
      <c r="D20" s="38"/>
    </row>
    <row r="21" spans="2:30" s="33" customFormat="1" ht="15.75" thickBot="1" x14ac:dyDescent="0.35">
      <c r="B21" s="34">
        <f>AC15+1</f>
        <v>21</v>
      </c>
      <c r="C21" s="35" t="str">
        <f>Soal!T111</f>
        <v>0</v>
      </c>
      <c r="D21" s="38"/>
      <c r="F21" s="39">
        <f>SUM(C9:C24)</f>
        <v>0</v>
      </c>
      <c r="G21" s="39">
        <f>SUM(R9:R18)</f>
        <v>0</v>
      </c>
      <c r="I21" s="40"/>
      <c r="J21" s="41">
        <f>SUM(F21:G25)</f>
        <v>0</v>
      </c>
      <c r="K21" s="42"/>
      <c r="L21" s="47" t="s">
        <v>93</v>
      </c>
      <c r="M21" s="47"/>
      <c r="N21" s="47"/>
    </row>
    <row r="22" spans="2:30" s="33" customFormat="1" x14ac:dyDescent="0.25">
      <c r="B22" s="17"/>
      <c r="C22" s="23" t="str">
        <f>Soal!T112</f>
        <v>0</v>
      </c>
      <c r="D22" s="38"/>
      <c r="F22" s="39">
        <f>SUM(F9:F18)</f>
        <v>0</v>
      </c>
      <c r="G22" s="39">
        <f>SUM(U9:U18)</f>
        <v>0</v>
      </c>
      <c r="K22" s="43"/>
      <c r="L22" s="46" t="str">
        <f>IF(AND(J21&gt;=0,J21&lt;=10),"Naik turun perasaan ini cenderung masih tergolong wajar",IF(AND(J21&gt;=11,J21&lt;=16),"Cenderung gangguan “mood” atau perasaan murung yang ringan, sebaiknya mulai relax, refresing atau menghibur diri sendiri",IF(AND(J21&gt;=17,J21&lt;=20),"Cenderung garis batas depresi klinis, sebaiknya mulai konsultasikan dengan profesional",IF(AND(J21&gt;=21,J21&lt;=30),"Cenderung depresi Sedang, sebaiknya mulai konsultasikan dengan profesional",IF(AND(J21&gt;=31,J21&lt;=40),"Cenderung depresi Parah, sebaiknya mulai konsultasikan dengan profesional","Cenderung depresi Ekstrim, sebaiknya mulai konsultasikan dengan profesional")))))</f>
        <v>Naik turun perasaan ini cenderung masih tergolong wajar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 spans="2:30" s="33" customFormat="1" x14ac:dyDescent="0.25">
      <c r="B23" s="21"/>
      <c r="C23" s="23" t="str">
        <f>Soal!T113</f>
        <v>0</v>
      </c>
      <c r="D23" s="38"/>
      <c r="F23" s="39">
        <f>SUM(I9:I18)</f>
        <v>0</v>
      </c>
      <c r="G23" s="39">
        <f>SUM(X9:X18)</f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</row>
    <row r="24" spans="2:30" s="33" customFormat="1" x14ac:dyDescent="0.3">
      <c r="B24" s="21"/>
      <c r="C24" s="23" t="str">
        <f>Soal!T114</f>
        <v>0</v>
      </c>
      <c r="D24" s="38"/>
      <c r="F24" s="39">
        <f>SUM(L9:L18)</f>
        <v>0</v>
      </c>
      <c r="G24" s="39">
        <f>SUM(AA9:AA18)</f>
        <v>0</v>
      </c>
    </row>
    <row r="25" spans="2:30" s="33" customFormat="1" x14ac:dyDescent="0.3">
      <c r="B25" s="37"/>
      <c r="C25" s="37"/>
      <c r="D25" s="38"/>
      <c r="F25" s="39">
        <f>SUM(O9:O18)</f>
        <v>0</v>
      </c>
      <c r="G25" s="39">
        <f>SUM(AD9:AD18)</f>
        <v>0</v>
      </c>
    </row>
    <row r="26" spans="2:30" x14ac:dyDescent="0.3">
      <c r="B26" s="44"/>
      <c r="C26" s="44"/>
      <c r="D26" s="45"/>
    </row>
    <row r="27" spans="2:30" x14ac:dyDescent="0.3">
      <c r="B27" s="44"/>
      <c r="C27" s="44"/>
      <c r="D27" s="45"/>
    </row>
    <row r="28" spans="2:30" x14ac:dyDescent="0.3">
      <c r="B28" s="44"/>
      <c r="C28" s="44"/>
      <c r="D28" s="45"/>
    </row>
    <row r="29" spans="2:30" x14ac:dyDescent="0.3">
      <c r="B29" s="44"/>
      <c r="C29" s="44"/>
      <c r="D29" s="45"/>
    </row>
    <row r="30" spans="2:30" x14ac:dyDescent="0.3">
      <c r="B30" s="44"/>
      <c r="C30" s="44"/>
      <c r="D30" s="45"/>
    </row>
    <row r="31" spans="2:30" x14ac:dyDescent="0.3">
      <c r="B31" s="44"/>
      <c r="C31" s="44"/>
      <c r="D31" s="45"/>
    </row>
    <row r="32" spans="2:30" x14ac:dyDescent="0.3">
      <c r="B32" s="44"/>
      <c r="C32" s="44"/>
      <c r="D32" s="45"/>
    </row>
    <row r="33" spans="2:4" x14ac:dyDescent="0.3">
      <c r="B33" s="44"/>
      <c r="C33" s="44"/>
      <c r="D33" s="45"/>
    </row>
    <row r="34" spans="2:4" x14ac:dyDescent="0.3">
      <c r="B34" s="44"/>
      <c r="C34" s="44"/>
      <c r="D34" s="45"/>
    </row>
    <row r="35" spans="2:4" x14ac:dyDescent="0.25">
      <c r="B35" s="44"/>
      <c r="C35" s="44"/>
      <c r="D35" s="45"/>
    </row>
    <row r="36" spans="2:4" x14ac:dyDescent="0.25">
      <c r="B36" s="44"/>
      <c r="C36" s="44"/>
      <c r="D36" s="45"/>
    </row>
    <row r="37" spans="2:4" x14ac:dyDescent="0.25">
      <c r="B37" s="44"/>
      <c r="C37" s="44"/>
      <c r="D37" s="45"/>
    </row>
    <row r="38" spans="2:4" x14ac:dyDescent="0.25">
      <c r="B38" s="44"/>
      <c r="C38" s="44"/>
      <c r="D38" s="45"/>
    </row>
    <row r="39" spans="2:4" x14ac:dyDescent="0.25">
      <c r="B39" s="44"/>
      <c r="C39" s="44"/>
      <c r="D39" s="45"/>
    </row>
    <row r="40" spans="2:4" x14ac:dyDescent="0.25">
      <c r="B40" s="44"/>
      <c r="C40" s="44"/>
      <c r="D40" s="45"/>
    </row>
    <row r="41" spans="2:4" x14ac:dyDescent="0.25">
      <c r="B41" s="44"/>
      <c r="C41" s="44"/>
      <c r="D41" s="45"/>
    </row>
    <row r="42" spans="2:4" x14ac:dyDescent="0.25">
      <c r="B42" s="44"/>
      <c r="C42" s="44"/>
      <c r="D42" s="45"/>
    </row>
    <row r="43" spans="2:4" x14ac:dyDescent="0.25">
      <c r="B43" s="44"/>
      <c r="C43" s="44"/>
      <c r="D43" s="45"/>
    </row>
    <row r="44" spans="2:4" x14ac:dyDescent="0.25">
      <c r="B44" s="44"/>
      <c r="C44" s="44"/>
      <c r="D44" s="45"/>
    </row>
    <row r="45" spans="2:4" x14ac:dyDescent="0.25">
      <c r="B45" s="44"/>
      <c r="C45" s="44"/>
      <c r="D45" s="45"/>
    </row>
    <row r="46" spans="2:4" x14ac:dyDescent="0.25">
      <c r="B46" s="44"/>
      <c r="C46" s="44"/>
      <c r="D46" s="45"/>
    </row>
    <row r="47" spans="2:4" x14ac:dyDescent="0.25">
      <c r="B47" s="44"/>
      <c r="C47" s="44"/>
      <c r="D47" s="45"/>
    </row>
    <row r="48" spans="2:4" x14ac:dyDescent="0.25">
      <c r="B48" s="44"/>
      <c r="C48" s="44"/>
      <c r="D48" s="45"/>
    </row>
    <row r="49" spans="2:4" x14ac:dyDescent="0.25">
      <c r="B49" s="44"/>
      <c r="C49" s="44"/>
      <c r="D49" s="45"/>
    </row>
    <row r="50" spans="2:4" x14ac:dyDescent="0.25">
      <c r="B50" s="44"/>
      <c r="C50" s="44"/>
      <c r="D50" s="45"/>
    </row>
    <row r="51" spans="2:4" x14ac:dyDescent="0.25">
      <c r="B51" s="44"/>
      <c r="C51" s="44"/>
      <c r="D51" s="45"/>
    </row>
    <row r="52" spans="2:4" x14ac:dyDescent="0.25">
      <c r="B52" s="44"/>
      <c r="C52" s="44"/>
      <c r="D52" s="45"/>
    </row>
    <row r="53" spans="2:4" x14ac:dyDescent="0.25">
      <c r="B53" s="44"/>
      <c r="C53" s="44"/>
      <c r="D53" s="45"/>
    </row>
    <row r="54" spans="2:4" x14ac:dyDescent="0.25">
      <c r="B54" s="44"/>
      <c r="C54" s="44"/>
      <c r="D54" s="45"/>
    </row>
    <row r="55" spans="2:4" x14ac:dyDescent="0.25">
      <c r="B55" s="44"/>
      <c r="C55" s="44"/>
      <c r="D55" s="45"/>
    </row>
    <row r="56" spans="2:4" x14ac:dyDescent="0.25">
      <c r="B56" s="44"/>
      <c r="C56" s="44"/>
      <c r="D56" s="45"/>
    </row>
    <row r="57" spans="2:4" x14ac:dyDescent="0.25">
      <c r="B57" s="44"/>
      <c r="C57" s="44"/>
      <c r="D57" s="45"/>
    </row>
    <row r="58" spans="2:4" x14ac:dyDescent="0.25">
      <c r="B58" s="44"/>
      <c r="C58" s="44"/>
      <c r="D58" s="45"/>
    </row>
    <row r="59" spans="2:4" x14ac:dyDescent="0.25">
      <c r="B59" s="44"/>
      <c r="C59" s="44"/>
      <c r="D59" s="45"/>
    </row>
    <row r="60" spans="2:4" x14ac:dyDescent="0.25">
      <c r="B60" s="44"/>
      <c r="C60" s="44"/>
      <c r="D60" s="45"/>
    </row>
    <row r="61" spans="2:4" x14ac:dyDescent="0.25">
      <c r="B61" s="44"/>
      <c r="C61" s="44"/>
      <c r="D61" s="45"/>
    </row>
    <row r="62" spans="2:4" x14ac:dyDescent="0.25">
      <c r="B62" s="44"/>
      <c r="C62" s="44"/>
      <c r="D62" s="45"/>
    </row>
    <row r="63" spans="2:4" x14ac:dyDescent="0.25">
      <c r="B63" s="44"/>
      <c r="C63" s="44"/>
      <c r="D63" s="45"/>
    </row>
    <row r="64" spans="2:4" x14ac:dyDescent="0.25">
      <c r="B64" s="44"/>
      <c r="C64" s="44"/>
      <c r="D64" s="45"/>
    </row>
    <row r="65" spans="2:4" x14ac:dyDescent="0.25">
      <c r="B65" s="44"/>
      <c r="C65" s="44"/>
      <c r="D65" s="45"/>
    </row>
    <row r="66" spans="2:4" x14ac:dyDescent="0.25">
      <c r="B66" s="44"/>
      <c r="C66" s="44"/>
      <c r="D66" s="45"/>
    </row>
    <row r="67" spans="2:4" x14ac:dyDescent="0.25">
      <c r="B67" s="44"/>
      <c r="C67" s="44"/>
      <c r="D67" s="45"/>
    </row>
    <row r="68" spans="2:4" x14ac:dyDescent="0.25">
      <c r="B68" s="44"/>
      <c r="C68" s="44"/>
      <c r="D68" s="45"/>
    </row>
    <row r="69" spans="2:4" x14ac:dyDescent="0.25">
      <c r="B69" s="44"/>
      <c r="C69" s="44"/>
      <c r="D69" s="45"/>
    </row>
    <row r="70" spans="2:4" x14ac:dyDescent="0.25">
      <c r="B70" s="44"/>
      <c r="C70" s="44"/>
      <c r="D70" s="45"/>
    </row>
    <row r="71" spans="2:4" x14ac:dyDescent="0.25">
      <c r="B71" s="44"/>
      <c r="C71" s="44"/>
      <c r="D71" s="45"/>
    </row>
    <row r="72" spans="2:4" x14ac:dyDescent="0.25">
      <c r="B72" s="44"/>
      <c r="C72" s="44"/>
      <c r="D72" s="45"/>
    </row>
    <row r="73" spans="2:4" x14ac:dyDescent="0.25">
      <c r="B73" s="44"/>
      <c r="C73" s="44"/>
      <c r="D73" s="45"/>
    </row>
    <row r="74" spans="2:4" x14ac:dyDescent="0.25">
      <c r="B74" s="44"/>
      <c r="C74" s="44"/>
      <c r="D74" s="45"/>
    </row>
    <row r="75" spans="2:4" x14ac:dyDescent="0.25">
      <c r="B75" s="44"/>
      <c r="C75" s="44"/>
      <c r="D75" s="45"/>
    </row>
    <row r="76" spans="2:4" x14ac:dyDescent="0.25">
      <c r="B76" s="44"/>
      <c r="C76" s="44"/>
      <c r="D76" s="45"/>
    </row>
    <row r="77" spans="2:4" x14ac:dyDescent="0.25">
      <c r="B77" s="44"/>
      <c r="C77" s="44"/>
      <c r="D77" s="45"/>
    </row>
    <row r="78" spans="2:4" x14ac:dyDescent="0.25">
      <c r="B78" s="44"/>
      <c r="C78" s="44"/>
      <c r="D78" s="45"/>
    </row>
    <row r="79" spans="2:4" x14ac:dyDescent="0.25">
      <c r="B79" s="44"/>
      <c r="C79" s="44"/>
      <c r="D79" s="45"/>
    </row>
    <row r="80" spans="2:4" x14ac:dyDescent="0.25">
      <c r="B80" s="44"/>
      <c r="C80" s="44"/>
      <c r="D80" s="45"/>
    </row>
    <row r="81" spans="2:4" x14ac:dyDescent="0.25">
      <c r="B81" s="44"/>
      <c r="C81" s="44"/>
      <c r="D81" s="45"/>
    </row>
    <row r="82" spans="2:4" x14ac:dyDescent="0.25">
      <c r="B82" s="44"/>
      <c r="C82" s="44"/>
      <c r="D82" s="45"/>
    </row>
    <row r="83" spans="2:4" x14ac:dyDescent="0.25">
      <c r="B83" s="44"/>
      <c r="C83" s="44"/>
      <c r="D83" s="45"/>
    </row>
    <row r="84" spans="2:4" x14ac:dyDescent="0.25">
      <c r="B84" s="44"/>
      <c r="C84" s="44"/>
      <c r="D84" s="45"/>
    </row>
    <row r="85" spans="2:4" x14ac:dyDescent="0.25">
      <c r="B85" s="44"/>
      <c r="C85" s="44"/>
      <c r="D85" s="45"/>
    </row>
    <row r="86" spans="2:4" x14ac:dyDescent="0.25">
      <c r="B86" s="44"/>
      <c r="C86" s="44"/>
      <c r="D86" s="45"/>
    </row>
    <row r="87" spans="2:4" x14ac:dyDescent="0.25">
      <c r="B87" s="44"/>
      <c r="C87" s="44"/>
      <c r="D87" s="45"/>
    </row>
    <row r="88" spans="2:4" x14ac:dyDescent="0.25">
      <c r="B88" s="44"/>
      <c r="C88" s="44"/>
      <c r="D88" s="45"/>
    </row>
    <row r="89" spans="2:4" x14ac:dyDescent="0.25">
      <c r="B89" s="44"/>
      <c r="C89" s="44"/>
      <c r="D89" s="45"/>
    </row>
    <row r="90" spans="2:4" x14ac:dyDescent="0.25">
      <c r="B90" s="44"/>
      <c r="C90" s="44"/>
      <c r="D90" s="45"/>
    </row>
    <row r="91" spans="2:4" x14ac:dyDescent="0.25">
      <c r="B91" s="44"/>
      <c r="C91" s="44"/>
      <c r="D91" s="45"/>
    </row>
    <row r="92" spans="2:4" x14ac:dyDescent="0.25">
      <c r="B92" s="44"/>
      <c r="C92" s="44"/>
      <c r="D92" s="45"/>
    </row>
    <row r="93" spans="2:4" x14ac:dyDescent="0.25">
      <c r="B93" s="44"/>
      <c r="C93" s="44"/>
      <c r="D93" s="45"/>
    </row>
    <row r="94" spans="2:4" x14ac:dyDescent="0.25">
      <c r="B94" s="44"/>
      <c r="C94" s="44"/>
      <c r="D94" s="45"/>
    </row>
    <row r="95" spans="2:4" x14ac:dyDescent="0.25">
      <c r="B95" s="44"/>
      <c r="C95" s="44"/>
      <c r="D95" s="45"/>
    </row>
    <row r="96" spans="2:4" x14ac:dyDescent="0.25">
      <c r="B96" s="44"/>
      <c r="C96" s="44"/>
      <c r="D96" s="45"/>
    </row>
    <row r="97" spans="2:4" x14ac:dyDescent="0.25">
      <c r="B97" s="44"/>
      <c r="C97" s="44"/>
      <c r="D97" s="45"/>
    </row>
    <row r="98" spans="2:4" x14ac:dyDescent="0.25">
      <c r="B98" s="44"/>
      <c r="C98" s="44"/>
      <c r="D98" s="45"/>
    </row>
    <row r="99" spans="2:4" x14ac:dyDescent="0.25">
      <c r="B99" s="44"/>
      <c r="C99" s="44"/>
      <c r="D99" s="45"/>
    </row>
    <row r="100" spans="2:4" x14ac:dyDescent="0.25">
      <c r="B100" s="44"/>
      <c r="C100" s="44"/>
      <c r="D100" s="45"/>
    </row>
    <row r="101" spans="2:4" x14ac:dyDescent="0.25">
      <c r="B101" s="44"/>
      <c r="C101" s="44"/>
      <c r="D101" s="45"/>
    </row>
    <row r="102" spans="2:4" x14ac:dyDescent="0.25">
      <c r="B102" s="44"/>
      <c r="C102" s="44"/>
      <c r="D102" s="45"/>
    </row>
    <row r="103" spans="2:4" x14ac:dyDescent="0.25">
      <c r="B103" s="44"/>
      <c r="C103" s="44"/>
      <c r="D103" s="45"/>
    </row>
    <row r="104" spans="2:4" x14ac:dyDescent="0.25">
      <c r="B104" s="44"/>
      <c r="C104" s="44"/>
      <c r="D104" s="45"/>
    </row>
    <row r="105" spans="2:4" x14ac:dyDescent="0.25">
      <c r="B105" s="44"/>
      <c r="C105" s="44"/>
      <c r="D105" s="45"/>
    </row>
    <row r="106" spans="2:4" x14ac:dyDescent="0.25">
      <c r="B106" s="44"/>
      <c r="C106" s="44"/>
      <c r="D106" s="45"/>
    </row>
    <row r="107" spans="2:4" x14ac:dyDescent="0.25">
      <c r="B107" s="44"/>
      <c r="C107" s="44"/>
      <c r="D107" s="45"/>
    </row>
    <row r="108" spans="2:4" x14ac:dyDescent="0.25">
      <c r="B108" s="44"/>
      <c r="C108" s="44"/>
      <c r="D108" s="45"/>
    </row>
    <row r="109" spans="2:4" x14ac:dyDescent="0.25">
      <c r="B109" s="45"/>
      <c r="C109" s="45"/>
      <c r="D109" s="45"/>
    </row>
    <row r="110" spans="2:4" x14ac:dyDescent="0.25">
      <c r="B110" s="45"/>
      <c r="C110" s="45"/>
      <c r="D110" s="45"/>
    </row>
    <row r="111" spans="2:4" x14ac:dyDescent="0.25">
      <c r="B111" s="45"/>
      <c r="C111" s="45"/>
      <c r="D111" s="45"/>
    </row>
    <row r="112" spans="2:4" x14ac:dyDescent="0.25">
      <c r="B112" s="45"/>
      <c r="C112" s="45"/>
      <c r="D112" s="45"/>
    </row>
    <row r="113" spans="2:4" x14ac:dyDescent="0.25">
      <c r="B113" s="45"/>
      <c r="C113" s="45"/>
      <c r="D113" s="45"/>
    </row>
    <row r="114" spans="2:4" x14ac:dyDescent="0.25">
      <c r="B114" s="45"/>
      <c r="C114" s="45"/>
      <c r="D114" s="45"/>
    </row>
    <row r="115" spans="2:4" x14ac:dyDescent="0.25">
      <c r="B115" s="45"/>
      <c r="C115" s="45"/>
      <c r="D115" s="45"/>
    </row>
    <row r="116" spans="2:4" x14ac:dyDescent="0.25">
      <c r="B116" s="45"/>
      <c r="C116" s="45"/>
      <c r="D116" s="45"/>
    </row>
    <row r="117" spans="2:4" x14ac:dyDescent="0.25">
      <c r="B117" s="45"/>
      <c r="C117" s="45"/>
      <c r="D117" s="45"/>
    </row>
    <row r="118" spans="2:4" x14ac:dyDescent="0.25">
      <c r="B118" s="45"/>
      <c r="C118" s="45"/>
      <c r="D118" s="45"/>
    </row>
    <row r="119" spans="2:4" x14ac:dyDescent="0.25">
      <c r="B119" s="45"/>
      <c r="C119" s="45"/>
      <c r="D119" s="45"/>
    </row>
    <row r="120" spans="2:4" x14ac:dyDescent="0.25">
      <c r="B120" s="45"/>
      <c r="C120" s="45"/>
      <c r="D120" s="45"/>
    </row>
    <row r="121" spans="2:4" x14ac:dyDescent="0.25">
      <c r="B121" s="45"/>
      <c r="C121" s="45"/>
      <c r="D121" s="45"/>
    </row>
    <row r="122" spans="2:4" x14ac:dyDescent="0.25">
      <c r="B122" s="45"/>
      <c r="C122" s="45"/>
      <c r="D122" s="45"/>
    </row>
    <row r="123" spans="2:4" x14ac:dyDescent="0.25">
      <c r="B123" s="45"/>
      <c r="C123" s="45"/>
      <c r="D123" s="45"/>
    </row>
    <row r="124" spans="2:4" x14ac:dyDescent="0.25">
      <c r="B124" s="45"/>
      <c r="C124" s="45"/>
      <c r="D124" s="45"/>
    </row>
    <row r="125" spans="2:4" x14ac:dyDescent="0.25">
      <c r="B125" s="45"/>
      <c r="C125" s="45"/>
      <c r="D125" s="45"/>
    </row>
    <row r="126" spans="2:4" x14ac:dyDescent="0.25">
      <c r="B126" s="45"/>
      <c r="C126" s="45"/>
      <c r="D126" s="45"/>
    </row>
    <row r="127" spans="2:4" x14ac:dyDescent="0.25">
      <c r="B127" s="45"/>
      <c r="C127" s="45"/>
      <c r="D127" s="45"/>
    </row>
    <row r="128" spans="2:4" x14ac:dyDescent="0.25">
      <c r="B128" s="45"/>
      <c r="C128" s="45"/>
      <c r="D128" s="45"/>
    </row>
    <row r="129" spans="2:4" x14ac:dyDescent="0.25">
      <c r="B129" s="45"/>
      <c r="C129" s="45"/>
      <c r="D129" s="45"/>
    </row>
    <row r="130" spans="2:4" x14ac:dyDescent="0.25">
      <c r="B130" s="45"/>
      <c r="C130" s="45"/>
      <c r="D130" s="45"/>
    </row>
    <row r="131" spans="2:4" x14ac:dyDescent="0.25">
      <c r="B131" s="45"/>
      <c r="C131" s="45"/>
      <c r="D131" s="45"/>
    </row>
    <row r="132" spans="2:4" x14ac:dyDescent="0.25">
      <c r="B132" s="45"/>
      <c r="C132" s="45"/>
      <c r="D132" s="45"/>
    </row>
    <row r="133" spans="2:4" x14ac:dyDescent="0.25">
      <c r="B133" s="45"/>
      <c r="C133" s="45"/>
      <c r="D133" s="45"/>
    </row>
  </sheetData>
  <sheetProtection password="C4FD" sheet="1" objects="1" scenarios="1"/>
  <mergeCells count="2">
    <mergeCell ref="L22:AD23"/>
    <mergeCell ref="L21:N21"/>
  </mergeCells>
  <pageMargins left="0.39370078740157483" right="0.39370078740157483" top="0.39370078740157483" bottom="0.3937007874015748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Soal</vt:lpstr>
      <vt:lpstr>Skoring</vt:lpstr>
      <vt:lpstr>Skoring!Print_Area</vt:lpstr>
      <vt:lpstr>Soal!Print_Area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</dc:creator>
  <cp:lastModifiedBy>BIP</cp:lastModifiedBy>
  <cp:lastPrinted>2022-03-20T13:33:10Z</cp:lastPrinted>
  <dcterms:created xsi:type="dcterms:W3CDTF">2022-03-19T08:50:37Z</dcterms:created>
  <dcterms:modified xsi:type="dcterms:W3CDTF">2022-11-17T14:31:27Z</dcterms:modified>
</cp:coreProperties>
</file>