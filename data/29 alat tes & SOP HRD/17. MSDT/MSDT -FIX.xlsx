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rdhi rendra tama" sheetId="1" r:id="rId4"/>
    <sheet state="hidden" name="Ujang Widi Wasmoto" sheetId="2" r:id="rId5"/>
    <sheet state="hidden" name="Slamet Fitriyono" sheetId="3" r:id="rId6"/>
    <sheet state="visible" name="Bunga - Contoh" sheetId="4" r:id="rId7"/>
    <sheet state="visible" name="Questionnaire" sheetId="5" r:id="rId8"/>
    <sheet state="visible" name="Otomatis Scoring" sheetId="6" r:id="rId9"/>
  </sheets>
  <definedNames/>
  <calcPr/>
  <extLst>
    <ext uri="GoogleSheetsCustomDataVersion1">
      <go:sheetsCustomData xmlns:go="http://customooxmlschemas.google.com/" r:id="rId10" roundtripDataSignature="AMtx7mh8Pzf6oTa6kcMeLMawtglw34XRKA=="/>
    </ext>
  </extLst>
</workbook>
</file>

<file path=xl/sharedStrings.xml><?xml version="1.0" encoding="utf-8"?>
<sst xmlns="http://schemas.openxmlformats.org/spreadsheetml/2006/main" count="619" uniqueCount="160">
  <si>
    <t>SKORING MSDT</t>
  </si>
  <si>
    <t>b</t>
  </si>
  <si>
    <t>a</t>
  </si>
  <si>
    <t>A</t>
  </si>
  <si>
    <t>B</t>
  </si>
  <si>
    <t>KOREKSI</t>
  </si>
  <si>
    <t>JUMLAH</t>
  </si>
  <si>
    <t>TO</t>
  </si>
  <si>
    <t>RO</t>
  </si>
  <si>
    <t>E</t>
  </si>
  <si>
    <t>O</t>
  </si>
  <si>
    <t>Ds ---- A</t>
  </si>
  <si>
    <t>Mi ---- B</t>
  </si>
  <si>
    <t>Au ---- C</t>
  </si>
  <si>
    <t>Co ---- D</t>
  </si>
  <si>
    <t>Bu ---- E</t>
  </si>
  <si>
    <t>Dv ---- F</t>
  </si>
  <si>
    <t>Ba ---- G</t>
  </si>
  <si>
    <t>E  ---- H</t>
  </si>
  <si>
    <t>Hasil Developer</t>
  </si>
  <si>
    <t>Hasil Deserter</t>
  </si>
  <si>
    <t>hasil deserter</t>
  </si>
  <si>
    <t>SOAL MSDT</t>
  </si>
  <si>
    <t xml:space="preserve">Saya mengabaikan pelanggar-pelanggar peraturan bila saya merasa pasti bahwa tidak ada satu orangpun yang mengetahui tentang pelanggar-pelanggar tersebut. </t>
  </si>
  <si>
    <t xml:space="preserve">Adalah penting bagi saya untuk memperoleh nilai kredit bagi ideide saya yang baik.  </t>
  </si>
  <si>
    <t xml:space="preserve">Di dalam diskusi, saya memberikan fakta-fakta seperti apa yang mereka pahami, dan membiarkan mereka melukiskan kesimpulankesimpulan mereka sendiri.  </t>
  </si>
  <si>
    <t xml:space="preserve">Saya percaya bahwa kenaikan jabatan adalah semata-mata berdasarkan kemampuan yang ada.  </t>
  </si>
  <si>
    <t>Bila saya mengumumkan suatu keputusan yang kurang  menyenangkan, saya akan menjelaskan kepada bawahan saya bahwa keputusan ini dibuat oleh Direktur.</t>
  </si>
  <si>
    <t xml:space="preserve">B. Saya menyuarakan pendapat-pendapat saya di muka umum hanya bila saya merasa bahwa orang lain akan setuju dengan saya. </t>
  </si>
  <si>
    <t xml:space="preserve">B. Bila Direktur memberikan perintah yang kurang menyenangkan, saya pikir adalah cukup bijaksana bila saya menyebutkan namanya dan bukan nama saya. </t>
  </si>
  <si>
    <t xml:space="preserve">B. Saya merasa bahwa masalah-masalah yang timbul di antara mereka sendiri, tanpa campur tangan dari saya. </t>
  </si>
  <si>
    <t xml:space="preserve"> Bila  ada seorang karyawan yang hasil kerjanya selalu tidak memuaskan saya, saya akan menunggu suatu kesempatan untuk memindahkannya dan bukan untuk memecatnya. </t>
  </si>
  <si>
    <t xml:space="preserve">Saya percaya bahwa Serikat-Serikat Buruh akan mencoba meruntuhkan kewibawaan pimpinan perusahaan.  </t>
  </si>
  <si>
    <t xml:space="preserve">Bila ada tugas-tugas yang tidak dikehendaki yang harus dikerjakan, sebelumnya saya akan menanyakan kepada beberapa sukarelawan yang mau mengerjakan tugas tersebut. </t>
  </si>
  <si>
    <t xml:space="preserve">Saya merasa bahwa Serikat-Serikat Buruh dan pimpinan perusahaan adalah bekerja untuk mencapai tujuan-tujuan yang sama. </t>
  </si>
  <si>
    <t xml:space="preserve">Bila ada bawahan saya yang dikucilkan dari kelompok kerjanya, saya akan mencarikan cara-cara agar supaya orang lain dapat berteman dengannya. </t>
  </si>
  <si>
    <t xml:space="preserve">B. Saya percaya bahwa pertemuan-pertemuan yang sering dengan karyawan secara pribadi adalah membantu pengembangan diri mereka. </t>
  </si>
  <si>
    <t xml:space="preserve"> B. Saya menunjukkan minat saya terhadap kehidupan pribadi bawahan-bawahan saya, sebab saya merasa bahwa sayapun mengharapkan mereka berbuat seperti itu kepada saya.</t>
  </si>
  <si>
    <t xml:space="preserve"> B. Di dalam diskusi, saya memberikan fakta-fakta seperti apa yang mereka pahami, dan membiarkan mereka melukiskan kesimpulan-kesimpulan mereka sendiri</t>
  </si>
  <si>
    <t xml:space="preserve">Bila Direktur memberikan perintah yang kurang menyenangkan, saya pikir adalah cukup bijaksana bila saya menyebutkan namanya dan bukan nama saya. </t>
  </si>
  <si>
    <t xml:space="preserve">Saya merasa bahwa tidak terlalu perlu untuk bawahan-bawahan saya mengerti mengapa mereka mengerjakan seuatu hal sejauh mereka mengerjakan hal tersebut.  </t>
  </si>
  <si>
    <t xml:space="preserve"> 
Saya adalah seorang yang sangat memperhatikan kebahagiaan karyawan-karyawan saya di dalam mereka mengerjakan tugastugas mereka.  </t>
  </si>
  <si>
    <t xml:space="preserve">Bila seorang karyawan tidak sanggup menyelesaikan tugasnya, saya akan membantu dia untuk menyelesaikan tugas tersebut. </t>
  </si>
  <si>
    <t xml:space="preserve">Saya biasanya membuat keputusan-keputusan saya sendiri dan menyampaikannya kepada bawahan saya. </t>
  </si>
  <si>
    <t>B. Saya merasa bahwa jam pencatat waktu datang dan pulangnya para pegawai, mengurangi keterlambatan.</t>
  </si>
  <si>
    <t xml:space="preserve">B. Saya selalu memperhatikan mengenai keterlambatan dan kemangkiran. </t>
  </si>
  <si>
    <t xml:space="preserve"> B. Saya merasa bahwa semua karyawan pada jabatan yang sama seharusnya memperoleh gaji yang sama.</t>
  </si>
  <si>
    <t>Bila saya ditegur oleh atasan saya, saya akan memanggil semua bawahan saya dan mengatakan semua teguran tersebut kepada mereka.</t>
  </si>
  <si>
    <t xml:space="preserve">Saya biasanya membuat keputusan-keputusan saya sendiri dan menyampaikannya kepada bawahan saya.  </t>
  </si>
  <si>
    <t xml:space="preserve">Sebagian besar dari bawahan-bawahan saya dapat menyelesaikan tugas-tugas mereka, bila perlu tanpa kehadiran saya. </t>
  </si>
  <si>
    <t xml:space="preserve">Saya mengijinkan bawahan-bawahan saya untuk ikut serta di dalam pengambilan keputusan, tetapi sayapun menyediakan sesuatu yang jitu untuk membuat keputusan terakhir. </t>
  </si>
  <si>
    <t>Saya selalu memberikan tugas-tugas yang sangat sulit kepada karyawan-karyawan yang paling berpengalaman</t>
  </si>
  <si>
    <t xml:space="preserve">B. Saya merasa bahwa Serikat-Serikat Buruh dan pimpinan perusahaan adalah bekerja untuk mencapai tujuan-tujuan yang sama. </t>
  </si>
  <si>
    <t xml:space="preserve"> B. Bila ada sesuatu tugas yang mendesak, walaupun semua peralatannya sesudah disediakan, saya akan membiarkannya saja dan mengatakan kepada salah seorang bawahan saya untuk mengerjakan tugas tersebut. </t>
  </si>
  <si>
    <t xml:space="preserve"> B. Saya tidak akan ragu-ragu untuk mempekerjakan pegawaipegawai yang cacat jasmaninya, bilamana saya merasa bahwa dia dapat mempelajari pekerjaannya. </t>
  </si>
  <si>
    <t xml:space="preserve">Saya selalu melakukan diskusi-diskusi untuk mencapai kata sepakat. </t>
  </si>
  <si>
    <t xml:space="preserve">Saya menyukai penggunaan dari skala penggajian karyawan.  </t>
  </si>
  <si>
    <t xml:space="preserve">Saya percaya bahwa bawahan-bawahan saya akan merasakan kepuasan kerja mereka tanpa merasakan tekanan apapun dari saya.  </t>
  </si>
  <si>
    <t xml:space="preserve">Saya selalu menganjurkan kepada bawahan saya untuk memberikan usul-usul, tetapi kadang-kadang juga saya langsung membuat suatu tindakan tertentu. </t>
  </si>
  <si>
    <t>B. Saya selalu melakukan diskusi-diskusi untuk mencapai kata sepakat.</t>
  </si>
  <si>
    <t xml:space="preserve">B. Saya memberikan informasi kepada “Dewan Direksi” tidak lebih daripada apa yang mereka tanyakan. </t>
  </si>
  <si>
    <t>Kadang-kadang saya berpikir bahwa perasaan-perasaan saya dan sikap-sikap saya adalah mementingkan tugas saya.</t>
  </si>
  <si>
    <t xml:space="preserve">Saya merasa bangga di dalam kenyataannya bahwa saya biasanya tidak akan menanyakan kepada seseorang untuk mengerjakan suatu tugas yang kalau untuk saya sendiri, tidak akan saya kerjakan. </t>
  </si>
  <si>
    <t xml:space="preserve">Saya percaya bahwa pertemuan-pertemuan yang sering dengan karyawan secara pribadi adalah membantu pengembangan diri mereka.  </t>
  </si>
  <si>
    <t>Saya mengijinkan bawahan-bawahan saya untuk ikut serta mengambil keputusan yang dibuat berdasarkan atas suara terbanyak.</t>
  </si>
  <si>
    <t xml:space="preserve"> B. Saya berpikir bahwa bila beberapa bawahan saya merasa tidak berbahagia, saya akan mencoba melakukan sesuatu mengenai hal tersebut.</t>
  </si>
  <si>
    <t xml:space="preserve">B. Saya adalah seorang yang sangat memperhatikan karyawankaryawan saya di dalam mereka mengerjakan tugas-tugas mereka. </t>
  </si>
  <si>
    <t xml:space="preserve">Bila  jumlah dan mutu hasil kerja bagian saya tidak memuaskan, saya menjelaskan kepada bawahan-bawahan saya bahwa Direktur merasa kecewa dan oleh karena itu mereka harus memperbaiki kerja mereka.  </t>
  </si>
  <si>
    <t xml:space="preserve">Bila ada suatu tugas yang mendesak, walaupun semua peralatannya sudah disediakan saya akan membiarkannya saja, dan mengatakan kepada salah seorang bawahan saya untuk mengerjakan sesuatu tugas tersebut. </t>
  </si>
  <si>
    <t xml:space="preserve">Saya menunjukkan persetujuan untuk meningkatkan pengetahuan tentang pekerjaan dan perusahaan dari bawahanbawahan saya, walaupun hal itu sebenarnya belum diperlukan untuk kedudukan mereka sekarang.  </t>
  </si>
  <si>
    <t xml:space="preserve"> Saya membuat keputusan-keputusan sendiri dan kemudian saya mencoba untuk menjual keputusan-keputusan itu kepada bawahan saya. </t>
  </si>
  <si>
    <t xml:space="preserve"> B. Adalah penting bagi saya untuk memperoleh nilai kredit bagi ideide saya yang baik.</t>
  </si>
  <si>
    <t xml:space="preserve">B. Saya mengawasi benar bawahan-bawahan saya yang kurang mahir di dalam bekerjanya atau bawahan-bawahan saya yang hasil kerjanya kurang memuaskan. </t>
  </si>
  <si>
    <t xml:space="preserve">Bila saya mengumumkan suatu  keputusan yang kurang menyenangkan, saya akan menjelaskan kepada bawahan saya bahwa keputusan ini dibuat oleh Direktur. </t>
  </si>
  <si>
    <t xml:space="preserve">Tujuan saya adalah mencapai bagaimana tugas-tugas dapat dikerjakan, tanpa saya merasa lebih benci daripada siapapun yang mengerjakan.  </t>
  </si>
  <si>
    <t xml:space="preserve">Saya mengijinkan bawahan-bawahan saya untuk ikut serta mengambil keputusan dan saya selalu mematuhi keputusan yang dibuat berdasarkan atas suara terbanyak.  </t>
  </si>
  <si>
    <t>Saya mengijinkan bawahan-bawahan saya untuk ikut serta di dalam pengambilan keputusan, tetapi sayapun menyediakan sesuatu keputusan terakhir.</t>
  </si>
  <si>
    <t>B. Saya mungkin menentukan tugas-tugas tanpa banyak mempertimbangkan pengalaman atau kemampuan, tetapi saya lebih menuntut pada pencapaian hasil-hasilnya saja.</t>
  </si>
  <si>
    <t>B. Saya membuat bawahan-bawahan saya bekerja keras, dan saya berusaha menyakinkan mereka bahwa biasanya mereka mendapat perlakukan yang adil dari “Dewan Direksi”.</t>
  </si>
  <si>
    <t xml:space="preserve"> Saya akan memberikan tugas-tugas yang sulit kepada bawahan saya yang belum berpengalaman, tetapi bila mereka memperoleh kesukaran, saya akan mengambil alih tanggung jawab mereka. </t>
  </si>
  <si>
    <t xml:space="preserve">Saya mungkin menentukan tugas-tugas tanpa banyak mempertimbangkan pengalaman atau kemampuan, tetapi saya lebih menuntut pada pencapaian hasil-hasilnya saja.  </t>
  </si>
  <si>
    <t xml:space="preserve">Saya merasa bahwa semua karyawan pada jabatan yang sama seharusnya memperoleh gaji yang sama.  </t>
  </si>
  <si>
    <t>Bila jumlah dan mutu hasil kerja bagian saya tidak memuaskan, saya menjelaskan kepada bawahan-bawahan saya bahwa Direktur merasa kecewa dan oleh karena itu mereka harus memperbaiki mutu kerja mereka itu.</t>
  </si>
  <si>
    <t>B. Saya dengan sabar mendengarkan keluhan-keluhan dan ketidakpuasan-ketidakpuasan dari bawahan saya tetapi seringkali saya meralat apa yang mereka katakan.</t>
  </si>
  <si>
    <t>B. Bila ada seorang karyawan yang hasil kerjanya selalu tidak memuaskan saya, saya akan menunggu suatu kesempatan untuk memindahkannya dan bukan untuk memecatnya.</t>
  </si>
  <si>
    <t>Saya merasa bahwa adalah penting agar bawahan-bawahan menyukai saya apabila saya bekerja keras untuk mereka.</t>
  </si>
  <si>
    <t xml:space="preserve">Saya merasa bahwa keluhan-keluhan tidak dapat dicegah dan saya mencoba sebaik mungkin untuk dapat dilenyapkan. </t>
  </si>
  <si>
    <t xml:space="preserve">Saya merasa bahwa tujuan-tujuan Serikat Buruh dan tujuantujuan perusahaan adalah saling berbeda dan saya mencoba untuk tidak membuat pandangan saya secara jelas.  </t>
  </si>
  <si>
    <t>Saya membiarkan orang-orang lain menangani tugas-tugas mereka masing-masing, walaupun mereka membuat banyak kesalahan.</t>
  </si>
  <si>
    <t xml:space="preserve"> B. Saya percaya bahwa bawahan-bawahan saya akan merasakan kepuasan kerja mereka tanpa merasakan tekanan apapun dari saya.</t>
  </si>
  <si>
    <t>B. Saya merasa bahwa adalah penting agar bawahan saya menyukai saya apabila saya bekerja keras untuk mereka.</t>
  </si>
  <si>
    <t xml:space="preserve">Saya menunjukkan minat saya terhadap kehidupan pribadi bawahan-bawahan saya, sebab saya merasa bahwa saya mengerti mengapa mereka mengerjakan sesuatu hal sejauh mereka mengerjakan hal tersebut.  </t>
  </si>
  <si>
    <t xml:space="preserve">Bila menghadapi masalah yang sulit, saya berusaha untuk mencapai pemecahan yang paling sedikit bisa diterima oleh sebagian besar orang-orang yang bersangkutan. </t>
  </si>
  <si>
    <t xml:space="preserve">Saya mengawasi benar bawahan-bawahan saya yang kurang mahir di dalam bekerjanya atau bawahan-bawahan saya yang hasil kerjanya kurang memuaskan.  </t>
  </si>
  <si>
    <t>Saya saya merasa bahwa adalah tidak terlalu perlu untuk bawahan-bawahan saya mengerti mengapa mereka mengerjakan sesuatu hal sejauh mereka mengerjakan hal tersebut.</t>
  </si>
  <si>
    <t xml:space="preserve"> B. Saya percaya bahwa latihan melalui pengalaman bekerja, adalah lebih bermanfaat daripada pendidikan teoritis</t>
  </si>
  <si>
    <t>B. Saya mencela pembicaraan-pembicaraan yang tidak perlu di antara bawahan-bawahan saya selama mereka bekerja.</t>
  </si>
  <si>
    <t xml:space="preserve">Saya percaya bahwa bawahan-bawahan yang disiplin tidak akan memperbaiki jumlah atau mutu kerja mereka di dalam jangka waktu yang panjang. </t>
  </si>
  <si>
    <t>Saya selalu memberikan tugas-tugas yang sangat sulit kepada karyawan-karyawan yang paling berpengalaman.  .</t>
  </si>
  <si>
    <t xml:space="preserve">Bila saya memberikan perintah kepada bawahan-bawahan saya, saya menentukan batas waktu untuk mereka menyelesaikannya.  </t>
  </si>
  <si>
    <t xml:space="preserve"> Bila menghadapi masalah yang sulit, saya berusaha untuk mencapai pemecahan yang paling sedikit bisa diterima oleh sebagian besar orang-orang yang bersangkutan. </t>
  </si>
  <si>
    <t>B. Saya percaya bahwa kenaikan jabatan adalah semata-mata berdasarkan kemampuan yang ada</t>
  </si>
  <si>
    <t>B. Saya merasa bangga di dalam kenyataannya bahwa saya biasanya tidak akan menanyakan kepada seseorang untuk mengerjakan suatu tugas yang kalau saya sendiri tidak akan saya kerjakan.</t>
  </si>
  <si>
    <t xml:space="preserve">Saya berpikir bahwa bila beberapa bawahan saya merasa tidak berbahagia, saya akan mencoba melakukan sesuatu mengenai hal tersebut.  </t>
  </si>
  <si>
    <t xml:space="preserve">Saya merasa bahwa masalah-masalah yang timbul di antara para karyawan biasanya akan dapat diselesaikan di antara mereka sendiri, tanpa campur tangan dari saya. </t>
  </si>
  <si>
    <t xml:space="preserve">Saya percaya bahwa latihan melalui pengalaman bekerja, adalah lebih bermanfaat daripada pendidikan teoritis.  </t>
  </si>
  <si>
    <t>Saya mengurusi pekerjaan saya sendiri dan saya merasa bahwa pekerjaan saya itu bisa mencapai “Dewan Direksi” untuk mengembangkan ide-ide baru.</t>
  </si>
  <si>
    <t xml:space="preserve"> B. Bila saya ditegur oleh atasan saya, saya akan memanggil semua bawahan saya dan mengatakan semua teguran tersebut kepada mereka. </t>
  </si>
  <si>
    <t xml:space="preserve">B. Saya tidak peduli dengan apa yang dikerjakan oleh para pegawai saya di luar jam kantornya. </t>
  </si>
  <si>
    <t>Saya menyetujui kenaikan tunjangan-tunjangan untuk staf dan karyawan.</t>
  </si>
  <si>
    <t xml:space="preserve">Saya tidak peduli dengan apa yang dikerjakan oleh karyawan saya di luar jam kerja kantornya.  </t>
  </si>
  <si>
    <t xml:space="preserve">Saya merasa bahwa jam pencatat waktu datang dan pulangnya para pegawai, mengurangi keterlambatan.  </t>
  </si>
  <si>
    <t xml:space="preserve">Saya menunjukkan persetujuan untuk meningkatkan pengetahuan tentang pekerjaan dan perusahaan dari bawahanbawahan saya, walaupun hal itu sebenarnya belum diperlukan untuk kedudukan mereka sekarang. </t>
  </si>
  <si>
    <t xml:space="preserve">B. Saya percaya bahwa bawahan-bawahan yang disiplin tidak akan memperbaiki jumlah atau mutu kerja mereka di dalam jangka waktu panjang. </t>
  </si>
  <si>
    <t>B. Saya mengijinkan bawahan-bawahan saya untuk ikut serta mengambil keputusan dan saya selalu mematuhi keputusan yang dibuat berdasarkan atas suara terbanyak</t>
  </si>
  <si>
    <t xml:space="preserve">Saya membiarkan orang-orang lain menangani tugas-tugas mereka masing-masing, walaupun mereka membuat banyak kesalahan. </t>
  </si>
  <si>
    <t xml:space="preserve">Saya memberikan informasi kepada “Dewan Direksi” tidak lebih dari pada apa yang mereka tanyakan.  </t>
  </si>
  <si>
    <t xml:space="preserve">Saya mengambil keputusan-keputusan saya sendiri, tetapi saya dapat mempertimbangkan saran-saran yang wajar dari bawahanbawahan saya untuk saya manfaatkan, bilamana saya bertanya kepada mereka. </t>
  </si>
  <si>
    <t xml:space="preserve"> B. Saya membuat keputusan-keputusan sendiri tetapi saya akan mempertimbangkan usul-usul yang masuk di akal dari bawahanbawahan saya yang untuk memperbaiki keputusan tersebut apabila saya bertanya kepada mereka. </t>
  </si>
  <si>
    <t xml:space="preserve">B. Kadang-kadang saya menentang keluhan-keluhan Serikat Buruh sebagai sesuatu perkara yang prinsipil. </t>
  </si>
  <si>
    <t xml:space="preserve"> B. Saya merasa bahwa tujuan-tujuan Serikat Buruh dan tujuantujuan perusahaan adalah saling berbeda, dan saya mencoba untuk tidak membuat pandangan saya secara jelas. </t>
  </si>
  <si>
    <t xml:space="preserve">Bila ada bawahan saya yang dikucilkan dari kelompok kerjanya, saya akan mencarikan cara-cara agar supaya orang lain dapat berteman dengannya.  </t>
  </si>
  <si>
    <t xml:space="preserve">Saya kadang-kadang merasa ragu-ragu untuk membuat suatu keputusan yang akan tidak disukai oleh bawahan-bawahan saya. </t>
  </si>
  <si>
    <t xml:space="preserve">Saya membuat keputusan-keputusan sendiri dan kemudian saya mencoba untuk “menjual” keputusan-keputusan itu kepada bawahan saya. </t>
  </si>
  <si>
    <t>B. Bila seorang karyawan tidak sanggup menyelesaikan tugasnya, saya akan membantu dia untuk menyelesaikan tugas tersebut</t>
  </si>
  <si>
    <t xml:space="preserve"> B. Tujuan saya adalah mencapai bagaimana tugas-tugas dapat dikerjakan, tanpa saya merasa lebih benci daripada siapapun yang mengerjakannya. </t>
  </si>
  <si>
    <t xml:space="preserve"> B. Apabila mungkin saya membentuk kelompok-kelompok kerja yang terdiri dari orang-orang yang sudah menjadi teman-teman baik saya.</t>
  </si>
  <si>
    <t xml:space="preserve">Saya percaya bahwa suatu penerapan disiplin adalah merupakan seperangkat contoh untuk karyawan-karyawan lainnya. </t>
  </si>
  <si>
    <t xml:space="preserve">Saya dengan sabar mendengarkan keluhan-keluhan dan ketidakpuasan–ketidakpuasan dari bawahan saya, tetapi seringkali saya meralat apa yang mereka katakan.  </t>
  </si>
  <si>
    <t xml:space="preserve">Saya tidak akan ragu-ragu untuk mempekerjakan pegawaipegawai yang cacat jasmaninya, bilamana saya merasa pasti bahwa dia dapat mempelajari pekerjannya.  </t>
  </si>
  <si>
    <t xml:space="preserve"> B. Kadang-kadang saya berpikir bahwa perasaan-perasaan saya dan sikap-sikap saya adalah mementingkan tugas saya.</t>
  </si>
  <si>
    <t xml:space="preserve">B. Saya kadang-kadang merasa ragu-ragu untuk membuat keputusan-keputusan yang akan tidak disukai oleh bawahanbawahan saya. </t>
  </si>
  <si>
    <t>B. Saya mengabaikan pelanggar-pelanggar peraturan bila saya merasa pasti bahwa tidak ada satu orangpun yang mengetahui tentang pelanggaran-pelanggaran tersebut.</t>
  </si>
  <si>
    <t xml:space="preserve">Saya mencela pembicaraan-pembicaraan yang tidak perlu di antara bawahan-bawahan saya selama mereka bekerja.  </t>
  </si>
  <si>
    <t xml:space="preserve">Saya menyuarakan pendapat-pendapat saya di muka umum hanya bila saya merasa bahwa orang lain akan setuju dengan saya.  </t>
  </si>
  <si>
    <t xml:space="preserve">Apabila mungkin saya membentuk kelompok-kelompok kerja yang terdiri dari orang-orang yang sudah menjadi teman-teman baik saya.  </t>
  </si>
  <si>
    <t xml:space="preserve">B. Saya menyetujui tunjangan-tunjangan untuk staf dan karyawankaryawan. </t>
  </si>
  <si>
    <t>B. Sebagian besar dari bawahan-bawahan saya dapat menyelesaikan tugas-tugas mereka, bila perlu, tanpa kehadiran saya.</t>
  </si>
  <si>
    <t xml:space="preserve">B. Saya akan memberikan tugas-tugas yang sulit kepada bawahanbawahan saya yang berpengalaman, tetapi bila mereka memperoleh kesukaran, saya akan mengambil alih tanggung jawab mereka. </t>
  </si>
  <si>
    <t xml:space="preserve">Saya selalu memperhatikan mengenai keterlambatan dan kemangkiran.  </t>
  </si>
  <si>
    <t xml:space="preserve">Saya mengurusi pekerjaan saya sendiri, dan saya merasa bahwa pekerjaan saya itu bisa mencapai “Dewan Direksi” untuk mengembangkan ide-ide baru.  </t>
  </si>
  <si>
    <t xml:space="preserve">Saya membuat bawahan-bawahan saya bekerja keras, dan saya berusaha meyakinkan mereka bahwa biasanya mereka mendapat perlakuan yang adil dari “Dewan Direksi”.  </t>
  </si>
  <si>
    <t xml:space="preserve">B. Saya percaya bahwa Serikat-Serikat Buruh akan mencoba untuk meruntuhkan kewibawaan pimpinan perusahaan. </t>
  </si>
  <si>
    <t xml:space="preserve">B. Bila saya memberikan perintah kepada bawahan-bawahan saya, saya menentukan batas waktu untuk mereka menyelesaikannya. </t>
  </si>
  <si>
    <t>B. Saya percaya bahwa suatu penerapan disiplin adalah merupakan seperangkat contoh untuk karyawan-karyawan lainnya.</t>
  </si>
  <si>
    <t xml:space="preserve">Kadang-kadang saya menentang keluhan-keluhan serikat buruh sebagai suatu perkara yang prinsipil.  </t>
  </si>
  <si>
    <t xml:space="preserve">Saya selalu menganjurkan kepada bawahan saya untuk memberikan usul-usul, tetapi kadang-kadang juga saya langsung membuat suatu tindakan tertentu.  </t>
  </si>
  <si>
    <t xml:space="preserve">Saya mencoba untuk membuat bawahan-bawahan saya merasa senang hatinya apabila mereka berbicara dengan saya.  </t>
  </si>
  <si>
    <t>B. Saya merasa bahwa keluhan-keluhan tidak dapat dicegah dan saya mencoba sebaik mungkin untuk dapat dilenyapkan.</t>
  </si>
  <si>
    <t>B. Saya mencoba untuk membuat bawahan-bawahan saya merasa senang hatinya apabila mereka berbicara dengan saya</t>
  </si>
  <si>
    <t>B. Saya menyukai penggunaan dari skala penggajian karyawan.</t>
  </si>
  <si>
    <t>KONVERSI</t>
  </si>
  <si>
    <t>HASIL</t>
  </si>
  <si>
    <t>Co</t>
  </si>
  <si>
    <t>Ba</t>
  </si>
  <si>
    <t>Au</t>
  </si>
  <si>
    <t>Dv</t>
  </si>
  <si>
    <t>Mi</t>
  </si>
  <si>
    <t>Bu</t>
  </si>
  <si>
    <t>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</si>
</sst>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sz val="18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right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0" fillId="0" fontId="3" numFmtId="0" xfId="0" applyAlignment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4" fontId="5" numFmtId="0" xfId="0" applyAlignment="1" applyBorder="1" applyFill="1" applyFont="1">
      <alignment shrinkToFit="0" vertical="bottom" wrapText="0"/>
    </xf>
    <xf borderId="5" fillId="4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0"/>
    </xf>
    <xf borderId="6" fillId="4" fontId="5" numFmtId="0" xfId="0" applyAlignment="1" applyBorder="1" applyFont="1">
      <alignment horizontal="left" shrinkToFit="0" vertical="top" wrapText="1"/>
    </xf>
    <xf borderId="7" fillId="0" fontId="6" numFmtId="0" xfId="0" applyBorder="1" applyFont="1"/>
    <xf borderId="8" fillId="0" fontId="6" numFmtId="0" xfId="0" applyBorder="1" applyFont="1"/>
    <xf borderId="5" fillId="4" fontId="5" numFmtId="0" xfId="0" applyAlignment="1" applyBorder="1" applyFont="1">
      <alignment horizontal="center" readingOrder="0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2" fillId="0" fontId="6" numFmtId="0" xfId="0" applyBorder="1" applyFont="1"/>
    <xf borderId="14" fillId="0" fontId="6" numFmtId="0" xfId="0" applyBorder="1" applyFont="1"/>
    <xf borderId="4" fillId="4" fontId="2" numFmtId="0" xfId="0" applyAlignment="1" applyBorder="1" applyFont="1">
      <alignment shrinkToFit="0" vertical="bottom" wrapText="0"/>
    </xf>
    <xf borderId="15" fillId="4" fontId="1" numFmtId="0" xfId="0" applyAlignment="1" applyBorder="1" applyFont="1">
      <alignment horizontal="center" shrinkToFit="0" vertical="center" wrapText="0"/>
    </xf>
    <xf borderId="16" fillId="0" fontId="6" numFmtId="0" xfId="0" applyBorder="1" applyFont="1"/>
    <xf borderId="17" fillId="0" fontId="6" numFmtId="0" xfId="0" applyBorder="1" applyFont="1"/>
    <xf borderId="4" fillId="4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5" fontId="3" numFmtId="0" xfId="0" applyAlignment="1" applyBorder="1" applyFill="1" applyFont="1">
      <alignment horizontal="right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right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18" fillId="4" fontId="2" numFmtId="0" xfId="0" applyAlignment="1" applyBorder="1" applyFont="1">
      <alignment horizontal="center" shrinkToFit="0" vertical="center" wrapText="0"/>
    </xf>
    <xf borderId="3" fillId="4" fontId="2" numFmtId="0" xfId="0" applyAlignment="1" applyBorder="1" applyFont="1">
      <alignment horizontal="center" shrinkToFit="0" vertical="center" wrapText="0"/>
    </xf>
    <xf borderId="19" fillId="4" fontId="3" numFmtId="0" xfId="0" applyAlignment="1" applyBorder="1" applyFont="1">
      <alignment horizontal="center" shrinkToFit="0" vertical="center" wrapText="1"/>
    </xf>
    <xf borderId="20" fillId="0" fontId="6" numFmtId="0" xfId="0" applyBorder="1" applyFont="1"/>
    <xf borderId="21" fillId="0" fontId="6" numFmtId="0" xfId="0" applyBorder="1" applyFont="1"/>
    <xf borderId="19" fillId="4" fontId="2" numFmtId="0" xfId="0" applyAlignment="1" applyBorder="1" applyFont="1">
      <alignment horizontal="center" shrinkToFit="0" vertical="center" wrapText="0"/>
    </xf>
    <xf borderId="19" fillId="4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</xdr:row>
      <xdr:rowOff>19050</xdr:rowOff>
    </xdr:from>
    <xdr:ext cx="3857625" cy="647700"/>
    <xdr:sp>
      <xdr:nvSpPr>
        <xdr:cNvPr id="3" name="Shape 3"/>
        <xdr:cNvSpPr/>
      </xdr:nvSpPr>
      <xdr:spPr>
        <a:xfrm>
          <a:off x="3421950" y="3456150"/>
          <a:ext cx="3848100" cy="647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MANAGEMENT STYLE DIAGNOSTIC TEST ( TES DIAGNOSA GAYA MANAJEMEN ) 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8</xdr:row>
      <xdr:rowOff>19050</xdr:rowOff>
    </xdr:from>
    <xdr:ext cx="4381500" cy="752475"/>
    <xdr:sp>
      <xdr:nvSpPr>
        <xdr:cNvPr id="4" name="Shape 4"/>
        <xdr:cNvSpPr/>
      </xdr:nvSpPr>
      <xdr:spPr>
        <a:xfrm>
          <a:off x="3160013" y="3408525"/>
          <a:ext cx="4371975" cy="742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INSTRUKSI: Pilihlah jawaban “A” atau “B” pada pasangan pernyataan-pernyataan berikut dan tulislah pada lembar jawaban yang telah disediakan. Dilarang membuat coretan apapun di dalam buku persoalan.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9" width="5.57"/>
    <col customWidth="1" min="10" max="25" width="3.71"/>
    <col customWidth="1" min="26" max="26" width="8.0"/>
  </cols>
  <sheetData>
    <row r="1" ht="34.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20.25" customHeight="1">
      <c r="A4" s="2"/>
      <c r="B4" s="4" t="s">
        <v>1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1</v>
      </c>
      <c r="H4" s="4" t="s">
        <v>2</v>
      </c>
      <c r="I4" s="4" t="s">
        <v>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ht="20.25" customHeight="1">
      <c r="A5" s="2"/>
      <c r="B5" s="4" t="s">
        <v>1</v>
      </c>
      <c r="C5" s="4" t="s">
        <v>1</v>
      </c>
      <c r="D5" s="4" t="s">
        <v>1</v>
      </c>
      <c r="E5" s="4" t="s">
        <v>2</v>
      </c>
      <c r="F5" s="4" t="s">
        <v>1</v>
      </c>
      <c r="G5" s="4" t="s">
        <v>2</v>
      </c>
      <c r="H5" s="4" t="s">
        <v>1</v>
      </c>
      <c r="I5" s="4" t="s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ht="20.25" customHeight="1">
      <c r="A6" s="2"/>
      <c r="B6" s="4" t="s">
        <v>2</v>
      </c>
      <c r="C6" s="4" t="s">
        <v>1</v>
      </c>
      <c r="D6" s="4" t="s">
        <v>1</v>
      </c>
      <c r="E6" s="4" t="s">
        <v>1</v>
      </c>
      <c r="F6" s="4" t="s">
        <v>2</v>
      </c>
      <c r="G6" s="4" t="s">
        <v>1</v>
      </c>
      <c r="H6" s="4" t="s">
        <v>1</v>
      </c>
      <c r="I6" s="4" t="s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ht="20.25" customHeight="1">
      <c r="A7" s="2"/>
      <c r="B7" s="4" t="s">
        <v>1</v>
      </c>
      <c r="C7" s="4" t="s">
        <v>1</v>
      </c>
      <c r="D7" s="4" t="s">
        <v>2</v>
      </c>
      <c r="E7" s="4" t="s">
        <v>2</v>
      </c>
      <c r="F7" s="4" t="s">
        <v>2</v>
      </c>
      <c r="G7" s="4" t="s">
        <v>1</v>
      </c>
      <c r="H7" s="4" t="s">
        <v>1</v>
      </c>
      <c r="I7" s="4" t="s">
        <v>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ht="20.25" customHeight="1">
      <c r="A8" s="2"/>
      <c r="B8" s="4" t="s">
        <v>1</v>
      </c>
      <c r="C8" s="4" t="s">
        <v>2</v>
      </c>
      <c r="D8" s="4" t="s">
        <v>1</v>
      </c>
      <c r="E8" s="4" t="s">
        <v>1</v>
      </c>
      <c r="F8" s="4" t="s">
        <v>2</v>
      </c>
      <c r="G8" s="4" t="s">
        <v>1</v>
      </c>
      <c r="H8" s="4" t="s">
        <v>1</v>
      </c>
      <c r="I8" s="4" t="s">
        <v>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ht="20.25" customHeight="1">
      <c r="A9" s="2"/>
      <c r="B9" s="4" t="s">
        <v>1</v>
      </c>
      <c r="C9" s="4" t="s">
        <v>1</v>
      </c>
      <c r="D9" s="4" t="s">
        <v>1</v>
      </c>
      <c r="E9" s="4" t="s">
        <v>2</v>
      </c>
      <c r="F9" s="4" t="s">
        <v>2</v>
      </c>
      <c r="G9" s="4" t="s">
        <v>2</v>
      </c>
      <c r="H9" s="4" t="s">
        <v>1</v>
      </c>
      <c r="I9" s="4" t="s">
        <v>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ht="20.25" customHeight="1">
      <c r="A10" s="2"/>
      <c r="B10" s="4" t="s">
        <v>1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1</v>
      </c>
      <c r="H10" s="4" t="s">
        <v>2</v>
      </c>
      <c r="I10" s="4" t="s">
        <v>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ht="20.25" customHeight="1">
      <c r="A11" s="2"/>
      <c r="B11" s="4" t="s">
        <v>2</v>
      </c>
      <c r="C11" s="4" t="s">
        <v>2</v>
      </c>
      <c r="D11" s="4" t="s">
        <v>1</v>
      </c>
      <c r="E11" s="4" t="s">
        <v>1</v>
      </c>
      <c r="F11" s="4" t="s">
        <v>2</v>
      </c>
      <c r="G11" s="4" t="s">
        <v>2</v>
      </c>
      <c r="H11" s="4" t="s">
        <v>2</v>
      </c>
      <c r="I11" s="4" t="s"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ht="20.25" customHeight="1">
      <c r="A12" s="5" t="s">
        <v>3</v>
      </c>
      <c r="B12" s="6">
        <v>4.0</v>
      </c>
      <c r="C12" s="6">
        <v>2.0</v>
      </c>
      <c r="D12" s="6">
        <v>3.0</v>
      </c>
      <c r="E12" s="6">
        <v>1.0</v>
      </c>
      <c r="F12" s="6">
        <v>4.0</v>
      </c>
      <c r="G12" s="6">
        <v>4.0</v>
      </c>
      <c r="H12" s="6">
        <v>3.0</v>
      </c>
      <c r="I12" s="6">
        <v>3.0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ht="20.25" customHeight="1">
      <c r="A13" s="7" t="s">
        <v>4</v>
      </c>
      <c r="B13" s="8">
        <v>4.0</v>
      </c>
      <c r="C13" s="8">
        <v>5.0</v>
      </c>
      <c r="D13" s="8">
        <v>4.0</v>
      </c>
      <c r="E13" s="8">
        <v>4.0</v>
      </c>
      <c r="F13" s="8">
        <v>4.0</v>
      </c>
      <c r="G13" s="8">
        <v>7.0</v>
      </c>
      <c r="H13" s="8">
        <v>4.0</v>
      </c>
      <c r="I13" s="8">
        <v>8.0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ht="20.25" customHeight="1">
      <c r="A14" s="9" t="s">
        <v>5</v>
      </c>
      <c r="B14" s="4">
        <v>1.0</v>
      </c>
      <c r="C14" s="4">
        <v>2.0</v>
      </c>
      <c r="D14" s="4">
        <v>1.0</v>
      </c>
      <c r="E14" s="4">
        <v>0.0</v>
      </c>
      <c r="F14" s="4">
        <v>3.0</v>
      </c>
      <c r="G14" s="4">
        <v>-1.0</v>
      </c>
      <c r="H14" s="4">
        <v>0.0</v>
      </c>
      <c r="I14" s="4">
        <v>-4.0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ht="20.25" customHeight="1">
      <c r="A15" s="9" t="s">
        <v>6</v>
      </c>
      <c r="B15" s="4">
        <f t="shared" ref="B15:I15" si="1">+B12+B13+B14</f>
        <v>9</v>
      </c>
      <c r="C15" s="4">
        <f t="shared" si="1"/>
        <v>9</v>
      </c>
      <c r="D15" s="4">
        <f t="shared" si="1"/>
        <v>8</v>
      </c>
      <c r="E15" s="4">
        <f t="shared" si="1"/>
        <v>5</v>
      </c>
      <c r="F15" s="4">
        <f t="shared" si="1"/>
        <v>11</v>
      </c>
      <c r="G15" s="4">
        <f t="shared" si="1"/>
        <v>10</v>
      </c>
      <c r="H15" s="4">
        <f t="shared" si="1"/>
        <v>7</v>
      </c>
      <c r="I15" s="4">
        <f t="shared" si="1"/>
        <v>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 ht="20.25" customHeight="1">
      <c r="A16" s="2"/>
      <c r="B16" s="10"/>
      <c r="C16" s="10" t="s">
        <v>7</v>
      </c>
      <c r="D16" s="10"/>
      <c r="E16" s="10" t="s">
        <v>8</v>
      </c>
      <c r="F16" s="10"/>
      <c r="G16" s="10" t="s">
        <v>9</v>
      </c>
      <c r="H16" s="10"/>
      <c r="I16" s="10" t="s">
        <v>10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ht="20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ht="20.25" customHeight="1">
      <c r="A18" s="2" t="s">
        <v>11</v>
      </c>
      <c r="B18" s="11"/>
      <c r="C18" s="11"/>
      <c r="D18" s="11"/>
      <c r="E18" s="11"/>
      <c r="F18" s="11"/>
      <c r="G18" s="11"/>
      <c r="H18" s="11"/>
      <c r="I18" s="12">
        <f>B15</f>
        <v>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ht="7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ht="15.75" customHeight="1">
      <c r="A20" s="2" t="s">
        <v>12</v>
      </c>
      <c r="B20" s="11"/>
      <c r="C20" s="11"/>
      <c r="D20" s="11"/>
      <c r="E20" s="12">
        <f>C15</f>
        <v>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ht="7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ht="15.75" customHeight="1">
      <c r="A22" s="2" t="s">
        <v>13</v>
      </c>
      <c r="B22" s="11"/>
      <c r="C22" s="12">
        <f>D15</f>
        <v>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ht="7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ht="15.75" customHeight="1">
      <c r="A24" s="2" t="s">
        <v>14</v>
      </c>
      <c r="B24" s="11"/>
      <c r="C24" s="12">
        <f>E15</f>
        <v>5</v>
      </c>
      <c r="D24" s="11"/>
      <c r="E24" s="12">
        <f>E15</f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ht="7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ht="15.75" customHeight="1">
      <c r="A26" s="2" t="s">
        <v>15</v>
      </c>
      <c r="B26" s="11"/>
      <c r="C26" s="11"/>
      <c r="D26" s="11"/>
      <c r="E26" s="11"/>
      <c r="F26" s="11"/>
      <c r="G26" s="12">
        <f>F15</f>
        <v>11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ht="7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ht="15.75" customHeight="1">
      <c r="A28" s="2" t="s">
        <v>16</v>
      </c>
      <c r="B28" s="11"/>
      <c r="C28" s="11"/>
      <c r="D28" s="11"/>
      <c r="E28" s="12">
        <f>G15</f>
        <v>10</v>
      </c>
      <c r="F28" s="11"/>
      <c r="G28" s="12">
        <f>G15</f>
        <v>10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ht="7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ht="15.75" customHeight="1">
      <c r="A30" s="2" t="s">
        <v>17</v>
      </c>
      <c r="B30" s="11"/>
      <c r="C30" s="12">
        <f>H15</f>
        <v>7</v>
      </c>
      <c r="D30" s="11"/>
      <c r="E30" s="11"/>
      <c r="F30" s="11"/>
      <c r="G30" s="12">
        <f>H15</f>
        <v>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ht="7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ht="15.75" customHeight="1">
      <c r="A32" s="2" t="s">
        <v>18</v>
      </c>
      <c r="B32" s="11"/>
      <c r="C32" s="12">
        <f>I15</f>
        <v>7</v>
      </c>
      <c r="D32" s="11"/>
      <c r="E32" s="12">
        <f>I15</f>
        <v>7</v>
      </c>
      <c r="F32" s="11"/>
      <c r="G32" s="12">
        <f>I15</f>
        <v>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ht="15.75" customHeight="1">
      <c r="A34" s="2"/>
      <c r="B34" s="2"/>
      <c r="C34" s="12">
        <f>+C22+C24+C30+C32</f>
        <v>27</v>
      </c>
      <c r="D34" s="2"/>
      <c r="E34" s="12">
        <f>+E20+E24+E28+E32</f>
        <v>31</v>
      </c>
      <c r="F34" s="2"/>
      <c r="G34" s="12">
        <f>+G26+G28+G30+G32</f>
        <v>35</v>
      </c>
      <c r="H34" s="2"/>
      <c r="I34" s="12">
        <f>I18</f>
        <v>9</v>
      </c>
      <c r="J34" s="2"/>
      <c r="K34" s="2"/>
      <c r="L34" s="2" t="s">
        <v>19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23.25" customHeight="1">
      <c r="A1" s="1" t="s">
        <v>0</v>
      </c>
      <c r="J1" s="2"/>
      <c r="K1" s="2"/>
      <c r="L1" s="2"/>
      <c r="M1" s="2"/>
      <c r="N1" s="2"/>
      <c r="O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.0" customHeight="1">
      <c r="A4" s="2"/>
      <c r="B4" s="4" t="s">
        <v>1</v>
      </c>
      <c r="C4" s="4" t="s">
        <v>2</v>
      </c>
      <c r="D4" s="4" t="s">
        <v>2</v>
      </c>
      <c r="E4" s="4" t="s">
        <v>2</v>
      </c>
      <c r="F4" s="4" t="s">
        <v>1</v>
      </c>
      <c r="G4" s="4" t="s">
        <v>1</v>
      </c>
      <c r="H4" s="4" t="s">
        <v>2</v>
      </c>
      <c r="I4" s="4" t="s">
        <v>1</v>
      </c>
      <c r="J4" s="2"/>
      <c r="K4" s="2"/>
      <c r="L4" s="2"/>
      <c r="M4" s="2"/>
      <c r="N4" s="2"/>
      <c r="O4" s="2"/>
    </row>
    <row r="5" ht="15.0" customHeight="1">
      <c r="A5" s="2"/>
      <c r="B5" s="4" t="s">
        <v>2</v>
      </c>
      <c r="C5" s="4" t="s">
        <v>2</v>
      </c>
      <c r="D5" s="4" t="s">
        <v>1</v>
      </c>
      <c r="E5" s="4" t="s">
        <v>1</v>
      </c>
      <c r="F5" s="4" t="s">
        <v>2</v>
      </c>
      <c r="G5" s="4" t="s">
        <v>2</v>
      </c>
      <c r="H5" s="4" t="s">
        <v>1</v>
      </c>
      <c r="I5" s="4" t="s">
        <v>2</v>
      </c>
      <c r="J5" s="2"/>
      <c r="K5" s="2"/>
      <c r="L5" s="2"/>
      <c r="M5" s="2"/>
      <c r="N5" s="2"/>
      <c r="O5" s="2"/>
    </row>
    <row r="6" ht="15.0" customHeight="1">
      <c r="A6" s="2"/>
      <c r="B6" s="4" t="s">
        <v>2</v>
      </c>
      <c r="C6" s="4" t="s">
        <v>2</v>
      </c>
      <c r="D6" s="4" t="s">
        <v>2</v>
      </c>
      <c r="E6" s="4" t="s">
        <v>1</v>
      </c>
      <c r="F6" s="4" t="s">
        <v>1</v>
      </c>
      <c r="G6" s="4" t="s">
        <v>2</v>
      </c>
      <c r="H6" s="4" t="s">
        <v>1</v>
      </c>
      <c r="I6" s="4" t="s">
        <v>1</v>
      </c>
      <c r="J6" s="2"/>
      <c r="K6" s="2"/>
      <c r="L6" s="2"/>
      <c r="M6" s="2"/>
      <c r="N6" s="2"/>
      <c r="O6" s="2"/>
    </row>
    <row r="7" ht="15.0" customHeight="1">
      <c r="A7" s="2"/>
      <c r="B7" s="4" t="s">
        <v>2</v>
      </c>
      <c r="C7" s="4" t="s">
        <v>2</v>
      </c>
      <c r="D7" s="4" t="s">
        <v>1</v>
      </c>
      <c r="E7" s="4" t="s">
        <v>2</v>
      </c>
      <c r="F7" s="4" t="s">
        <v>2</v>
      </c>
      <c r="G7" s="4" t="s">
        <v>1</v>
      </c>
      <c r="H7" s="4" t="s">
        <v>1</v>
      </c>
      <c r="I7" s="4" t="s">
        <v>1</v>
      </c>
      <c r="J7" s="2"/>
      <c r="K7" s="2"/>
      <c r="L7" s="2"/>
      <c r="M7" s="2"/>
      <c r="N7" s="2"/>
      <c r="O7" s="2"/>
    </row>
    <row r="8" ht="15.0" customHeight="1">
      <c r="A8" s="2"/>
      <c r="B8" s="4" t="s">
        <v>1</v>
      </c>
      <c r="C8" s="4" t="s">
        <v>2</v>
      </c>
      <c r="D8" s="4" t="s">
        <v>2</v>
      </c>
      <c r="E8" s="4" t="s">
        <v>1</v>
      </c>
      <c r="F8" s="4" t="s">
        <v>1</v>
      </c>
      <c r="G8" s="4" t="s">
        <v>2</v>
      </c>
      <c r="H8" s="4" t="s">
        <v>2</v>
      </c>
      <c r="I8" s="4" t="s">
        <v>1</v>
      </c>
      <c r="J8" s="2"/>
      <c r="K8" s="2"/>
      <c r="L8" s="2"/>
      <c r="M8" s="2"/>
      <c r="N8" s="2"/>
      <c r="O8" s="2"/>
    </row>
    <row r="9" ht="15.0" customHeight="1">
      <c r="A9" s="2"/>
      <c r="B9" s="4" t="s">
        <v>1</v>
      </c>
      <c r="C9" s="4" t="s">
        <v>1</v>
      </c>
      <c r="D9" s="4" t="s">
        <v>1</v>
      </c>
      <c r="E9" s="4" t="s">
        <v>2</v>
      </c>
      <c r="F9" s="4" t="s">
        <v>2</v>
      </c>
      <c r="G9" s="4" t="s">
        <v>1</v>
      </c>
      <c r="H9" s="4" t="s">
        <v>2</v>
      </c>
      <c r="I9" s="4" t="s">
        <v>1</v>
      </c>
      <c r="J9" s="2"/>
      <c r="K9" s="2"/>
      <c r="L9" s="2"/>
      <c r="M9" s="2"/>
      <c r="N9" s="2"/>
      <c r="O9" s="2"/>
    </row>
    <row r="10" ht="15.0" customHeight="1">
      <c r="A10" s="2"/>
      <c r="B10" s="4" t="s">
        <v>2</v>
      </c>
      <c r="C10" s="4" t="s">
        <v>1</v>
      </c>
      <c r="D10" s="4" t="s">
        <v>1</v>
      </c>
      <c r="E10" s="4" t="s">
        <v>2</v>
      </c>
      <c r="F10" s="4" t="s">
        <v>2</v>
      </c>
      <c r="G10" s="4" t="s">
        <v>2</v>
      </c>
      <c r="H10" s="4" t="s">
        <v>1</v>
      </c>
      <c r="I10" s="4" t="s">
        <v>1</v>
      </c>
      <c r="J10" s="2"/>
      <c r="K10" s="2"/>
      <c r="L10" s="2"/>
      <c r="M10" s="2"/>
      <c r="N10" s="2"/>
      <c r="O10" s="2"/>
    </row>
    <row r="11" ht="15.0" customHeight="1">
      <c r="A11" s="2"/>
      <c r="B11" s="4" t="s">
        <v>2</v>
      </c>
      <c r="C11" s="4" t="s">
        <v>2</v>
      </c>
      <c r="D11" s="4" t="s">
        <v>1</v>
      </c>
      <c r="E11" s="4" t="s">
        <v>2</v>
      </c>
      <c r="F11" s="4" t="s">
        <v>1</v>
      </c>
      <c r="G11" s="4" t="s">
        <v>1</v>
      </c>
      <c r="H11" s="4" t="s">
        <v>1</v>
      </c>
      <c r="I11" s="4" t="s">
        <v>2</v>
      </c>
      <c r="J11" s="2"/>
      <c r="K11" s="2"/>
      <c r="L11" s="2"/>
      <c r="M11" s="2"/>
      <c r="N11" s="2"/>
      <c r="O11" s="2"/>
    </row>
    <row r="12" ht="15.75" customHeight="1">
      <c r="A12" s="5" t="s">
        <v>3</v>
      </c>
      <c r="B12" s="6">
        <v>5.0</v>
      </c>
      <c r="C12" s="6">
        <v>2.0</v>
      </c>
      <c r="D12" s="6">
        <v>2.0</v>
      </c>
      <c r="E12" s="6">
        <v>3.0</v>
      </c>
      <c r="F12" s="6">
        <v>2.0</v>
      </c>
      <c r="G12" s="6">
        <v>4.0</v>
      </c>
      <c r="H12" s="6">
        <v>6.0</v>
      </c>
      <c r="I12" s="6">
        <v>5.0</v>
      </c>
      <c r="J12" s="2"/>
      <c r="K12" s="2"/>
      <c r="L12" s="2"/>
      <c r="M12" s="2"/>
      <c r="N12" s="2"/>
      <c r="O12" s="2"/>
    </row>
    <row r="13" ht="15.75" customHeight="1">
      <c r="A13" s="7" t="s">
        <v>4</v>
      </c>
      <c r="B13" s="8">
        <v>6.0</v>
      </c>
      <c r="C13" s="8">
        <v>4.0</v>
      </c>
      <c r="D13" s="8">
        <v>5.0</v>
      </c>
      <c r="E13" s="8">
        <v>3.0</v>
      </c>
      <c r="F13" s="8">
        <v>1.0</v>
      </c>
      <c r="G13" s="8">
        <v>5.0</v>
      </c>
      <c r="H13" s="8">
        <v>5.0</v>
      </c>
      <c r="I13" s="8">
        <v>6.0</v>
      </c>
      <c r="J13" s="2"/>
      <c r="K13" s="2"/>
      <c r="L13" s="2"/>
      <c r="M13" s="2"/>
      <c r="N13" s="2"/>
      <c r="O13" s="2"/>
    </row>
    <row r="14" ht="15.0" customHeight="1">
      <c r="A14" s="9" t="s">
        <v>5</v>
      </c>
      <c r="B14" s="4">
        <v>1.0</v>
      </c>
      <c r="C14" s="4">
        <v>2.0</v>
      </c>
      <c r="D14" s="4">
        <v>1.0</v>
      </c>
      <c r="E14" s="4">
        <v>0.0</v>
      </c>
      <c r="F14" s="4">
        <v>3.0</v>
      </c>
      <c r="G14" s="4">
        <v>-1.0</v>
      </c>
      <c r="H14" s="4">
        <v>0.0</v>
      </c>
      <c r="I14" s="4">
        <v>-4.0</v>
      </c>
      <c r="J14" s="2"/>
      <c r="K14" s="2"/>
      <c r="L14" s="2"/>
      <c r="M14" s="2"/>
      <c r="N14" s="2"/>
      <c r="O14" s="2"/>
    </row>
    <row r="15" ht="15.0" customHeight="1">
      <c r="A15" s="9" t="s">
        <v>6</v>
      </c>
      <c r="B15" s="4">
        <f t="shared" ref="B15:I15" si="1">+B12+B13+B14</f>
        <v>12</v>
      </c>
      <c r="C15" s="4">
        <f t="shared" si="1"/>
        <v>8</v>
      </c>
      <c r="D15" s="4">
        <f t="shared" si="1"/>
        <v>8</v>
      </c>
      <c r="E15" s="4">
        <f t="shared" si="1"/>
        <v>6</v>
      </c>
      <c r="F15" s="4">
        <f t="shared" si="1"/>
        <v>6</v>
      </c>
      <c r="G15" s="4">
        <f t="shared" si="1"/>
        <v>8</v>
      </c>
      <c r="H15" s="4">
        <f t="shared" si="1"/>
        <v>11</v>
      </c>
      <c r="I15" s="4">
        <f t="shared" si="1"/>
        <v>7</v>
      </c>
      <c r="J15" s="2"/>
      <c r="K15" s="2"/>
      <c r="L15" s="2"/>
      <c r="M15" s="2"/>
      <c r="N15" s="2"/>
      <c r="O15" s="2"/>
    </row>
    <row r="16" ht="15.75" customHeight="1">
      <c r="A16" s="2"/>
      <c r="B16" s="10"/>
      <c r="C16" s="10" t="s">
        <v>7</v>
      </c>
      <c r="D16" s="10"/>
      <c r="E16" s="10" t="s">
        <v>8</v>
      </c>
      <c r="F16" s="10"/>
      <c r="G16" s="10" t="s">
        <v>9</v>
      </c>
      <c r="H16" s="10"/>
      <c r="I16" s="10" t="s">
        <v>10</v>
      </c>
      <c r="J16" s="2"/>
      <c r="K16" s="2"/>
      <c r="L16" s="2"/>
      <c r="M16" s="2"/>
      <c r="N16" s="2"/>
      <c r="O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5.75" customHeight="1">
      <c r="A18" s="2" t="s">
        <v>11</v>
      </c>
      <c r="B18" s="11"/>
      <c r="C18" s="11"/>
      <c r="D18" s="11"/>
      <c r="E18" s="11"/>
      <c r="F18" s="11"/>
      <c r="G18" s="11"/>
      <c r="H18" s="11"/>
      <c r="I18" s="12">
        <f>B15</f>
        <v>12</v>
      </c>
      <c r="J18" s="2"/>
      <c r="K18" s="2"/>
      <c r="L18" s="2"/>
      <c r="M18" s="2"/>
      <c r="N18" s="2"/>
      <c r="O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5.75" customHeight="1">
      <c r="A20" s="2" t="s">
        <v>12</v>
      </c>
      <c r="B20" s="11"/>
      <c r="C20" s="11"/>
      <c r="D20" s="11"/>
      <c r="E20" s="12">
        <f>C15</f>
        <v>8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2" t="s">
        <v>13</v>
      </c>
      <c r="B22" s="11"/>
      <c r="C22" s="12">
        <f>D15</f>
        <v>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2" t="s">
        <v>14</v>
      </c>
      <c r="B24" s="11"/>
      <c r="C24" s="12">
        <f>E15</f>
        <v>6</v>
      </c>
      <c r="D24" s="11"/>
      <c r="E24" s="12">
        <f>E15</f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2" t="s">
        <v>15</v>
      </c>
      <c r="B26" s="11"/>
      <c r="C26" s="11"/>
      <c r="D26" s="11"/>
      <c r="E26" s="11"/>
      <c r="F26" s="11"/>
      <c r="G26" s="12">
        <f>F15</f>
        <v>6</v>
      </c>
      <c r="H26" s="2"/>
      <c r="I26" s="2"/>
      <c r="J26" s="2"/>
      <c r="K26" s="2"/>
      <c r="L26" s="2"/>
      <c r="M26" s="2"/>
      <c r="N26" s="2"/>
      <c r="O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2" t="s">
        <v>16</v>
      </c>
      <c r="B28" s="11"/>
      <c r="C28" s="11"/>
      <c r="D28" s="11"/>
      <c r="E28" s="12">
        <f>G15</f>
        <v>8</v>
      </c>
      <c r="F28" s="11"/>
      <c r="G28" s="12">
        <f>G15</f>
        <v>8</v>
      </c>
      <c r="H28" s="2"/>
      <c r="I28" s="2"/>
      <c r="J28" s="2"/>
      <c r="K28" s="2"/>
      <c r="L28" s="2"/>
      <c r="M28" s="2"/>
      <c r="N28" s="2"/>
      <c r="O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 t="s">
        <v>17</v>
      </c>
      <c r="B30" s="11"/>
      <c r="C30" s="12">
        <f>H15</f>
        <v>11</v>
      </c>
      <c r="D30" s="11"/>
      <c r="E30" s="11"/>
      <c r="F30" s="11"/>
      <c r="G30" s="12">
        <f>H15</f>
        <v>11</v>
      </c>
      <c r="H30" s="2"/>
      <c r="I30" s="2"/>
      <c r="J30" s="2"/>
      <c r="K30" s="2"/>
      <c r="L30" s="2"/>
      <c r="M30" s="2"/>
      <c r="N30" s="2"/>
      <c r="O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2" t="s">
        <v>18</v>
      </c>
      <c r="B32" s="11"/>
      <c r="C32" s="12">
        <f>I15</f>
        <v>7</v>
      </c>
      <c r="D32" s="11"/>
      <c r="E32" s="12">
        <f>I15</f>
        <v>7</v>
      </c>
      <c r="F32" s="11"/>
      <c r="G32" s="12">
        <f>I15</f>
        <v>7</v>
      </c>
      <c r="H32" s="2"/>
      <c r="I32" s="2"/>
      <c r="J32" s="2"/>
      <c r="K32" s="2"/>
      <c r="L32" s="2"/>
      <c r="M32" s="2"/>
      <c r="N32" s="2"/>
      <c r="O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2"/>
      <c r="B34" s="2"/>
      <c r="C34" s="12">
        <f>+C22+C24+C30+C32</f>
        <v>32</v>
      </c>
      <c r="D34" s="2"/>
      <c r="E34" s="12">
        <f>+E20+E24+E28+E32</f>
        <v>29</v>
      </c>
      <c r="F34" s="2"/>
      <c r="G34" s="12">
        <f>+G26+G28+G30+G32</f>
        <v>32</v>
      </c>
      <c r="H34" s="2"/>
      <c r="I34" s="12">
        <f>I18</f>
        <v>12</v>
      </c>
      <c r="J34" s="2"/>
      <c r="K34" s="2"/>
      <c r="L34" s="2" t="s">
        <v>20</v>
      </c>
      <c r="M34" s="2"/>
      <c r="N34" s="2"/>
      <c r="O34" s="2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23.25" customHeight="1">
      <c r="A1" s="1" t="s">
        <v>0</v>
      </c>
      <c r="J1" s="2"/>
      <c r="K1" s="2"/>
      <c r="L1" s="2"/>
      <c r="M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0" customHeight="1">
      <c r="A4" s="2"/>
      <c r="B4" s="4" t="s">
        <v>1</v>
      </c>
      <c r="C4" s="4" t="s">
        <v>1</v>
      </c>
      <c r="D4" s="4" t="s">
        <v>1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2"/>
      <c r="K4" s="2"/>
      <c r="L4" s="2"/>
      <c r="M4" s="2"/>
    </row>
    <row r="5" ht="15.0" customHeight="1">
      <c r="A5" s="2"/>
      <c r="B5" s="4" t="s">
        <v>1</v>
      </c>
      <c r="C5" s="4" t="s">
        <v>2</v>
      </c>
      <c r="D5" s="4" t="s">
        <v>2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2"/>
      <c r="K5" s="2"/>
      <c r="L5" s="2"/>
      <c r="M5" s="2"/>
    </row>
    <row r="6" ht="15.0" customHeight="1">
      <c r="A6" s="2"/>
      <c r="B6" s="4" t="s">
        <v>1</v>
      </c>
      <c r="C6" s="4" t="s">
        <v>2</v>
      </c>
      <c r="D6" s="4" t="s">
        <v>2</v>
      </c>
      <c r="E6" s="4" t="s">
        <v>1</v>
      </c>
      <c r="F6" s="4" t="s">
        <v>2</v>
      </c>
      <c r="G6" s="4" t="s">
        <v>1</v>
      </c>
      <c r="H6" s="4" t="s">
        <v>1</v>
      </c>
      <c r="I6" s="4" t="s">
        <v>1</v>
      </c>
      <c r="J6" s="2"/>
      <c r="K6" s="2"/>
      <c r="L6" s="2"/>
      <c r="M6" s="2"/>
    </row>
    <row r="7" ht="15.0" customHeight="1">
      <c r="A7" s="2"/>
      <c r="B7" s="4" t="s">
        <v>1</v>
      </c>
      <c r="C7" s="4" t="s">
        <v>1</v>
      </c>
      <c r="D7" s="4" t="s">
        <v>1</v>
      </c>
      <c r="E7" s="4" t="s">
        <v>2</v>
      </c>
      <c r="F7" s="4" t="s">
        <v>1</v>
      </c>
      <c r="G7" s="4" t="s">
        <v>2</v>
      </c>
      <c r="H7" s="4" t="s">
        <v>2</v>
      </c>
      <c r="I7" s="4" t="s">
        <v>1</v>
      </c>
      <c r="J7" s="2"/>
      <c r="K7" s="2"/>
      <c r="L7" s="2"/>
      <c r="M7" s="2"/>
    </row>
    <row r="8" ht="15.0" customHeight="1">
      <c r="A8" s="2"/>
      <c r="B8" s="4" t="s">
        <v>1</v>
      </c>
      <c r="C8" s="4" t="s">
        <v>1</v>
      </c>
      <c r="D8" s="4" t="s">
        <v>2</v>
      </c>
      <c r="E8" s="4" t="s">
        <v>1</v>
      </c>
      <c r="F8" s="4" t="s">
        <v>2</v>
      </c>
      <c r="G8" s="4" t="s">
        <v>2</v>
      </c>
      <c r="H8" s="4" t="s">
        <v>2</v>
      </c>
      <c r="I8" s="4" t="s">
        <v>1</v>
      </c>
      <c r="J8" s="2"/>
      <c r="K8" s="2"/>
      <c r="L8" s="2"/>
      <c r="M8" s="2"/>
    </row>
    <row r="9" ht="15.0" customHeight="1">
      <c r="A9" s="2"/>
      <c r="B9" s="4" t="s">
        <v>1</v>
      </c>
      <c r="C9" s="4" t="s">
        <v>1</v>
      </c>
      <c r="D9" s="4" t="s">
        <v>1</v>
      </c>
      <c r="E9" s="4" t="s">
        <v>2</v>
      </c>
      <c r="F9" s="4" t="s">
        <v>2</v>
      </c>
      <c r="G9" s="4" t="s">
        <v>1</v>
      </c>
      <c r="H9" s="4" t="s">
        <v>2</v>
      </c>
      <c r="I9" s="4" t="s">
        <v>2</v>
      </c>
      <c r="J9" s="2"/>
      <c r="K9" s="2"/>
      <c r="L9" s="2"/>
      <c r="M9" s="2"/>
    </row>
    <row r="10" ht="15.0" customHeight="1">
      <c r="A10" s="2"/>
      <c r="B10" s="4" t="s">
        <v>2</v>
      </c>
      <c r="C10" s="4" t="s">
        <v>1</v>
      </c>
      <c r="D10" s="4" t="s">
        <v>1</v>
      </c>
      <c r="E10" s="4" t="s">
        <v>1</v>
      </c>
      <c r="F10" s="4" t="s">
        <v>2</v>
      </c>
      <c r="G10" s="4" t="s">
        <v>1</v>
      </c>
      <c r="H10" s="4" t="s">
        <v>2</v>
      </c>
      <c r="I10" s="4" t="s">
        <v>1</v>
      </c>
      <c r="J10" s="2"/>
      <c r="K10" s="2"/>
      <c r="L10" s="2"/>
      <c r="M10" s="2"/>
    </row>
    <row r="11" ht="15.0" customHeight="1">
      <c r="A11" s="2"/>
      <c r="B11" s="4" t="s">
        <v>2</v>
      </c>
      <c r="C11" s="4" t="s">
        <v>1</v>
      </c>
      <c r="D11" s="4" t="s">
        <v>1</v>
      </c>
      <c r="E11" s="4" t="s">
        <v>2</v>
      </c>
      <c r="F11" s="4" t="s">
        <v>2</v>
      </c>
      <c r="G11" s="4" t="s">
        <v>2</v>
      </c>
      <c r="H11" s="4" t="s">
        <v>1</v>
      </c>
      <c r="I11" s="4" t="s">
        <v>1</v>
      </c>
      <c r="J11" s="2"/>
      <c r="K11" s="2"/>
      <c r="L11" s="2"/>
      <c r="M11" s="2"/>
    </row>
    <row r="12" ht="15.75" customHeight="1">
      <c r="A12" s="5" t="s">
        <v>3</v>
      </c>
      <c r="B12" s="6">
        <v>5.0</v>
      </c>
      <c r="C12" s="6">
        <v>2.0</v>
      </c>
      <c r="D12" s="6">
        <v>3.0</v>
      </c>
      <c r="E12" s="6">
        <v>3.0</v>
      </c>
      <c r="F12" s="6">
        <v>4.0</v>
      </c>
      <c r="G12" s="6">
        <v>3.0</v>
      </c>
      <c r="H12" s="6">
        <v>3.0</v>
      </c>
      <c r="I12" s="6">
        <v>5.0</v>
      </c>
      <c r="J12" s="2"/>
      <c r="K12" s="2"/>
      <c r="L12" s="2"/>
      <c r="M12" s="2"/>
    </row>
    <row r="13" ht="15.75" customHeight="1">
      <c r="A13" s="7" t="s">
        <v>4</v>
      </c>
      <c r="B13" s="8">
        <v>6.0</v>
      </c>
      <c r="C13" s="8">
        <v>6.0</v>
      </c>
      <c r="D13" s="8">
        <v>5.0</v>
      </c>
      <c r="E13" s="8">
        <v>4.0</v>
      </c>
      <c r="F13" s="8">
        <v>2.0</v>
      </c>
      <c r="G13" s="8">
        <v>4.0</v>
      </c>
      <c r="H13" s="8">
        <v>3.0</v>
      </c>
      <c r="I13" s="8">
        <v>6.0</v>
      </c>
      <c r="J13" s="2"/>
      <c r="K13" s="2"/>
      <c r="L13" s="2"/>
      <c r="M13" s="2"/>
    </row>
    <row r="14" ht="15.0" customHeight="1">
      <c r="A14" s="9" t="s">
        <v>5</v>
      </c>
      <c r="B14" s="4">
        <v>1.0</v>
      </c>
      <c r="C14" s="4">
        <v>2.0</v>
      </c>
      <c r="D14" s="4">
        <v>1.0</v>
      </c>
      <c r="E14" s="4">
        <v>0.0</v>
      </c>
      <c r="F14" s="4">
        <v>3.0</v>
      </c>
      <c r="G14" s="4">
        <v>-1.0</v>
      </c>
      <c r="H14" s="4">
        <v>0.0</v>
      </c>
      <c r="I14" s="4">
        <v>-4.0</v>
      </c>
      <c r="J14" s="2"/>
      <c r="K14" s="2"/>
      <c r="L14" s="2"/>
      <c r="M14" s="2"/>
    </row>
    <row r="15" ht="15.0" customHeight="1">
      <c r="A15" s="9" t="s">
        <v>6</v>
      </c>
      <c r="B15" s="4">
        <f t="shared" ref="B15:I15" si="1">+B12+B13+B14</f>
        <v>12</v>
      </c>
      <c r="C15" s="4">
        <f t="shared" si="1"/>
        <v>10</v>
      </c>
      <c r="D15" s="4">
        <f t="shared" si="1"/>
        <v>9</v>
      </c>
      <c r="E15" s="4">
        <f t="shared" si="1"/>
        <v>7</v>
      </c>
      <c r="F15" s="4">
        <f t="shared" si="1"/>
        <v>9</v>
      </c>
      <c r="G15" s="4">
        <f t="shared" si="1"/>
        <v>6</v>
      </c>
      <c r="H15" s="4">
        <f t="shared" si="1"/>
        <v>6</v>
      </c>
      <c r="I15" s="4">
        <f t="shared" si="1"/>
        <v>7</v>
      </c>
      <c r="J15" s="2"/>
      <c r="K15" s="2"/>
      <c r="L15" s="2"/>
      <c r="M15" s="2"/>
    </row>
    <row r="16" ht="15.75" customHeight="1">
      <c r="A16" s="2"/>
      <c r="B16" s="10"/>
      <c r="C16" s="10" t="s">
        <v>7</v>
      </c>
      <c r="D16" s="10"/>
      <c r="E16" s="10" t="s">
        <v>8</v>
      </c>
      <c r="F16" s="10"/>
      <c r="G16" s="10" t="s">
        <v>9</v>
      </c>
      <c r="H16" s="10"/>
      <c r="I16" s="10" t="s">
        <v>10</v>
      </c>
      <c r="J16" s="2"/>
      <c r="K16" s="2"/>
      <c r="L16" s="2"/>
      <c r="M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15.75" customHeight="1">
      <c r="A18" s="2" t="s">
        <v>11</v>
      </c>
      <c r="B18" s="11"/>
      <c r="C18" s="11"/>
      <c r="D18" s="11"/>
      <c r="E18" s="11"/>
      <c r="F18" s="11"/>
      <c r="G18" s="11"/>
      <c r="H18" s="11"/>
      <c r="I18" s="12">
        <f>B15</f>
        <v>12</v>
      </c>
      <c r="J18" s="2"/>
      <c r="K18" s="2"/>
      <c r="L18" s="2"/>
      <c r="M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5.75" customHeight="1">
      <c r="A20" s="2" t="s">
        <v>12</v>
      </c>
      <c r="B20" s="11"/>
      <c r="C20" s="11"/>
      <c r="D20" s="11"/>
      <c r="E20" s="12">
        <f>C15</f>
        <v>10</v>
      </c>
      <c r="F20" s="2"/>
      <c r="G20" s="2"/>
      <c r="H20" s="2"/>
      <c r="I20" s="2"/>
      <c r="J20" s="2"/>
      <c r="K20" s="2"/>
      <c r="L20" s="2"/>
      <c r="M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5.75" customHeight="1">
      <c r="A22" s="2" t="s">
        <v>13</v>
      </c>
      <c r="B22" s="11"/>
      <c r="C22" s="12">
        <f>D15</f>
        <v>9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5.75" customHeight="1">
      <c r="A24" s="2" t="s">
        <v>14</v>
      </c>
      <c r="B24" s="11"/>
      <c r="C24" s="12">
        <f>E15</f>
        <v>7</v>
      </c>
      <c r="D24" s="11"/>
      <c r="E24" s="12">
        <f>E15</f>
        <v>7</v>
      </c>
      <c r="F24" s="2"/>
      <c r="G24" s="2"/>
      <c r="H24" s="2"/>
      <c r="I24" s="2"/>
      <c r="J24" s="2"/>
      <c r="K24" s="2"/>
      <c r="L24" s="2"/>
      <c r="M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5.75" customHeight="1">
      <c r="A26" s="2" t="s">
        <v>15</v>
      </c>
      <c r="B26" s="11"/>
      <c r="C26" s="11"/>
      <c r="D26" s="11"/>
      <c r="E26" s="11"/>
      <c r="F26" s="11"/>
      <c r="G26" s="12">
        <f>F15</f>
        <v>9</v>
      </c>
      <c r="H26" s="2"/>
      <c r="I26" s="2"/>
      <c r="J26" s="2"/>
      <c r="K26" s="2"/>
      <c r="L26" s="2"/>
      <c r="M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5.75" customHeight="1">
      <c r="A28" s="2" t="s">
        <v>16</v>
      </c>
      <c r="B28" s="11"/>
      <c r="C28" s="11"/>
      <c r="D28" s="11"/>
      <c r="E28" s="12">
        <f>G15</f>
        <v>6</v>
      </c>
      <c r="F28" s="11"/>
      <c r="G28" s="12">
        <f>G15</f>
        <v>6</v>
      </c>
      <c r="H28" s="2"/>
      <c r="I28" s="2"/>
      <c r="J28" s="2"/>
      <c r="K28" s="2"/>
      <c r="L28" s="2"/>
      <c r="M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.75" customHeight="1">
      <c r="A30" s="2" t="s">
        <v>17</v>
      </c>
      <c r="B30" s="11"/>
      <c r="C30" s="12">
        <f>H15</f>
        <v>6</v>
      </c>
      <c r="D30" s="11"/>
      <c r="E30" s="11"/>
      <c r="F30" s="11"/>
      <c r="G30" s="12">
        <f>H15</f>
        <v>6</v>
      </c>
      <c r="H30" s="2"/>
      <c r="I30" s="2"/>
      <c r="J30" s="2"/>
      <c r="K30" s="2"/>
      <c r="L30" s="2"/>
      <c r="M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>
      <c r="A32" s="2" t="s">
        <v>18</v>
      </c>
      <c r="B32" s="11"/>
      <c r="C32" s="12">
        <f>I15</f>
        <v>7</v>
      </c>
      <c r="D32" s="11"/>
      <c r="E32" s="12">
        <f>I15</f>
        <v>7</v>
      </c>
      <c r="F32" s="11"/>
      <c r="G32" s="12">
        <f>I15</f>
        <v>7</v>
      </c>
      <c r="H32" s="2"/>
      <c r="I32" s="2"/>
      <c r="J32" s="2"/>
      <c r="K32" s="2"/>
      <c r="L32" s="2"/>
      <c r="M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5.75" customHeight="1">
      <c r="A34" s="2"/>
      <c r="B34" s="2"/>
      <c r="C34" s="12">
        <f>+C22+C24+C30+C32</f>
        <v>29</v>
      </c>
      <c r="D34" s="2"/>
      <c r="E34" s="12">
        <f>+E20+E24+E28+E32</f>
        <v>30</v>
      </c>
      <c r="F34" s="2"/>
      <c r="G34" s="12">
        <f>+G26+G28+G30+G32</f>
        <v>28</v>
      </c>
      <c r="H34" s="2"/>
      <c r="I34" s="12">
        <f>I18</f>
        <v>12</v>
      </c>
      <c r="J34" s="2"/>
      <c r="K34" s="2" t="s">
        <v>21</v>
      </c>
      <c r="L34" s="2"/>
      <c r="M34" s="2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9" width="5.57"/>
    <col customWidth="1" min="10" max="10" width="6.57"/>
    <col customWidth="1" min="11" max="25" width="3.71"/>
    <col customWidth="1" min="26" max="26" width="8.0"/>
  </cols>
  <sheetData>
    <row r="1" ht="34.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20.25" customHeight="1">
      <c r="A4" s="2"/>
      <c r="B4" s="4" t="s">
        <v>1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ht="20.25" customHeight="1">
      <c r="A5" s="2"/>
      <c r="B5" s="4" t="s">
        <v>1</v>
      </c>
      <c r="C5" s="4" t="s">
        <v>2</v>
      </c>
      <c r="D5" s="4" t="s">
        <v>2</v>
      </c>
      <c r="E5" s="4" t="s">
        <v>1</v>
      </c>
      <c r="F5" s="4" t="s">
        <v>1</v>
      </c>
      <c r="G5" s="4" t="s">
        <v>1</v>
      </c>
      <c r="H5" s="4" t="s">
        <v>2</v>
      </c>
      <c r="I5" s="4" t="s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ht="20.25" customHeight="1">
      <c r="A6" s="2"/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1</v>
      </c>
      <c r="H6" s="4" t="s">
        <v>1</v>
      </c>
      <c r="I6" s="4" t="s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ht="20.25" customHeight="1">
      <c r="A7" s="2"/>
      <c r="B7" s="4" t="s">
        <v>1</v>
      </c>
      <c r="C7" s="4" t="s">
        <v>1</v>
      </c>
      <c r="D7" s="4" t="s">
        <v>1</v>
      </c>
      <c r="E7" s="4" t="s">
        <v>2</v>
      </c>
      <c r="F7" s="4" t="s">
        <v>1</v>
      </c>
      <c r="G7" s="4" t="s">
        <v>1</v>
      </c>
      <c r="H7" s="4" t="s">
        <v>2</v>
      </c>
      <c r="I7" s="4" t="s">
        <v>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ht="20.25" customHeight="1">
      <c r="A8" s="2"/>
      <c r="B8" s="4" t="s">
        <v>1</v>
      </c>
      <c r="C8" s="4" t="s">
        <v>1</v>
      </c>
      <c r="D8" s="4" t="s">
        <v>1</v>
      </c>
      <c r="E8" s="4" t="s">
        <v>1</v>
      </c>
      <c r="F8" s="4" t="s">
        <v>2</v>
      </c>
      <c r="G8" s="4" t="s">
        <v>1</v>
      </c>
      <c r="H8" s="4" t="s">
        <v>2</v>
      </c>
      <c r="I8" s="4" t="s">
        <v>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ht="20.25" customHeight="1">
      <c r="A9" s="2"/>
      <c r="B9" s="4" t="s">
        <v>2</v>
      </c>
      <c r="C9" s="4" t="s">
        <v>1</v>
      </c>
      <c r="D9" s="4" t="s">
        <v>1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ht="20.25" customHeight="1">
      <c r="A10" s="2"/>
      <c r="B10" s="4" t="s">
        <v>1</v>
      </c>
      <c r="C10" s="4" t="s">
        <v>1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2</v>
      </c>
      <c r="I10" s="4" t="s">
        <v>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ht="20.25" customHeight="1">
      <c r="A11" s="2"/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2</v>
      </c>
      <c r="I11" s="4" t="s"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ht="20.25" customHeight="1">
      <c r="A12" s="5" t="s">
        <v>3</v>
      </c>
      <c r="B12" s="6">
        <v>7.0</v>
      </c>
      <c r="C12" s="6">
        <v>3.0</v>
      </c>
      <c r="D12" s="6">
        <v>5.0</v>
      </c>
      <c r="E12" s="6">
        <v>2.0</v>
      </c>
      <c r="F12" s="6">
        <v>2.0</v>
      </c>
      <c r="G12" s="6">
        <v>6.0</v>
      </c>
      <c r="H12" s="6">
        <v>5.0</v>
      </c>
      <c r="I12" s="6">
        <v>7.0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ht="20.25" customHeight="1">
      <c r="A13" s="7" t="s">
        <v>4</v>
      </c>
      <c r="B13" s="8">
        <v>5.0</v>
      </c>
      <c r="C13" s="8">
        <v>4.0</v>
      </c>
      <c r="D13" s="8">
        <v>3.0</v>
      </c>
      <c r="E13" s="8">
        <v>2.0</v>
      </c>
      <c r="F13" s="8">
        <v>2.0</v>
      </c>
      <c r="G13" s="8">
        <v>4.0</v>
      </c>
      <c r="H13" s="8">
        <v>1.0</v>
      </c>
      <c r="I13" s="8">
        <v>6.0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ht="20.25" customHeight="1">
      <c r="A14" s="9" t="s">
        <v>5</v>
      </c>
      <c r="B14" s="4">
        <v>1.0</v>
      </c>
      <c r="C14" s="4">
        <v>2.0</v>
      </c>
      <c r="D14" s="4">
        <v>1.0</v>
      </c>
      <c r="E14" s="4">
        <v>0.0</v>
      </c>
      <c r="F14" s="4">
        <v>3.0</v>
      </c>
      <c r="G14" s="4">
        <v>-1.0</v>
      </c>
      <c r="H14" s="4">
        <v>0.0</v>
      </c>
      <c r="I14" s="4">
        <v>-4.0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ht="20.25" customHeight="1">
      <c r="A15" s="9" t="s">
        <v>6</v>
      </c>
      <c r="B15" s="4">
        <f t="shared" ref="B15:I15" si="1">+B12+B13+B14</f>
        <v>13</v>
      </c>
      <c r="C15" s="4">
        <f t="shared" si="1"/>
        <v>9</v>
      </c>
      <c r="D15" s="4">
        <f t="shared" si="1"/>
        <v>9</v>
      </c>
      <c r="E15" s="4">
        <f t="shared" si="1"/>
        <v>4</v>
      </c>
      <c r="F15" s="4">
        <f t="shared" si="1"/>
        <v>7</v>
      </c>
      <c r="G15" s="4">
        <f t="shared" si="1"/>
        <v>9</v>
      </c>
      <c r="H15" s="4">
        <f t="shared" si="1"/>
        <v>6</v>
      </c>
      <c r="I15" s="4">
        <f t="shared" si="1"/>
        <v>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 ht="20.25" customHeight="1">
      <c r="A16" s="2"/>
      <c r="B16" s="10"/>
      <c r="C16" s="10" t="s">
        <v>7</v>
      </c>
      <c r="D16" s="10"/>
      <c r="E16" s="10" t="s">
        <v>8</v>
      </c>
      <c r="F16" s="10"/>
      <c r="G16" s="10" t="s">
        <v>9</v>
      </c>
      <c r="H16" s="10"/>
      <c r="I16" s="10" t="s">
        <v>10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ht="20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ht="20.25" customHeight="1">
      <c r="A18" s="2" t="s">
        <v>11</v>
      </c>
      <c r="B18" s="11"/>
      <c r="C18" s="11"/>
      <c r="D18" s="11"/>
      <c r="E18" s="11"/>
      <c r="F18" s="11"/>
      <c r="G18" s="11"/>
      <c r="H18" s="11"/>
      <c r="I18" s="12">
        <f>B15</f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ht="7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ht="15.75" customHeight="1">
      <c r="A20" s="2" t="s">
        <v>12</v>
      </c>
      <c r="B20" s="11"/>
      <c r="C20" s="11"/>
      <c r="D20" s="11"/>
      <c r="E20" s="12">
        <f>C15</f>
        <v>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ht="7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ht="15.75" customHeight="1">
      <c r="A22" s="2" t="s">
        <v>13</v>
      </c>
      <c r="B22" s="11"/>
      <c r="C22" s="12">
        <f>D15</f>
        <v>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ht="7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ht="15.75" customHeight="1">
      <c r="A24" s="2" t="s">
        <v>14</v>
      </c>
      <c r="B24" s="11"/>
      <c r="C24" s="12">
        <f>E15</f>
        <v>4</v>
      </c>
      <c r="D24" s="11"/>
      <c r="E24" s="12">
        <f>E15</f>
        <v>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ht="7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ht="15.75" customHeight="1">
      <c r="A26" s="2" t="s">
        <v>15</v>
      </c>
      <c r="B26" s="11"/>
      <c r="C26" s="11"/>
      <c r="D26" s="11"/>
      <c r="E26" s="11"/>
      <c r="F26" s="11"/>
      <c r="G26" s="12">
        <f>F15</f>
        <v>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ht="7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ht="15.75" customHeight="1">
      <c r="A28" s="2" t="s">
        <v>16</v>
      </c>
      <c r="B28" s="11"/>
      <c r="C28" s="11"/>
      <c r="D28" s="11"/>
      <c r="E28" s="12">
        <f>G15</f>
        <v>9</v>
      </c>
      <c r="F28" s="11"/>
      <c r="G28" s="12">
        <f>G15</f>
        <v>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ht="7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ht="15.75" customHeight="1">
      <c r="A30" s="2" t="s">
        <v>17</v>
      </c>
      <c r="B30" s="11"/>
      <c r="C30" s="12">
        <f>H15</f>
        <v>6</v>
      </c>
      <c r="D30" s="11"/>
      <c r="E30" s="11"/>
      <c r="F30" s="11"/>
      <c r="G30" s="12">
        <f>H15</f>
        <v>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ht="7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ht="15.75" customHeight="1">
      <c r="A32" s="2" t="s">
        <v>18</v>
      </c>
      <c r="B32" s="11"/>
      <c r="C32" s="12">
        <f>I15</f>
        <v>9</v>
      </c>
      <c r="D32" s="11"/>
      <c r="E32" s="12">
        <f>I15</f>
        <v>9</v>
      </c>
      <c r="F32" s="11"/>
      <c r="G32" s="12">
        <f>I15</f>
        <v>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ht="15.75" customHeight="1">
      <c r="A34" s="2"/>
      <c r="B34" s="2"/>
      <c r="C34" s="12">
        <f>+C22+C24+C30+C32</f>
        <v>28</v>
      </c>
      <c r="D34" s="2"/>
      <c r="E34" s="12">
        <f>+E20+E24+E28+E32</f>
        <v>31</v>
      </c>
      <c r="F34" s="2"/>
      <c r="G34" s="12">
        <f>+G26+G28+G30+G32</f>
        <v>31</v>
      </c>
      <c r="H34" s="2"/>
      <c r="I34" s="12">
        <f>I18</f>
        <v>13</v>
      </c>
      <c r="J34" s="2"/>
      <c r="K34" s="2" t="s">
        <v>21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9.14"/>
    <col customWidth="1" min="2" max="3" width="5.71"/>
    <col customWidth="1" min="4" max="52" width="9.14"/>
  </cols>
  <sheetData>
    <row r="1" ht="12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ht="12.75" customHeight="1">
      <c r="A2" s="13"/>
      <c r="B2" s="13" t="s">
        <v>22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ht="12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ht="12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</row>
    <row r="5" ht="12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</row>
    <row r="6" ht="12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</row>
    <row r="7" ht="12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</row>
    <row r="9" ht="12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</row>
    <row r="10" ht="12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</row>
    <row r="11" ht="12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</row>
    <row r="12" ht="12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</row>
    <row r="13" ht="12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</row>
    <row r="14" ht="12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</row>
    <row r="15" ht="12.75" customHeight="1">
      <c r="A15" s="13"/>
      <c r="B15" s="14">
        <v>1.0</v>
      </c>
      <c r="C15" s="15" t="s">
        <v>3</v>
      </c>
      <c r="D15" s="16" t="s">
        <v>23</v>
      </c>
      <c r="E15" s="17"/>
      <c r="F15" s="17"/>
      <c r="G15" s="17"/>
      <c r="H15" s="17"/>
      <c r="I15" s="17"/>
      <c r="J15" s="17"/>
      <c r="K15" s="17"/>
      <c r="L15" s="18"/>
      <c r="M15" s="19" t="s">
        <v>3</v>
      </c>
      <c r="N15" s="13"/>
      <c r="O15" s="14">
        <v>21.0</v>
      </c>
      <c r="P15" s="15" t="s">
        <v>3</v>
      </c>
      <c r="Q15" s="16" t="s">
        <v>24</v>
      </c>
      <c r="R15" s="17"/>
      <c r="S15" s="17"/>
      <c r="T15" s="17"/>
      <c r="U15" s="17"/>
      <c r="V15" s="17"/>
      <c r="W15" s="17"/>
      <c r="X15" s="17"/>
      <c r="Y15" s="18"/>
      <c r="Z15" s="14"/>
      <c r="AA15" s="13"/>
      <c r="AB15" s="14">
        <v>41.0</v>
      </c>
      <c r="AC15" s="15" t="s">
        <v>3</v>
      </c>
      <c r="AD15" s="16" t="s">
        <v>25</v>
      </c>
      <c r="AE15" s="17"/>
      <c r="AF15" s="17"/>
      <c r="AG15" s="17"/>
      <c r="AH15" s="17"/>
      <c r="AI15" s="17"/>
      <c r="AJ15" s="17"/>
      <c r="AK15" s="17"/>
      <c r="AL15" s="18"/>
      <c r="AM15" s="14"/>
      <c r="AN15" s="13"/>
      <c r="AO15" s="14">
        <v>61.0</v>
      </c>
      <c r="AP15" s="15" t="s">
        <v>3</v>
      </c>
      <c r="AQ15" s="16" t="s">
        <v>26</v>
      </c>
      <c r="AR15" s="17"/>
      <c r="AS15" s="17"/>
      <c r="AT15" s="17"/>
      <c r="AU15" s="17"/>
      <c r="AV15" s="17"/>
      <c r="AW15" s="17"/>
      <c r="AX15" s="17"/>
      <c r="AY15" s="18"/>
      <c r="AZ15" s="14"/>
    </row>
    <row r="16" ht="12.75" customHeight="1">
      <c r="A16" s="13"/>
      <c r="B16" s="20"/>
      <c r="C16" s="20"/>
      <c r="D16" s="21"/>
      <c r="L16" s="22"/>
      <c r="M16" s="20"/>
      <c r="N16" s="13"/>
      <c r="O16" s="20"/>
      <c r="P16" s="20"/>
      <c r="Q16" s="21"/>
      <c r="Y16" s="22"/>
      <c r="Z16" s="20"/>
      <c r="AA16" s="13"/>
      <c r="AB16" s="20"/>
      <c r="AC16" s="20"/>
      <c r="AD16" s="21"/>
      <c r="AL16" s="22"/>
      <c r="AM16" s="20"/>
      <c r="AN16" s="13"/>
      <c r="AO16" s="20"/>
      <c r="AP16" s="20"/>
      <c r="AQ16" s="21"/>
      <c r="AY16" s="22"/>
      <c r="AZ16" s="20"/>
    </row>
    <row r="17" ht="12.75" customHeight="1">
      <c r="A17" s="13"/>
      <c r="B17" s="20"/>
      <c r="C17" s="23"/>
      <c r="D17" s="24"/>
      <c r="E17" s="25"/>
      <c r="F17" s="25"/>
      <c r="G17" s="25"/>
      <c r="H17" s="25"/>
      <c r="I17" s="25"/>
      <c r="J17" s="25"/>
      <c r="K17" s="25"/>
      <c r="L17" s="26"/>
      <c r="M17" s="20"/>
      <c r="N17" s="13"/>
      <c r="O17" s="20"/>
      <c r="P17" s="23"/>
      <c r="Q17" s="24"/>
      <c r="R17" s="25"/>
      <c r="S17" s="25"/>
      <c r="T17" s="25"/>
      <c r="U17" s="25"/>
      <c r="V17" s="25"/>
      <c r="W17" s="25"/>
      <c r="X17" s="25"/>
      <c r="Y17" s="26"/>
      <c r="Z17" s="20"/>
      <c r="AA17" s="13"/>
      <c r="AB17" s="20"/>
      <c r="AC17" s="23"/>
      <c r="AD17" s="24"/>
      <c r="AE17" s="25"/>
      <c r="AF17" s="25"/>
      <c r="AG17" s="25"/>
      <c r="AH17" s="25"/>
      <c r="AI17" s="25"/>
      <c r="AJ17" s="25"/>
      <c r="AK17" s="25"/>
      <c r="AL17" s="26"/>
      <c r="AM17" s="20"/>
      <c r="AN17" s="13"/>
      <c r="AO17" s="20"/>
      <c r="AP17" s="23"/>
      <c r="AQ17" s="24"/>
      <c r="AR17" s="25"/>
      <c r="AS17" s="25"/>
      <c r="AT17" s="25"/>
      <c r="AU17" s="25"/>
      <c r="AV17" s="25"/>
      <c r="AW17" s="25"/>
      <c r="AX17" s="25"/>
      <c r="AY17" s="26"/>
      <c r="AZ17" s="20"/>
    </row>
    <row r="18" ht="12.75" customHeight="1">
      <c r="A18" s="13"/>
      <c r="B18" s="20"/>
      <c r="C18" s="14" t="s">
        <v>4</v>
      </c>
      <c r="D18" s="16" t="s">
        <v>27</v>
      </c>
      <c r="E18" s="17"/>
      <c r="F18" s="17"/>
      <c r="G18" s="17"/>
      <c r="H18" s="17"/>
      <c r="I18" s="17"/>
      <c r="J18" s="17"/>
      <c r="K18" s="17"/>
      <c r="L18" s="18"/>
      <c r="M18" s="20"/>
      <c r="N18" s="13"/>
      <c r="O18" s="20"/>
      <c r="P18" s="14" t="s">
        <v>4</v>
      </c>
      <c r="Q18" s="16" t="s">
        <v>28</v>
      </c>
      <c r="R18" s="17"/>
      <c r="S18" s="17"/>
      <c r="T18" s="17"/>
      <c r="U18" s="17"/>
      <c r="V18" s="17"/>
      <c r="W18" s="17"/>
      <c r="X18" s="17"/>
      <c r="Y18" s="18"/>
      <c r="Z18" s="20"/>
      <c r="AA18" s="13"/>
      <c r="AB18" s="20"/>
      <c r="AC18" s="14" t="s">
        <v>4</v>
      </c>
      <c r="AD18" s="16" t="s">
        <v>29</v>
      </c>
      <c r="AE18" s="17"/>
      <c r="AF18" s="17"/>
      <c r="AG18" s="17"/>
      <c r="AH18" s="17"/>
      <c r="AI18" s="17"/>
      <c r="AJ18" s="17"/>
      <c r="AK18" s="17"/>
      <c r="AL18" s="18"/>
      <c r="AM18" s="20"/>
      <c r="AN18" s="13"/>
      <c r="AO18" s="20"/>
      <c r="AP18" s="14" t="s">
        <v>4</v>
      </c>
      <c r="AQ18" s="16" t="s">
        <v>30</v>
      </c>
      <c r="AR18" s="17"/>
      <c r="AS18" s="17"/>
      <c r="AT18" s="17"/>
      <c r="AU18" s="17"/>
      <c r="AV18" s="17"/>
      <c r="AW18" s="17"/>
      <c r="AX18" s="17"/>
      <c r="AY18" s="18"/>
      <c r="AZ18" s="20"/>
    </row>
    <row r="19" ht="12.75" customHeight="1">
      <c r="A19" s="13"/>
      <c r="B19" s="20"/>
      <c r="C19" s="20"/>
      <c r="D19" s="21"/>
      <c r="L19" s="22"/>
      <c r="M19" s="20"/>
      <c r="N19" s="13"/>
      <c r="O19" s="20"/>
      <c r="P19" s="20"/>
      <c r="Q19" s="21"/>
      <c r="Y19" s="22"/>
      <c r="Z19" s="20"/>
      <c r="AA19" s="13"/>
      <c r="AB19" s="20"/>
      <c r="AC19" s="20"/>
      <c r="AD19" s="21"/>
      <c r="AL19" s="22"/>
      <c r="AM19" s="20"/>
      <c r="AN19" s="13"/>
      <c r="AO19" s="20"/>
      <c r="AP19" s="20"/>
      <c r="AQ19" s="21"/>
      <c r="AY19" s="22"/>
      <c r="AZ19" s="20"/>
    </row>
    <row r="20" ht="12.75" customHeight="1">
      <c r="A20" s="13"/>
      <c r="B20" s="23"/>
      <c r="C20" s="23"/>
      <c r="D20" s="24"/>
      <c r="E20" s="25"/>
      <c r="F20" s="25"/>
      <c r="G20" s="25"/>
      <c r="H20" s="25"/>
      <c r="I20" s="25"/>
      <c r="J20" s="25"/>
      <c r="K20" s="25"/>
      <c r="L20" s="26"/>
      <c r="M20" s="23"/>
      <c r="N20" s="13"/>
      <c r="O20" s="23"/>
      <c r="P20" s="23"/>
      <c r="Q20" s="24"/>
      <c r="R20" s="25"/>
      <c r="S20" s="25"/>
      <c r="T20" s="25"/>
      <c r="U20" s="25"/>
      <c r="V20" s="25"/>
      <c r="W20" s="25"/>
      <c r="X20" s="25"/>
      <c r="Y20" s="26"/>
      <c r="Z20" s="23"/>
      <c r="AA20" s="13"/>
      <c r="AB20" s="23"/>
      <c r="AC20" s="23"/>
      <c r="AD20" s="24"/>
      <c r="AE20" s="25"/>
      <c r="AF20" s="25"/>
      <c r="AG20" s="25"/>
      <c r="AH20" s="25"/>
      <c r="AI20" s="25"/>
      <c r="AJ20" s="25"/>
      <c r="AK20" s="25"/>
      <c r="AL20" s="26"/>
      <c r="AM20" s="23"/>
      <c r="AN20" s="13"/>
      <c r="AO20" s="23"/>
      <c r="AP20" s="23"/>
      <c r="AQ20" s="24"/>
      <c r="AR20" s="25"/>
      <c r="AS20" s="25"/>
      <c r="AT20" s="25"/>
      <c r="AU20" s="25"/>
      <c r="AV20" s="25"/>
      <c r="AW20" s="25"/>
      <c r="AX20" s="25"/>
      <c r="AY20" s="26"/>
      <c r="AZ20" s="23"/>
    </row>
    <row r="21" ht="12.75" customHeight="1">
      <c r="A21" s="13"/>
      <c r="B21" s="14">
        <f>1+B15</f>
        <v>2</v>
      </c>
      <c r="C21" s="15" t="s">
        <v>3</v>
      </c>
      <c r="D21" s="16" t="s">
        <v>31</v>
      </c>
      <c r="E21" s="17"/>
      <c r="F21" s="17"/>
      <c r="G21" s="17"/>
      <c r="H21" s="17"/>
      <c r="I21" s="17"/>
      <c r="J21" s="17"/>
      <c r="K21" s="17"/>
      <c r="L21" s="18"/>
      <c r="M21" s="19" t="s">
        <v>4</v>
      </c>
      <c r="N21" s="13"/>
      <c r="O21" s="14">
        <f>O15+1</f>
        <v>22</v>
      </c>
      <c r="P21" s="15" t="s">
        <v>3</v>
      </c>
      <c r="Q21" s="16" t="s">
        <v>32</v>
      </c>
      <c r="R21" s="17"/>
      <c r="S21" s="17"/>
      <c r="T21" s="17"/>
      <c r="U21" s="17"/>
      <c r="V21" s="17"/>
      <c r="W21" s="17"/>
      <c r="X21" s="17"/>
      <c r="Y21" s="18"/>
      <c r="Z21" s="14"/>
      <c r="AA21" s="13"/>
      <c r="AB21" s="14">
        <f>AB15+1</f>
        <v>42</v>
      </c>
      <c r="AC21" s="15" t="s">
        <v>3</v>
      </c>
      <c r="AD21" s="16" t="s">
        <v>33</v>
      </c>
      <c r="AE21" s="17"/>
      <c r="AF21" s="17"/>
      <c r="AG21" s="17"/>
      <c r="AH21" s="17"/>
      <c r="AI21" s="17"/>
      <c r="AJ21" s="17"/>
      <c r="AK21" s="17"/>
      <c r="AL21" s="18"/>
      <c r="AM21" s="14"/>
      <c r="AN21" s="13"/>
      <c r="AO21" s="14">
        <f>AO15+1</f>
        <v>62</v>
      </c>
      <c r="AP21" s="15" t="s">
        <v>3</v>
      </c>
      <c r="AQ21" s="16" t="s">
        <v>34</v>
      </c>
      <c r="AR21" s="17"/>
      <c r="AS21" s="17"/>
      <c r="AT21" s="17"/>
      <c r="AU21" s="17"/>
      <c r="AV21" s="17"/>
      <c r="AW21" s="17"/>
      <c r="AX21" s="17"/>
      <c r="AY21" s="18"/>
      <c r="AZ21" s="14"/>
    </row>
    <row r="22" ht="12.75" customHeight="1">
      <c r="A22" s="13"/>
      <c r="B22" s="20"/>
      <c r="C22" s="20"/>
      <c r="D22" s="21"/>
      <c r="L22" s="22"/>
      <c r="M22" s="20"/>
      <c r="N22" s="13"/>
      <c r="O22" s="20"/>
      <c r="P22" s="20"/>
      <c r="Q22" s="21"/>
      <c r="Y22" s="22"/>
      <c r="Z22" s="20"/>
      <c r="AA22" s="13"/>
      <c r="AB22" s="20"/>
      <c r="AC22" s="20"/>
      <c r="AD22" s="21"/>
      <c r="AL22" s="22"/>
      <c r="AM22" s="20"/>
      <c r="AN22" s="13"/>
      <c r="AO22" s="20"/>
      <c r="AP22" s="20"/>
      <c r="AQ22" s="21"/>
      <c r="AY22" s="22"/>
      <c r="AZ22" s="20"/>
    </row>
    <row r="23" ht="12.75" customHeight="1">
      <c r="A23" s="13"/>
      <c r="B23" s="20"/>
      <c r="C23" s="23"/>
      <c r="D23" s="24"/>
      <c r="E23" s="25"/>
      <c r="F23" s="25"/>
      <c r="G23" s="25"/>
      <c r="H23" s="25"/>
      <c r="I23" s="25"/>
      <c r="J23" s="25"/>
      <c r="K23" s="25"/>
      <c r="L23" s="26"/>
      <c r="M23" s="20"/>
      <c r="N23" s="13"/>
      <c r="O23" s="20"/>
      <c r="P23" s="23"/>
      <c r="Q23" s="24"/>
      <c r="R23" s="25"/>
      <c r="S23" s="25"/>
      <c r="T23" s="25"/>
      <c r="U23" s="25"/>
      <c r="V23" s="25"/>
      <c r="W23" s="25"/>
      <c r="X23" s="25"/>
      <c r="Y23" s="26"/>
      <c r="Z23" s="20"/>
      <c r="AA23" s="13"/>
      <c r="AB23" s="20"/>
      <c r="AC23" s="23"/>
      <c r="AD23" s="24"/>
      <c r="AE23" s="25"/>
      <c r="AF23" s="25"/>
      <c r="AG23" s="25"/>
      <c r="AH23" s="25"/>
      <c r="AI23" s="25"/>
      <c r="AJ23" s="25"/>
      <c r="AK23" s="25"/>
      <c r="AL23" s="26"/>
      <c r="AM23" s="20"/>
      <c r="AN23" s="13"/>
      <c r="AO23" s="20"/>
      <c r="AP23" s="23"/>
      <c r="AQ23" s="24"/>
      <c r="AR23" s="25"/>
      <c r="AS23" s="25"/>
      <c r="AT23" s="25"/>
      <c r="AU23" s="25"/>
      <c r="AV23" s="25"/>
      <c r="AW23" s="25"/>
      <c r="AX23" s="25"/>
      <c r="AY23" s="26"/>
      <c r="AZ23" s="20"/>
    </row>
    <row r="24" ht="12.75" customHeight="1">
      <c r="A24" s="13"/>
      <c r="B24" s="20"/>
      <c r="C24" s="14" t="s">
        <v>4</v>
      </c>
      <c r="D24" s="16" t="s">
        <v>35</v>
      </c>
      <c r="E24" s="17"/>
      <c r="F24" s="17"/>
      <c r="G24" s="17"/>
      <c r="H24" s="17"/>
      <c r="I24" s="17"/>
      <c r="J24" s="17"/>
      <c r="K24" s="17"/>
      <c r="L24" s="18"/>
      <c r="M24" s="20"/>
      <c r="N24" s="13"/>
      <c r="O24" s="20"/>
      <c r="P24" s="14" t="s">
        <v>4</v>
      </c>
      <c r="Q24" s="16" t="s">
        <v>36</v>
      </c>
      <c r="R24" s="17"/>
      <c r="S24" s="17"/>
      <c r="T24" s="17"/>
      <c r="U24" s="17"/>
      <c r="V24" s="17"/>
      <c r="W24" s="17"/>
      <c r="X24" s="17"/>
      <c r="Y24" s="18"/>
      <c r="Z24" s="20"/>
      <c r="AA24" s="13"/>
      <c r="AB24" s="20"/>
      <c r="AC24" s="14" t="s">
        <v>4</v>
      </c>
      <c r="AD24" s="16" t="s">
        <v>37</v>
      </c>
      <c r="AE24" s="17"/>
      <c r="AF24" s="17"/>
      <c r="AG24" s="17"/>
      <c r="AH24" s="17"/>
      <c r="AI24" s="17"/>
      <c r="AJ24" s="17"/>
      <c r="AK24" s="17"/>
      <c r="AL24" s="18"/>
      <c r="AM24" s="20"/>
      <c r="AN24" s="13"/>
      <c r="AO24" s="20"/>
      <c r="AP24" s="14" t="s">
        <v>4</v>
      </c>
      <c r="AQ24" s="16" t="s">
        <v>38</v>
      </c>
      <c r="AR24" s="17"/>
      <c r="AS24" s="17"/>
      <c r="AT24" s="17"/>
      <c r="AU24" s="17"/>
      <c r="AV24" s="17"/>
      <c r="AW24" s="17"/>
      <c r="AX24" s="17"/>
      <c r="AY24" s="18"/>
      <c r="AZ24" s="20"/>
    </row>
    <row r="25" ht="12.75" customHeight="1">
      <c r="A25" s="13"/>
      <c r="B25" s="20"/>
      <c r="C25" s="20"/>
      <c r="D25" s="21"/>
      <c r="L25" s="22"/>
      <c r="M25" s="20"/>
      <c r="N25" s="13"/>
      <c r="O25" s="20"/>
      <c r="P25" s="20"/>
      <c r="Q25" s="21"/>
      <c r="Y25" s="22"/>
      <c r="Z25" s="20"/>
      <c r="AA25" s="13"/>
      <c r="AB25" s="20"/>
      <c r="AC25" s="20"/>
      <c r="AD25" s="21"/>
      <c r="AL25" s="22"/>
      <c r="AM25" s="20"/>
      <c r="AN25" s="13"/>
      <c r="AO25" s="20"/>
      <c r="AP25" s="20"/>
      <c r="AQ25" s="21"/>
      <c r="AY25" s="22"/>
      <c r="AZ25" s="20"/>
    </row>
    <row r="26" ht="12.75" customHeight="1">
      <c r="A26" s="13"/>
      <c r="B26" s="23"/>
      <c r="C26" s="23"/>
      <c r="D26" s="24"/>
      <c r="E26" s="25"/>
      <c r="F26" s="25"/>
      <c r="G26" s="25"/>
      <c r="H26" s="25"/>
      <c r="I26" s="25"/>
      <c r="J26" s="25"/>
      <c r="K26" s="25"/>
      <c r="L26" s="26"/>
      <c r="M26" s="23"/>
      <c r="N26" s="13"/>
      <c r="O26" s="23"/>
      <c r="P26" s="23"/>
      <c r="Q26" s="24"/>
      <c r="R26" s="25"/>
      <c r="S26" s="25"/>
      <c r="T26" s="25"/>
      <c r="U26" s="25"/>
      <c r="V26" s="25"/>
      <c r="W26" s="25"/>
      <c r="X26" s="25"/>
      <c r="Y26" s="26"/>
      <c r="Z26" s="23"/>
      <c r="AA26" s="13"/>
      <c r="AB26" s="23"/>
      <c r="AC26" s="23"/>
      <c r="AD26" s="24"/>
      <c r="AE26" s="25"/>
      <c r="AF26" s="25"/>
      <c r="AG26" s="25"/>
      <c r="AH26" s="25"/>
      <c r="AI26" s="25"/>
      <c r="AJ26" s="25"/>
      <c r="AK26" s="25"/>
      <c r="AL26" s="26"/>
      <c r="AM26" s="23"/>
      <c r="AN26" s="13"/>
      <c r="AO26" s="23"/>
      <c r="AP26" s="23"/>
      <c r="AQ26" s="24"/>
      <c r="AR26" s="25"/>
      <c r="AS26" s="25"/>
      <c r="AT26" s="25"/>
      <c r="AU26" s="25"/>
      <c r="AV26" s="25"/>
      <c r="AW26" s="25"/>
      <c r="AX26" s="25"/>
      <c r="AY26" s="26"/>
      <c r="AZ26" s="23"/>
    </row>
    <row r="27" ht="12.75" customHeight="1">
      <c r="A27" s="13"/>
      <c r="B27" s="14">
        <f>1+B21</f>
        <v>3</v>
      </c>
      <c r="C27" s="15" t="s">
        <v>3</v>
      </c>
      <c r="D27" s="16" t="s">
        <v>39</v>
      </c>
      <c r="E27" s="17"/>
      <c r="F27" s="17"/>
      <c r="G27" s="17"/>
      <c r="H27" s="17"/>
      <c r="I27" s="17"/>
      <c r="J27" s="17"/>
      <c r="K27" s="17"/>
      <c r="L27" s="18"/>
      <c r="M27" s="14"/>
      <c r="N27" s="13"/>
      <c r="O27" s="14">
        <f>1+O21</f>
        <v>23</v>
      </c>
      <c r="P27" s="15" t="s">
        <v>3</v>
      </c>
      <c r="Q27" s="16" t="s">
        <v>40</v>
      </c>
      <c r="R27" s="17"/>
      <c r="S27" s="17"/>
      <c r="T27" s="17"/>
      <c r="U27" s="17"/>
      <c r="V27" s="17"/>
      <c r="W27" s="17"/>
      <c r="X27" s="17"/>
      <c r="Y27" s="18"/>
      <c r="Z27" s="14"/>
      <c r="AA27" s="13"/>
      <c r="AB27" s="14">
        <f>1+AB21</f>
        <v>43</v>
      </c>
      <c r="AC27" s="15" t="s">
        <v>3</v>
      </c>
      <c r="AD27" s="16" t="s">
        <v>41</v>
      </c>
      <c r="AE27" s="17"/>
      <c r="AF27" s="17"/>
      <c r="AG27" s="17"/>
      <c r="AH27" s="17"/>
      <c r="AI27" s="17"/>
      <c r="AJ27" s="17"/>
      <c r="AK27" s="17"/>
      <c r="AL27" s="18"/>
      <c r="AM27" s="14"/>
      <c r="AN27" s="13"/>
      <c r="AO27" s="14">
        <f>1+AO21</f>
        <v>63</v>
      </c>
      <c r="AP27" s="15" t="s">
        <v>3</v>
      </c>
      <c r="AQ27" s="16" t="s">
        <v>42</v>
      </c>
      <c r="AR27" s="17"/>
      <c r="AS27" s="17"/>
      <c r="AT27" s="17"/>
      <c r="AU27" s="17"/>
      <c r="AV27" s="17"/>
      <c r="AW27" s="17"/>
      <c r="AX27" s="17"/>
      <c r="AY27" s="18"/>
      <c r="AZ27" s="14"/>
    </row>
    <row r="28" ht="12.75" customHeight="1">
      <c r="A28" s="13"/>
      <c r="B28" s="20"/>
      <c r="C28" s="20"/>
      <c r="D28" s="21"/>
      <c r="L28" s="22"/>
      <c r="M28" s="20"/>
      <c r="N28" s="13"/>
      <c r="O28" s="20"/>
      <c r="P28" s="20"/>
      <c r="Q28" s="21"/>
      <c r="Y28" s="22"/>
      <c r="Z28" s="20"/>
      <c r="AA28" s="13"/>
      <c r="AB28" s="20"/>
      <c r="AC28" s="20"/>
      <c r="AD28" s="21"/>
      <c r="AL28" s="22"/>
      <c r="AM28" s="20"/>
      <c r="AN28" s="13"/>
      <c r="AO28" s="20"/>
      <c r="AP28" s="20"/>
      <c r="AQ28" s="21"/>
      <c r="AY28" s="22"/>
      <c r="AZ28" s="20"/>
    </row>
    <row r="29" ht="12.75" customHeight="1">
      <c r="A29" s="13"/>
      <c r="B29" s="20"/>
      <c r="C29" s="23"/>
      <c r="D29" s="24"/>
      <c r="E29" s="25"/>
      <c r="F29" s="25"/>
      <c r="G29" s="25"/>
      <c r="H29" s="25"/>
      <c r="I29" s="25"/>
      <c r="J29" s="25"/>
      <c r="K29" s="25"/>
      <c r="L29" s="26"/>
      <c r="M29" s="20"/>
      <c r="N29" s="13"/>
      <c r="O29" s="20"/>
      <c r="P29" s="23"/>
      <c r="Q29" s="24"/>
      <c r="R29" s="25"/>
      <c r="S29" s="25"/>
      <c r="T29" s="25"/>
      <c r="U29" s="25"/>
      <c r="V29" s="25"/>
      <c r="W29" s="25"/>
      <c r="X29" s="25"/>
      <c r="Y29" s="26"/>
      <c r="Z29" s="20"/>
      <c r="AA29" s="13"/>
      <c r="AB29" s="20"/>
      <c r="AC29" s="23"/>
      <c r="AD29" s="24"/>
      <c r="AE29" s="25"/>
      <c r="AF29" s="25"/>
      <c r="AG29" s="25"/>
      <c r="AH29" s="25"/>
      <c r="AI29" s="25"/>
      <c r="AJ29" s="25"/>
      <c r="AK29" s="25"/>
      <c r="AL29" s="26"/>
      <c r="AM29" s="20"/>
      <c r="AN29" s="13"/>
      <c r="AO29" s="20"/>
      <c r="AP29" s="23"/>
      <c r="AQ29" s="24"/>
      <c r="AR29" s="25"/>
      <c r="AS29" s="25"/>
      <c r="AT29" s="25"/>
      <c r="AU29" s="25"/>
      <c r="AV29" s="25"/>
      <c r="AW29" s="25"/>
      <c r="AX29" s="25"/>
      <c r="AY29" s="26"/>
      <c r="AZ29" s="20"/>
    </row>
    <row r="30" ht="12.75" customHeight="1">
      <c r="A30" s="13"/>
      <c r="B30" s="20"/>
      <c r="C30" s="14" t="s">
        <v>4</v>
      </c>
      <c r="D30" s="16" t="s">
        <v>43</v>
      </c>
      <c r="E30" s="17"/>
      <c r="F30" s="17"/>
      <c r="G30" s="17"/>
      <c r="H30" s="17"/>
      <c r="I30" s="17"/>
      <c r="J30" s="17"/>
      <c r="K30" s="17"/>
      <c r="L30" s="18"/>
      <c r="M30" s="20"/>
      <c r="N30" s="13"/>
      <c r="O30" s="20"/>
      <c r="P30" s="14" t="s">
        <v>4</v>
      </c>
      <c r="Q30" s="16" t="s">
        <v>44</v>
      </c>
      <c r="R30" s="17"/>
      <c r="S30" s="17"/>
      <c r="T30" s="17"/>
      <c r="U30" s="17"/>
      <c r="V30" s="17"/>
      <c r="W30" s="17"/>
      <c r="X30" s="17"/>
      <c r="Y30" s="18"/>
      <c r="Z30" s="20"/>
      <c r="AA30" s="13"/>
      <c r="AB30" s="20"/>
      <c r="AC30" s="14" t="s">
        <v>4</v>
      </c>
      <c r="AD30" s="16" t="s">
        <v>45</v>
      </c>
      <c r="AE30" s="17"/>
      <c r="AF30" s="17"/>
      <c r="AG30" s="17"/>
      <c r="AH30" s="17"/>
      <c r="AI30" s="17"/>
      <c r="AJ30" s="17"/>
      <c r="AK30" s="17"/>
      <c r="AL30" s="18"/>
      <c r="AM30" s="20"/>
      <c r="AN30" s="13"/>
      <c r="AO30" s="20"/>
      <c r="AP30" s="14" t="s">
        <v>4</v>
      </c>
      <c r="AQ30" s="16" t="s">
        <v>46</v>
      </c>
      <c r="AR30" s="17"/>
      <c r="AS30" s="17"/>
      <c r="AT30" s="17"/>
      <c r="AU30" s="17"/>
      <c r="AV30" s="17"/>
      <c r="AW30" s="17"/>
      <c r="AX30" s="17"/>
      <c r="AY30" s="18"/>
      <c r="AZ30" s="20"/>
    </row>
    <row r="31" ht="12.75" customHeight="1">
      <c r="A31" s="13"/>
      <c r="B31" s="20"/>
      <c r="C31" s="20"/>
      <c r="D31" s="21"/>
      <c r="L31" s="22"/>
      <c r="M31" s="20"/>
      <c r="N31" s="13"/>
      <c r="O31" s="20"/>
      <c r="P31" s="20"/>
      <c r="Q31" s="21"/>
      <c r="Y31" s="22"/>
      <c r="Z31" s="20"/>
      <c r="AA31" s="13"/>
      <c r="AB31" s="20"/>
      <c r="AC31" s="20"/>
      <c r="AD31" s="21"/>
      <c r="AL31" s="22"/>
      <c r="AM31" s="20"/>
      <c r="AN31" s="13"/>
      <c r="AO31" s="20"/>
      <c r="AP31" s="20"/>
      <c r="AQ31" s="21"/>
      <c r="AY31" s="22"/>
      <c r="AZ31" s="20"/>
    </row>
    <row r="32" ht="12.75" customHeight="1">
      <c r="A32" s="13"/>
      <c r="B32" s="23"/>
      <c r="C32" s="23"/>
      <c r="D32" s="24"/>
      <c r="E32" s="25"/>
      <c r="F32" s="25"/>
      <c r="G32" s="25"/>
      <c r="H32" s="25"/>
      <c r="I32" s="25"/>
      <c r="J32" s="25"/>
      <c r="K32" s="25"/>
      <c r="L32" s="26"/>
      <c r="M32" s="23"/>
      <c r="N32" s="13"/>
      <c r="O32" s="23"/>
      <c r="P32" s="23"/>
      <c r="Q32" s="24"/>
      <c r="R32" s="25"/>
      <c r="S32" s="25"/>
      <c r="T32" s="25"/>
      <c r="U32" s="25"/>
      <c r="V32" s="25"/>
      <c r="W32" s="25"/>
      <c r="X32" s="25"/>
      <c r="Y32" s="26"/>
      <c r="Z32" s="23"/>
      <c r="AA32" s="13"/>
      <c r="AB32" s="23"/>
      <c r="AC32" s="23"/>
      <c r="AD32" s="24"/>
      <c r="AE32" s="25"/>
      <c r="AF32" s="25"/>
      <c r="AG32" s="25"/>
      <c r="AH32" s="25"/>
      <c r="AI32" s="25"/>
      <c r="AJ32" s="25"/>
      <c r="AK32" s="25"/>
      <c r="AL32" s="26"/>
      <c r="AM32" s="23"/>
      <c r="AN32" s="13"/>
      <c r="AO32" s="23"/>
      <c r="AP32" s="23"/>
      <c r="AQ32" s="24"/>
      <c r="AR32" s="25"/>
      <c r="AS32" s="25"/>
      <c r="AT32" s="25"/>
      <c r="AU32" s="25"/>
      <c r="AV32" s="25"/>
      <c r="AW32" s="25"/>
      <c r="AX32" s="25"/>
      <c r="AY32" s="26"/>
      <c r="AZ32" s="23"/>
    </row>
    <row r="33" ht="12.75" customHeight="1">
      <c r="A33" s="13"/>
      <c r="B33" s="14">
        <f>1+B27</f>
        <v>4</v>
      </c>
      <c r="C33" s="15" t="s">
        <v>3</v>
      </c>
      <c r="D33" s="16" t="s">
        <v>47</v>
      </c>
      <c r="E33" s="17"/>
      <c r="F33" s="17"/>
      <c r="G33" s="17"/>
      <c r="H33" s="17"/>
      <c r="I33" s="17"/>
      <c r="J33" s="17"/>
      <c r="K33" s="17"/>
      <c r="L33" s="18"/>
      <c r="M33" s="14"/>
      <c r="N33" s="13"/>
      <c r="O33" s="14">
        <f>1+O27</f>
        <v>24</v>
      </c>
      <c r="P33" s="15" t="s">
        <v>3</v>
      </c>
      <c r="Q33" s="16" t="s">
        <v>48</v>
      </c>
      <c r="R33" s="17"/>
      <c r="S33" s="17"/>
      <c r="T33" s="17"/>
      <c r="U33" s="17"/>
      <c r="V33" s="17"/>
      <c r="W33" s="17"/>
      <c r="X33" s="17"/>
      <c r="Y33" s="18"/>
      <c r="Z33" s="14"/>
      <c r="AA33" s="13"/>
      <c r="AB33" s="14">
        <f>1+AB27</f>
        <v>44</v>
      </c>
      <c r="AC33" s="15" t="s">
        <v>3</v>
      </c>
      <c r="AD33" s="16" t="s">
        <v>49</v>
      </c>
      <c r="AE33" s="17"/>
      <c r="AF33" s="17"/>
      <c r="AG33" s="17"/>
      <c r="AH33" s="17"/>
      <c r="AI33" s="17"/>
      <c r="AJ33" s="17"/>
      <c r="AK33" s="17"/>
      <c r="AL33" s="18"/>
      <c r="AM33" s="14"/>
      <c r="AN33" s="13"/>
      <c r="AO33" s="14">
        <f>1+AO27</f>
        <v>64</v>
      </c>
      <c r="AP33" s="15" t="s">
        <v>3</v>
      </c>
      <c r="AQ33" s="16" t="s">
        <v>50</v>
      </c>
      <c r="AR33" s="17"/>
      <c r="AS33" s="17"/>
      <c r="AT33" s="17"/>
      <c r="AU33" s="17"/>
      <c r="AV33" s="17"/>
      <c r="AW33" s="17"/>
      <c r="AX33" s="17"/>
      <c r="AY33" s="18"/>
      <c r="AZ33" s="14"/>
    </row>
    <row r="34" ht="12.75" customHeight="1">
      <c r="A34" s="13"/>
      <c r="B34" s="20"/>
      <c r="C34" s="20"/>
      <c r="D34" s="21"/>
      <c r="L34" s="22"/>
      <c r="M34" s="20"/>
      <c r="N34" s="13"/>
      <c r="O34" s="20"/>
      <c r="P34" s="20"/>
      <c r="Q34" s="21"/>
      <c r="Y34" s="22"/>
      <c r="Z34" s="20"/>
      <c r="AA34" s="13"/>
      <c r="AB34" s="20"/>
      <c r="AC34" s="20"/>
      <c r="AD34" s="21"/>
      <c r="AL34" s="22"/>
      <c r="AM34" s="20"/>
      <c r="AN34" s="13"/>
      <c r="AO34" s="20"/>
      <c r="AP34" s="20"/>
      <c r="AQ34" s="21"/>
      <c r="AY34" s="22"/>
      <c r="AZ34" s="20"/>
    </row>
    <row r="35" ht="12.75" customHeight="1">
      <c r="A35" s="13"/>
      <c r="B35" s="20"/>
      <c r="C35" s="23"/>
      <c r="D35" s="24"/>
      <c r="E35" s="25"/>
      <c r="F35" s="25"/>
      <c r="G35" s="25"/>
      <c r="H35" s="25"/>
      <c r="I35" s="25"/>
      <c r="J35" s="25"/>
      <c r="K35" s="25"/>
      <c r="L35" s="26"/>
      <c r="M35" s="20"/>
      <c r="N35" s="13"/>
      <c r="O35" s="20"/>
      <c r="P35" s="23"/>
      <c r="Q35" s="24"/>
      <c r="R35" s="25"/>
      <c r="S35" s="25"/>
      <c r="T35" s="25"/>
      <c r="U35" s="25"/>
      <c r="V35" s="25"/>
      <c r="W35" s="25"/>
      <c r="X35" s="25"/>
      <c r="Y35" s="26"/>
      <c r="Z35" s="20"/>
      <c r="AA35" s="13"/>
      <c r="AB35" s="20"/>
      <c r="AC35" s="23"/>
      <c r="AD35" s="24"/>
      <c r="AE35" s="25"/>
      <c r="AF35" s="25"/>
      <c r="AG35" s="25"/>
      <c r="AH35" s="25"/>
      <c r="AI35" s="25"/>
      <c r="AJ35" s="25"/>
      <c r="AK35" s="25"/>
      <c r="AL35" s="26"/>
      <c r="AM35" s="20"/>
      <c r="AN35" s="13"/>
      <c r="AO35" s="20"/>
      <c r="AP35" s="23"/>
      <c r="AQ35" s="24"/>
      <c r="AR35" s="25"/>
      <c r="AS35" s="25"/>
      <c r="AT35" s="25"/>
      <c r="AU35" s="25"/>
      <c r="AV35" s="25"/>
      <c r="AW35" s="25"/>
      <c r="AX35" s="25"/>
      <c r="AY35" s="26"/>
      <c r="AZ35" s="20"/>
    </row>
    <row r="36" ht="12.75" customHeight="1">
      <c r="A36" s="13"/>
      <c r="B36" s="20"/>
      <c r="C36" s="14" t="s">
        <v>4</v>
      </c>
      <c r="D36" s="16" t="s">
        <v>51</v>
      </c>
      <c r="E36" s="17"/>
      <c r="F36" s="17"/>
      <c r="G36" s="17"/>
      <c r="H36" s="17"/>
      <c r="I36" s="17"/>
      <c r="J36" s="17"/>
      <c r="K36" s="17"/>
      <c r="L36" s="18"/>
      <c r="M36" s="20"/>
      <c r="N36" s="13"/>
      <c r="O36" s="20"/>
      <c r="P36" s="14" t="s">
        <v>4</v>
      </c>
      <c r="Q36" s="16" t="s">
        <v>52</v>
      </c>
      <c r="R36" s="17"/>
      <c r="S36" s="17"/>
      <c r="T36" s="17"/>
      <c r="U36" s="17"/>
      <c r="V36" s="17"/>
      <c r="W36" s="17"/>
      <c r="X36" s="17"/>
      <c r="Y36" s="18"/>
      <c r="Z36" s="20"/>
      <c r="AA36" s="13"/>
      <c r="AB36" s="20"/>
      <c r="AC36" s="14" t="s">
        <v>4</v>
      </c>
      <c r="AD36" s="16" t="s">
        <v>53</v>
      </c>
      <c r="AE36" s="17"/>
      <c r="AF36" s="17"/>
      <c r="AG36" s="17"/>
      <c r="AH36" s="17"/>
      <c r="AI36" s="17"/>
      <c r="AJ36" s="17"/>
      <c r="AK36" s="17"/>
      <c r="AL36" s="18"/>
      <c r="AM36" s="20"/>
      <c r="AN36" s="13"/>
      <c r="AO36" s="20"/>
      <c r="AP36" s="14" t="s">
        <v>4</v>
      </c>
      <c r="AQ36" s="16" t="s">
        <v>54</v>
      </c>
      <c r="AR36" s="17"/>
      <c r="AS36" s="17"/>
      <c r="AT36" s="17"/>
      <c r="AU36" s="17"/>
      <c r="AV36" s="17"/>
      <c r="AW36" s="17"/>
      <c r="AX36" s="17"/>
      <c r="AY36" s="18"/>
      <c r="AZ36" s="20"/>
    </row>
    <row r="37" ht="12.75" customHeight="1">
      <c r="A37" s="13"/>
      <c r="B37" s="20"/>
      <c r="C37" s="20"/>
      <c r="D37" s="21"/>
      <c r="L37" s="22"/>
      <c r="M37" s="20"/>
      <c r="N37" s="13"/>
      <c r="O37" s="20"/>
      <c r="P37" s="20"/>
      <c r="Q37" s="21"/>
      <c r="Y37" s="22"/>
      <c r="Z37" s="20"/>
      <c r="AA37" s="13"/>
      <c r="AB37" s="20"/>
      <c r="AC37" s="20"/>
      <c r="AD37" s="21"/>
      <c r="AL37" s="22"/>
      <c r="AM37" s="20"/>
      <c r="AN37" s="13"/>
      <c r="AO37" s="20"/>
      <c r="AP37" s="20"/>
      <c r="AQ37" s="21"/>
      <c r="AY37" s="22"/>
      <c r="AZ37" s="20"/>
    </row>
    <row r="38" ht="12.75" customHeight="1">
      <c r="A38" s="13"/>
      <c r="B38" s="23"/>
      <c r="C38" s="23"/>
      <c r="D38" s="24"/>
      <c r="E38" s="25"/>
      <c r="F38" s="25"/>
      <c r="G38" s="25"/>
      <c r="H38" s="25"/>
      <c r="I38" s="25"/>
      <c r="J38" s="25"/>
      <c r="K38" s="25"/>
      <c r="L38" s="26"/>
      <c r="M38" s="23"/>
      <c r="N38" s="13"/>
      <c r="O38" s="23"/>
      <c r="P38" s="23"/>
      <c r="Q38" s="24"/>
      <c r="R38" s="25"/>
      <c r="S38" s="25"/>
      <c r="T38" s="25"/>
      <c r="U38" s="25"/>
      <c r="V38" s="25"/>
      <c r="W38" s="25"/>
      <c r="X38" s="25"/>
      <c r="Y38" s="26"/>
      <c r="Z38" s="23"/>
      <c r="AA38" s="13"/>
      <c r="AB38" s="23"/>
      <c r="AC38" s="23"/>
      <c r="AD38" s="24"/>
      <c r="AE38" s="25"/>
      <c r="AF38" s="25"/>
      <c r="AG38" s="25"/>
      <c r="AH38" s="25"/>
      <c r="AI38" s="25"/>
      <c r="AJ38" s="25"/>
      <c r="AK38" s="25"/>
      <c r="AL38" s="26"/>
      <c r="AM38" s="23"/>
      <c r="AN38" s="13"/>
      <c r="AO38" s="23"/>
      <c r="AP38" s="23"/>
      <c r="AQ38" s="24"/>
      <c r="AR38" s="25"/>
      <c r="AS38" s="25"/>
      <c r="AT38" s="25"/>
      <c r="AU38" s="25"/>
      <c r="AV38" s="25"/>
      <c r="AW38" s="25"/>
      <c r="AX38" s="25"/>
      <c r="AY38" s="26"/>
      <c r="AZ38" s="23"/>
    </row>
    <row r="39" ht="12.75" customHeight="1">
      <c r="A39" s="13"/>
      <c r="B39" s="14">
        <f>1+B33</f>
        <v>5</v>
      </c>
      <c r="C39" s="15" t="s">
        <v>3</v>
      </c>
      <c r="D39" s="16" t="s">
        <v>55</v>
      </c>
      <c r="E39" s="17"/>
      <c r="F39" s="17"/>
      <c r="G39" s="17"/>
      <c r="H39" s="17"/>
      <c r="I39" s="17"/>
      <c r="J39" s="17"/>
      <c r="K39" s="17"/>
      <c r="L39" s="18"/>
      <c r="M39" s="14"/>
      <c r="N39" s="13"/>
      <c r="O39" s="14">
        <f>1+O33</f>
        <v>25</v>
      </c>
      <c r="P39" s="15" t="s">
        <v>3</v>
      </c>
      <c r="Q39" s="16" t="s">
        <v>56</v>
      </c>
      <c r="R39" s="17"/>
      <c r="S39" s="17"/>
      <c r="T39" s="17"/>
      <c r="U39" s="17"/>
      <c r="V39" s="17"/>
      <c r="W39" s="17"/>
      <c r="X39" s="17"/>
      <c r="Y39" s="18"/>
      <c r="Z39" s="14"/>
      <c r="AA39" s="13"/>
      <c r="AB39" s="14">
        <f>1+AB33</f>
        <v>45</v>
      </c>
      <c r="AC39" s="15" t="s">
        <v>3</v>
      </c>
      <c r="AD39" s="16" t="s">
        <v>57</v>
      </c>
      <c r="AE39" s="17"/>
      <c r="AF39" s="17"/>
      <c r="AG39" s="17"/>
      <c r="AH39" s="17"/>
      <c r="AI39" s="17"/>
      <c r="AJ39" s="17"/>
      <c r="AK39" s="17"/>
      <c r="AL39" s="18"/>
      <c r="AM39" s="14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</row>
    <row r="40" ht="12.75" customHeight="1">
      <c r="A40" s="13"/>
      <c r="B40" s="20"/>
      <c r="C40" s="20"/>
      <c r="D40" s="21"/>
      <c r="L40" s="22"/>
      <c r="M40" s="20"/>
      <c r="N40" s="13"/>
      <c r="O40" s="20"/>
      <c r="P40" s="20"/>
      <c r="Q40" s="21"/>
      <c r="Y40" s="22"/>
      <c r="Z40" s="20"/>
      <c r="AA40" s="13"/>
      <c r="AB40" s="20"/>
      <c r="AC40" s="20"/>
      <c r="AD40" s="21"/>
      <c r="AL40" s="22"/>
      <c r="AM40" s="20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</row>
    <row r="41" ht="12.75" customHeight="1">
      <c r="A41" s="13"/>
      <c r="B41" s="20"/>
      <c r="C41" s="23"/>
      <c r="D41" s="24"/>
      <c r="E41" s="25"/>
      <c r="F41" s="25"/>
      <c r="G41" s="25"/>
      <c r="H41" s="25"/>
      <c r="I41" s="25"/>
      <c r="J41" s="25"/>
      <c r="K41" s="25"/>
      <c r="L41" s="26"/>
      <c r="M41" s="20"/>
      <c r="N41" s="13"/>
      <c r="O41" s="20"/>
      <c r="P41" s="23"/>
      <c r="Q41" s="24"/>
      <c r="R41" s="25"/>
      <c r="S41" s="25"/>
      <c r="T41" s="25"/>
      <c r="U41" s="25"/>
      <c r="V41" s="25"/>
      <c r="W41" s="25"/>
      <c r="X41" s="25"/>
      <c r="Y41" s="26"/>
      <c r="Z41" s="20"/>
      <c r="AA41" s="13"/>
      <c r="AB41" s="20"/>
      <c r="AC41" s="23"/>
      <c r="AD41" s="24"/>
      <c r="AE41" s="25"/>
      <c r="AF41" s="25"/>
      <c r="AG41" s="25"/>
      <c r="AH41" s="25"/>
      <c r="AI41" s="25"/>
      <c r="AJ41" s="25"/>
      <c r="AK41" s="25"/>
      <c r="AL41" s="26"/>
      <c r="AM41" s="20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</row>
    <row r="42" ht="12.75" customHeight="1">
      <c r="A42" s="13"/>
      <c r="B42" s="20"/>
      <c r="C42" s="14" t="s">
        <v>4</v>
      </c>
      <c r="D42" s="16" t="s">
        <v>58</v>
      </c>
      <c r="E42" s="17"/>
      <c r="F42" s="17"/>
      <c r="G42" s="17"/>
      <c r="H42" s="17"/>
      <c r="I42" s="17"/>
      <c r="J42" s="17"/>
      <c r="K42" s="17"/>
      <c r="L42" s="18"/>
      <c r="M42" s="20"/>
      <c r="N42" s="13"/>
      <c r="O42" s="20"/>
      <c r="P42" s="14" t="s">
        <v>4</v>
      </c>
      <c r="Q42" s="16" t="s">
        <v>59</v>
      </c>
      <c r="R42" s="17"/>
      <c r="S42" s="17"/>
      <c r="T42" s="17"/>
      <c r="U42" s="17"/>
      <c r="V42" s="17"/>
      <c r="W42" s="17"/>
      <c r="X42" s="17"/>
      <c r="Y42" s="18"/>
      <c r="Z42" s="20"/>
      <c r="AA42" s="13"/>
      <c r="AB42" s="20"/>
      <c r="AC42" s="14" t="s">
        <v>4</v>
      </c>
      <c r="AD42" s="16" t="s">
        <v>60</v>
      </c>
      <c r="AE42" s="17"/>
      <c r="AF42" s="17"/>
      <c r="AG42" s="17"/>
      <c r="AH42" s="17"/>
      <c r="AI42" s="17"/>
      <c r="AJ42" s="17"/>
      <c r="AK42" s="17"/>
      <c r="AL42" s="18"/>
      <c r="AM42" s="20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</row>
    <row r="43" ht="12.75" customHeight="1">
      <c r="A43" s="13"/>
      <c r="B43" s="20"/>
      <c r="C43" s="20"/>
      <c r="D43" s="21"/>
      <c r="L43" s="22"/>
      <c r="M43" s="20"/>
      <c r="N43" s="13"/>
      <c r="O43" s="20"/>
      <c r="P43" s="20"/>
      <c r="Q43" s="21"/>
      <c r="Y43" s="22"/>
      <c r="Z43" s="20"/>
      <c r="AA43" s="13"/>
      <c r="AB43" s="20"/>
      <c r="AC43" s="20"/>
      <c r="AD43" s="21"/>
      <c r="AL43" s="22"/>
      <c r="AM43" s="20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</row>
    <row r="44" ht="12.75" customHeight="1">
      <c r="A44" s="13"/>
      <c r="B44" s="23"/>
      <c r="C44" s="23"/>
      <c r="D44" s="24"/>
      <c r="E44" s="25"/>
      <c r="F44" s="25"/>
      <c r="G44" s="25"/>
      <c r="H44" s="25"/>
      <c r="I44" s="25"/>
      <c r="J44" s="25"/>
      <c r="K44" s="25"/>
      <c r="L44" s="26"/>
      <c r="M44" s="23"/>
      <c r="N44" s="13"/>
      <c r="O44" s="23"/>
      <c r="P44" s="23"/>
      <c r="Q44" s="24"/>
      <c r="R44" s="25"/>
      <c r="S44" s="25"/>
      <c r="T44" s="25"/>
      <c r="U44" s="25"/>
      <c r="V44" s="25"/>
      <c r="W44" s="25"/>
      <c r="X44" s="25"/>
      <c r="Y44" s="26"/>
      <c r="Z44" s="23"/>
      <c r="AA44" s="13"/>
      <c r="AB44" s="23"/>
      <c r="AC44" s="23"/>
      <c r="AD44" s="24"/>
      <c r="AE44" s="25"/>
      <c r="AF44" s="25"/>
      <c r="AG44" s="25"/>
      <c r="AH44" s="25"/>
      <c r="AI44" s="25"/>
      <c r="AJ44" s="25"/>
      <c r="AK44" s="25"/>
      <c r="AL44" s="26"/>
      <c r="AM44" s="2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</row>
    <row r="45" ht="12.75" customHeight="1">
      <c r="A45" s="13"/>
      <c r="B45" s="14">
        <f>1+B39</f>
        <v>6</v>
      </c>
      <c r="C45" s="15" t="s">
        <v>3</v>
      </c>
      <c r="D45" s="16" t="s">
        <v>61</v>
      </c>
      <c r="E45" s="17"/>
      <c r="F45" s="17"/>
      <c r="G45" s="17"/>
      <c r="H45" s="17"/>
      <c r="I45" s="17"/>
      <c r="J45" s="17"/>
      <c r="K45" s="17"/>
      <c r="L45" s="18"/>
      <c r="M45" s="14"/>
      <c r="N45" s="13"/>
      <c r="O45" s="14">
        <f>1+O39</f>
        <v>26</v>
      </c>
      <c r="P45" s="15" t="s">
        <v>3</v>
      </c>
      <c r="Q45" s="16" t="s">
        <v>62</v>
      </c>
      <c r="R45" s="17"/>
      <c r="S45" s="17"/>
      <c r="T45" s="17"/>
      <c r="U45" s="17"/>
      <c r="V45" s="17"/>
      <c r="W45" s="17"/>
      <c r="X45" s="17"/>
      <c r="Y45" s="18"/>
      <c r="Z45" s="14"/>
      <c r="AA45" s="13"/>
      <c r="AB45" s="14">
        <f>1+AB39</f>
        <v>46</v>
      </c>
      <c r="AC45" s="15" t="s">
        <v>3</v>
      </c>
      <c r="AD45" s="16" t="s">
        <v>63</v>
      </c>
      <c r="AE45" s="17"/>
      <c r="AF45" s="17"/>
      <c r="AG45" s="17"/>
      <c r="AH45" s="17"/>
      <c r="AI45" s="17"/>
      <c r="AJ45" s="17"/>
      <c r="AK45" s="17"/>
      <c r="AL45" s="18"/>
      <c r="AM45" s="14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</row>
    <row r="46" ht="12.75" customHeight="1">
      <c r="A46" s="13"/>
      <c r="B46" s="20"/>
      <c r="C46" s="20"/>
      <c r="D46" s="21"/>
      <c r="L46" s="22"/>
      <c r="M46" s="20"/>
      <c r="N46" s="13"/>
      <c r="O46" s="20"/>
      <c r="P46" s="20"/>
      <c r="Q46" s="21"/>
      <c r="Y46" s="22"/>
      <c r="Z46" s="20"/>
      <c r="AA46" s="13"/>
      <c r="AB46" s="20"/>
      <c r="AC46" s="20"/>
      <c r="AD46" s="21"/>
      <c r="AL46" s="22"/>
      <c r="AM46" s="20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</row>
    <row r="47" ht="12.75" customHeight="1">
      <c r="A47" s="13"/>
      <c r="B47" s="20"/>
      <c r="C47" s="23"/>
      <c r="D47" s="24"/>
      <c r="E47" s="25"/>
      <c r="F47" s="25"/>
      <c r="G47" s="25"/>
      <c r="H47" s="25"/>
      <c r="I47" s="25"/>
      <c r="J47" s="25"/>
      <c r="K47" s="25"/>
      <c r="L47" s="26"/>
      <c r="M47" s="20"/>
      <c r="N47" s="13"/>
      <c r="O47" s="20"/>
      <c r="P47" s="23"/>
      <c r="Q47" s="24"/>
      <c r="R47" s="25"/>
      <c r="S47" s="25"/>
      <c r="T47" s="25"/>
      <c r="U47" s="25"/>
      <c r="V47" s="25"/>
      <c r="W47" s="25"/>
      <c r="X47" s="25"/>
      <c r="Y47" s="26"/>
      <c r="Z47" s="20"/>
      <c r="AA47" s="13"/>
      <c r="AB47" s="20"/>
      <c r="AC47" s="23"/>
      <c r="AD47" s="24"/>
      <c r="AE47" s="25"/>
      <c r="AF47" s="25"/>
      <c r="AG47" s="25"/>
      <c r="AH47" s="25"/>
      <c r="AI47" s="25"/>
      <c r="AJ47" s="25"/>
      <c r="AK47" s="25"/>
      <c r="AL47" s="26"/>
      <c r="AM47" s="20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</row>
    <row r="48" ht="12.75" customHeight="1">
      <c r="A48" s="13"/>
      <c r="B48" s="20"/>
      <c r="C48" s="14" t="s">
        <v>4</v>
      </c>
      <c r="D48" s="16" t="s">
        <v>64</v>
      </c>
      <c r="E48" s="17"/>
      <c r="F48" s="17"/>
      <c r="G48" s="17"/>
      <c r="H48" s="17"/>
      <c r="I48" s="17"/>
      <c r="J48" s="17"/>
      <c r="K48" s="17"/>
      <c r="L48" s="18"/>
      <c r="M48" s="20"/>
      <c r="N48" s="13"/>
      <c r="O48" s="20"/>
      <c r="P48" s="14" t="s">
        <v>4</v>
      </c>
      <c r="Q48" s="16" t="s">
        <v>65</v>
      </c>
      <c r="R48" s="17"/>
      <c r="S48" s="17"/>
      <c r="T48" s="17"/>
      <c r="U48" s="17"/>
      <c r="V48" s="17"/>
      <c r="W48" s="17"/>
      <c r="X48" s="17"/>
      <c r="Y48" s="18"/>
      <c r="Z48" s="20"/>
      <c r="AA48" s="13"/>
      <c r="AB48" s="20"/>
      <c r="AC48" s="14" t="s">
        <v>4</v>
      </c>
      <c r="AD48" s="16" t="s">
        <v>66</v>
      </c>
      <c r="AE48" s="17"/>
      <c r="AF48" s="17"/>
      <c r="AG48" s="17"/>
      <c r="AH48" s="17"/>
      <c r="AI48" s="17"/>
      <c r="AJ48" s="17"/>
      <c r="AK48" s="17"/>
      <c r="AL48" s="18"/>
      <c r="AM48" s="20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</row>
    <row r="49" ht="12.75" customHeight="1">
      <c r="A49" s="13"/>
      <c r="B49" s="20"/>
      <c r="C49" s="20"/>
      <c r="D49" s="21"/>
      <c r="L49" s="22"/>
      <c r="M49" s="20"/>
      <c r="N49" s="13"/>
      <c r="O49" s="20"/>
      <c r="P49" s="20"/>
      <c r="Q49" s="21"/>
      <c r="Y49" s="22"/>
      <c r="Z49" s="20"/>
      <c r="AA49" s="13"/>
      <c r="AB49" s="20"/>
      <c r="AC49" s="20"/>
      <c r="AD49" s="21"/>
      <c r="AL49" s="22"/>
      <c r="AM49" s="20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</row>
    <row r="50" ht="12.75" customHeight="1">
      <c r="A50" s="13"/>
      <c r="B50" s="23"/>
      <c r="C50" s="23"/>
      <c r="D50" s="24"/>
      <c r="E50" s="25"/>
      <c r="F50" s="25"/>
      <c r="G50" s="25"/>
      <c r="H50" s="25"/>
      <c r="I50" s="25"/>
      <c r="J50" s="25"/>
      <c r="K50" s="25"/>
      <c r="L50" s="26"/>
      <c r="M50" s="23"/>
      <c r="N50" s="13"/>
      <c r="O50" s="23"/>
      <c r="P50" s="23"/>
      <c r="Q50" s="24"/>
      <c r="R50" s="25"/>
      <c r="S50" s="25"/>
      <c r="T50" s="25"/>
      <c r="U50" s="25"/>
      <c r="V50" s="25"/>
      <c r="W50" s="25"/>
      <c r="X50" s="25"/>
      <c r="Y50" s="26"/>
      <c r="Z50" s="23"/>
      <c r="AA50" s="13"/>
      <c r="AB50" s="23"/>
      <c r="AC50" s="23"/>
      <c r="AD50" s="24"/>
      <c r="AE50" s="25"/>
      <c r="AF50" s="25"/>
      <c r="AG50" s="25"/>
      <c r="AH50" s="25"/>
      <c r="AI50" s="25"/>
      <c r="AJ50" s="25"/>
      <c r="AK50" s="25"/>
      <c r="AL50" s="26"/>
      <c r="AM50" s="2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</row>
    <row r="51" ht="12.75" customHeight="1">
      <c r="A51" s="13"/>
      <c r="B51" s="14">
        <f>1+B45</f>
        <v>7</v>
      </c>
      <c r="C51" s="15" t="s">
        <v>3</v>
      </c>
      <c r="D51" s="16" t="s">
        <v>67</v>
      </c>
      <c r="E51" s="17"/>
      <c r="F51" s="17"/>
      <c r="G51" s="17"/>
      <c r="H51" s="17"/>
      <c r="I51" s="17"/>
      <c r="J51" s="17"/>
      <c r="K51" s="17"/>
      <c r="L51" s="18"/>
      <c r="M51" s="14"/>
      <c r="N51" s="13"/>
      <c r="O51" s="14">
        <f>1+O45</f>
        <v>27</v>
      </c>
      <c r="P51" s="15" t="s">
        <v>3</v>
      </c>
      <c r="Q51" s="16" t="s">
        <v>68</v>
      </c>
      <c r="R51" s="17"/>
      <c r="S51" s="17"/>
      <c r="T51" s="17"/>
      <c r="U51" s="17"/>
      <c r="V51" s="17"/>
      <c r="W51" s="17"/>
      <c r="X51" s="17"/>
      <c r="Y51" s="18"/>
      <c r="Z51" s="14"/>
      <c r="AA51" s="13"/>
      <c r="AB51" s="14">
        <f>1+AB45</f>
        <v>47</v>
      </c>
      <c r="AC51" s="15" t="s">
        <v>3</v>
      </c>
      <c r="AD51" s="16" t="s">
        <v>69</v>
      </c>
      <c r="AE51" s="17"/>
      <c r="AF51" s="17"/>
      <c r="AG51" s="17"/>
      <c r="AH51" s="17"/>
      <c r="AI51" s="17"/>
      <c r="AJ51" s="17"/>
      <c r="AK51" s="17"/>
      <c r="AL51" s="18"/>
      <c r="AM51" s="14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</row>
    <row r="52" ht="12.75" customHeight="1">
      <c r="A52" s="13"/>
      <c r="B52" s="20"/>
      <c r="C52" s="20"/>
      <c r="D52" s="21"/>
      <c r="L52" s="22"/>
      <c r="M52" s="20"/>
      <c r="N52" s="13"/>
      <c r="O52" s="20"/>
      <c r="P52" s="20"/>
      <c r="Q52" s="21"/>
      <c r="Y52" s="22"/>
      <c r="Z52" s="20"/>
      <c r="AA52" s="13"/>
      <c r="AB52" s="20"/>
      <c r="AC52" s="20"/>
      <c r="AD52" s="21"/>
      <c r="AL52" s="22"/>
      <c r="AM52" s="20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</row>
    <row r="53" ht="12.75" customHeight="1">
      <c r="A53" s="13"/>
      <c r="B53" s="20"/>
      <c r="C53" s="23"/>
      <c r="D53" s="24"/>
      <c r="E53" s="25"/>
      <c r="F53" s="25"/>
      <c r="G53" s="25"/>
      <c r="H53" s="25"/>
      <c r="I53" s="25"/>
      <c r="J53" s="25"/>
      <c r="K53" s="25"/>
      <c r="L53" s="26"/>
      <c r="M53" s="20"/>
      <c r="N53" s="13"/>
      <c r="O53" s="20"/>
      <c r="P53" s="23"/>
      <c r="Q53" s="24"/>
      <c r="R53" s="25"/>
      <c r="S53" s="25"/>
      <c r="T53" s="25"/>
      <c r="U53" s="25"/>
      <c r="V53" s="25"/>
      <c r="W53" s="25"/>
      <c r="X53" s="25"/>
      <c r="Y53" s="26"/>
      <c r="Z53" s="20"/>
      <c r="AA53" s="13"/>
      <c r="AB53" s="20"/>
      <c r="AC53" s="23"/>
      <c r="AD53" s="24"/>
      <c r="AE53" s="25"/>
      <c r="AF53" s="25"/>
      <c r="AG53" s="25"/>
      <c r="AH53" s="25"/>
      <c r="AI53" s="25"/>
      <c r="AJ53" s="25"/>
      <c r="AK53" s="25"/>
      <c r="AL53" s="26"/>
      <c r="AM53" s="20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</row>
    <row r="54" ht="12.75" customHeight="1">
      <c r="A54" s="13"/>
      <c r="B54" s="20"/>
      <c r="C54" s="14" t="s">
        <v>4</v>
      </c>
      <c r="D54" s="16" t="s">
        <v>70</v>
      </c>
      <c r="E54" s="17"/>
      <c r="F54" s="17"/>
      <c r="G54" s="17"/>
      <c r="H54" s="17"/>
      <c r="I54" s="17"/>
      <c r="J54" s="17"/>
      <c r="K54" s="17"/>
      <c r="L54" s="18"/>
      <c r="M54" s="20"/>
      <c r="N54" s="13"/>
      <c r="O54" s="20"/>
      <c r="P54" s="14" t="s">
        <v>4</v>
      </c>
      <c r="Q54" s="16" t="s">
        <v>71</v>
      </c>
      <c r="R54" s="17"/>
      <c r="S54" s="17"/>
      <c r="T54" s="17"/>
      <c r="U54" s="17"/>
      <c r="V54" s="17"/>
      <c r="W54" s="17"/>
      <c r="X54" s="17"/>
      <c r="Y54" s="18"/>
      <c r="Z54" s="20"/>
      <c r="AA54" s="13"/>
      <c r="AB54" s="20"/>
      <c r="AC54" s="14" t="s">
        <v>4</v>
      </c>
      <c r="AD54" s="16" t="s">
        <v>72</v>
      </c>
      <c r="AE54" s="17"/>
      <c r="AF54" s="17"/>
      <c r="AG54" s="17"/>
      <c r="AH54" s="17"/>
      <c r="AI54" s="17"/>
      <c r="AJ54" s="17"/>
      <c r="AK54" s="17"/>
      <c r="AL54" s="18"/>
      <c r="AM54" s="20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</row>
    <row r="55" ht="12.75" customHeight="1">
      <c r="A55" s="13"/>
      <c r="B55" s="20"/>
      <c r="C55" s="20"/>
      <c r="D55" s="21"/>
      <c r="L55" s="22"/>
      <c r="M55" s="20"/>
      <c r="N55" s="13"/>
      <c r="O55" s="20"/>
      <c r="P55" s="20"/>
      <c r="Q55" s="21"/>
      <c r="Y55" s="22"/>
      <c r="Z55" s="20"/>
      <c r="AA55" s="13"/>
      <c r="AB55" s="20"/>
      <c r="AC55" s="20"/>
      <c r="AD55" s="21"/>
      <c r="AL55" s="22"/>
      <c r="AM55" s="20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</row>
    <row r="56" ht="12.75" customHeight="1">
      <c r="A56" s="13"/>
      <c r="B56" s="23"/>
      <c r="C56" s="23"/>
      <c r="D56" s="24"/>
      <c r="E56" s="25"/>
      <c r="F56" s="25"/>
      <c r="G56" s="25"/>
      <c r="H56" s="25"/>
      <c r="I56" s="25"/>
      <c r="J56" s="25"/>
      <c r="K56" s="25"/>
      <c r="L56" s="26"/>
      <c r="M56" s="23"/>
      <c r="N56" s="13"/>
      <c r="O56" s="23"/>
      <c r="P56" s="23"/>
      <c r="Q56" s="24"/>
      <c r="R56" s="25"/>
      <c r="S56" s="25"/>
      <c r="T56" s="25"/>
      <c r="U56" s="25"/>
      <c r="V56" s="25"/>
      <c r="W56" s="25"/>
      <c r="X56" s="25"/>
      <c r="Y56" s="26"/>
      <c r="Z56" s="23"/>
      <c r="AA56" s="13"/>
      <c r="AB56" s="23"/>
      <c r="AC56" s="23"/>
      <c r="AD56" s="24"/>
      <c r="AE56" s="25"/>
      <c r="AF56" s="25"/>
      <c r="AG56" s="25"/>
      <c r="AH56" s="25"/>
      <c r="AI56" s="25"/>
      <c r="AJ56" s="25"/>
      <c r="AK56" s="25"/>
      <c r="AL56" s="26"/>
      <c r="AM56" s="2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</row>
    <row r="57" ht="12.75" customHeight="1">
      <c r="A57" s="13"/>
      <c r="B57" s="14">
        <f>1+B51</f>
        <v>8</v>
      </c>
      <c r="C57" s="15" t="s">
        <v>3</v>
      </c>
      <c r="D57" s="16" t="s">
        <v>73</v>
      </c>
      <c r="E57" s="17"/>
      <c r="F57" s="17"/>
      <c r="G57" s="17"/>
      <c r="H57" s="17"/>
      <c r="I57" s="17"/>
      <c r="J57" s="17"/>
      <c r="K57" s="17"/>
      <c r="L57" s="18"/>
      <c r="M57" s="14"/>
      <c r="N57" s="13"/>
      <c r="O57" s="14">
        <f>1+O51</f>
        <v>28</v>
      </c>
      <c r="P57" s="15" t="s">
        <v>3</v>
      </c>
      <c r="Q57" s="16" t="s">
        <v>74</v>
      </c>
      <c r="R57" s="17"/>
      <c r="S57" s="17"/>
      <c r="T57" s="17"/>
      <c r="U57" s="17"/>
      <c r="V57" s="17"/>
      <c r="W57" s="17"/>
      <c r="X57" s="17"/>
      <c r="Y57" s="18"/>
      <c r="Z57" s="14"/>
      <c r="AA57" s="13"/>
      <c r="AB57" s="14">
        <f>1+AB51</f>
        <v>48</v>
      </c>
      <c r="AC57" s="15" t="s">
        <v>3</v>
      </c>
      <c r="AD57" s="16" t="s">
        <v>75</v>
      </c>
      <c r="AE57" s="17"/>
      <c r="AF57" s="17"/>
      <c r="AG57" s="17"/>
      <c r="AH57" s="17"/>
      <c r="AI57" s="17"/>
      <c r="AJ57" s="17"/>
      <c r="AK57" s="17"/>
      <c r="AL57" s="18"/>
      <c r="AM57" s="14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</row>
    <row r="58" ht="12.75" customHeight="1">
      <c r="A58" s="13"/>
      <c r="B58" s="20"/>
      <c r="C58" s="20"/>
      <c r="D58" s="21"/>
      <c r="L58" s="22"/>
      <c r="M58" s="20"/>
      <c r="N58" s="13"/>
      <c r="O58" s="20"/>
      <c r="P58" s="20"/>
      <c r="Q58" s="21"/>
      <c r="Y58" s="22"/>
      <c r="Z58" s="20"/>
      <c r="AA58" s="13"/>
      <c r="AB58" s="20"/>
      <c r="AC58" s="20"/>
      <c r="AD58" s="21"/>
      <c r="AL58" s="22"/>
      <c r="AM58" s="20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</row>
    <row r="59" ht="12.75" customHeight="1">
      <c r="A59" s="13"/>
      <c r="B59" s="20"/>
      <c r="C59" s="23"/>
      <c r="D59" s="24"/>
      <c r="E59" s="25"/>
      <c r="F59" s="25"/>
      <c r="G59" s="25"/>
      <c r="H59" s="25"/>
      <c r="I59" s="25"/>
      <c r="J59" s="25"/>
      <c r="K59" s="25"/>
      <c r="L59" s="26"/>
      <c r="M59" s="20"/>
      <c r="N59" s="13"/>
      <c r="O59" s="20"/>
      <c r="P59" s="23"/>
      <c r="Q59" s="24"/>
      <c r="R59" s="25"/>
      <c r="S59" s="25"/>
      <c r="T59" s="25"/>
      <c r="U59" s="25"/>
      <c r="V59" s="25"/>
      <c r="W59" s="25"/>
      <c r="X59" s="25"/>
      <c r="Y59" s="26"/>
      <c r="Z59" s="20"/>
      <c r="AA59" s="13"/>
      <c r="AB59" s="20"/>
      <c r="AC59" s="23"/>
      <c r="AD59" s="24"/>
      <c r="AE59" s="25"/>
      <c r="AF59" s="25"/>
      <c r="AG59" s="25"/>
      <c r="AH59" s="25"/>
      <c r="AI59" s="25"/>
      <c r="AJ59" s="25"/>
      <c r="AK59" s="25"/>
      <c r="AL59" s="26"/>
      <c r="AM59" s="20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</row>
    <row r="60" ht="12.75" customHeight="1">
      <c r="A60" s="13"/>
      <c r="B60" s="20"/>
      <c r="C60" s="14" t="s">
        <v>4</v>
      </c>
      <c r="D60" s="16" t="s">
        <v>76</v>
      </c>
      <c r="E60" s="17"/>
      <c r="F60" s="17"/>
      <c r="G60" s="17"/>
      <c r="H60" s="17"/>
      <c r="I60" s="17"/>
      <c r="J60" s="17"/>
      <c r="K60" s="17"/>
      <c r="L60" s="18"/>
      <c r="M60" s="20"/>
      <c r="N60" s="13"/>
      <c r="O60" s="20"/>
      <c r="P60" s="14" t="s">
        <v>4</v>
      </c>
      <c r="Q60" s="16" t="s">
        <v>77</v>
      </c>
      <c r="R60" s="17"/>
      <c r="S60" s="17"/>
      <c r="T60" s="17"/>
      <c r="U60" s="17"/>
      <c r="V60" s="17"/>
      <c r="W60" s="17"/>
      <c r="X60" s="17"/>
      <c r="Y60" s="18"/>
      <c r="Z60" s="20"/>
      <c r="AA60" s="13"/>
      <c r="AB60" s="20"/>
      <c r="AC60" s="14" t="s">
        <v>4</v>
      </c>
      <c r="AD60" s="16" t="s">
        <v>78</v>
      </c>
      <c r="AE60" s="17"/>
      <c r="AF60" s="17"/>
      <c r="AG60" s="17"/>
      <c r="AH60" s="17"/>
      <c r="AI60" s="17"/>
      <c r="AJ60" s="17"/>
      <c r="AK60" s="17"/>
      <c r="AL60" s="18"/>
      <c r="AM60" s="20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</row>
    <row r="61" ht="12.75" customHeight="1">
      <c r="A61" s="13"/>
      <c r="B61" s="20"/>
      <c r="C61" s="20"/>
      <c r="D61" s="21"/>
      <c r="L61" s="22"/>
      <c r="M61" s="20"/>
      <c r="N61" s="13"/>
      <c r="O61" s="20"/>
      <c r="P61" s="20"/>
      <c r="Q61" s="21"/>
      <c r="Y61" s="22"/>
      <c r="Z61" s="20"/>
      <c r="AA61" s="13"/>
      <c r="AB61" s="20"/>
      <c r="AC61" s="20"/>
      <c r="AD61" s="21"/>
      <c r="AL61" s="22"/>
      <c r="AM61" s="20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</row>
    <row r="62" ht="12.75" customHeight="1">
      <c r="A62" s="13"/>
      <c r="B62" s="23"/>
      <c r="C62" s="23"/>
      <c r="D62" s="24"/>
      <c r="E62" s="25"/>
      <c r="F62" s="25"/>
      <c r="G62" s="25"/>
      <c r="H62" s="25"/>
      <c r="I62" s="25"/>
      <c r="J62" s="25"/>
      <c r="K62" s="25"/>
      <c r="L62" s="26"/>
      <c r="M62" s="23"/>
      <c r="N62" s="13"/>
      <c r="O62" s="23"/>
      <c r="P62" s="23"/>
      <c r="Q62" s="24"/>
      <c r="R62" s="25"/>
      <c r="S62" s="25"/>
      <c r="T62" s="25"/>
      <c r="U62" s="25"/>
      <c r="V62" s="25"/>
      <c r="W62" s="25"/>
      <c r="X62" s="25"/>
      <c r="Y62" s="26"/>
      <c r="Z62" s="23"/>
      <c r="AA62" s="13"/>
      <c r="AB62" s="23"/>
      <c r="AC62" s="23"/>
      <c r="AD62" s="24"/>
      <c r="AE62" s="25"/>
      <c r="AF62" s="25"/>
      <c r="AG62" s="25"/>
      <c r="AH62" s="25"/>
      <c r="AI62" s="25"/>
      <c r="AJ62" s="25"/>
      <c r="AK62" s="25"/>
      <c r="AL62" s="26"/>
      <c r="AM62" s="2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</row>
    <row r="63" ht="12.75" customHeight="1">
      <c r="A63" s="13"/>
      <c r="B63" s="14">
        <f>1+B57</f>
        <v>9</v>
      </c>
      <c r="C63" s="15" t="s">
        <v>3</v>
      </c>
      <c r="D63" s="16" t="s">
        <v>79</v>
      </c>
      <c r="E63" s="17"/>
      <c r="F63" s="17"/>
      <c r="G63" s="17"/>
      <c r="H63" s="17"/>
      <c r="I63" s="17"/>
      <c r="J63" s="17"/>
      <c r="K63" s="17"/>
      <c r="L63" s="18"/>
      <c r="M63" s="14"/>
      <c r="N63" s="13"/>
      <c r="O63" s="14">
        <f>1+O57</f>
        <v>29</v>
      </c>
      <c r="P63" s="15" t="s">
        <v>3</v>
      </c>
      <c r="Q63" s="16" t="s">
        <v>80</v>
      </c>
      <c r="R63" s="17"/>
      <c r="S63" s="17"/>
      <c r="T63" s="17"/>
      <c r="U63" s="17"/>
      <c r="V63" s="17"/>
      <c r="W63" s="17"/>
      <c r="X63" s="17"/>
      <c r="Y63" s="18"/>
      <c r="Z63" s="14"/>
      <c r="AA63" s="13"/>
      <c r="AB63" s="14">
        <f>1+AB57</f>
        <v>49</v>
      </c>
      <c r="AC63" s="15" t="s">
        <v>3</v>
      </c>
      <c r="AD63" s="16" t="s">
        <v>81</v>
      </c>
      <c r="AE63" s="17"/>
      <c r="AF63" s="17"/>
      <c r="AG63" s="17"/>
      <c r="AH63" s="17"/>
      <c r="AI63" s="17"/>
      <c r="AJ63" s="17"/>
      <c r="AK63" s="17"/>
      <c r="AL63" s="18"/>
      <c r="AM63" s="14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</row>
    <row r="64" ht="12.75" customHeight="1">
      <c r="A64" s="13"/>
      <c r="B64" s="20"/>
      <c r="C64" s="20"/>
      <c r="D64" s="21"/>
      <c r="L64" s="22"/>
      <c r="M64" s="20"/>
      <c r="N64" s="13"/>
      <c r="O64" s="20"/>
      <c r="P64" s="20"/>
      <c r="Q64" s="21"/>
      <c r="Y64" s="22"/>
      <c r="Z64" s="20"/>
      <c r="AA64" s="13"/>
      <c r="AB64" s="20"/>
      <c r="AC64" s="20"/>
      <c r="AD64" s="21"/>
      <c r="AL64" s="22"/>
      <c r="AM64" s="20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</row>
    <row r="65" ht="12.75" customHeight="1">
      <c r="A65" s="13"/>
      <c r="B65" s="20"/>
      <c r="C65" s="23"/>
      <c r="D65" s="24"/>
      <c r="E65" s="25"/>
      <c r="F65" s="25"/>
      <c r="G65" s="25"/>
      <c r="H65" s="25"/>
      <c r="I65" s="25"/>
      <c r="J65" s="25"/>
      <c r="K65" s="25"/>
      <c r="L65" s="26"/>
      <c r="M65" s="20"/>
      <c r="N65" s="13"/>
      <c r="O65" s="20"/>
      <c r="P65" s="23"/>
      <c r="Q65" s="24"/>
      <c r="R65" s="25"/>
      <c r="S65" s="25"/>
      <c r="T65" s="25"/>
      <c r="U65" s="25"/>
      <c r="V65" s="25"/>
      <c r="W65" s="25"/>
      <c r="X65" s="25"/>
      <c r="Y65" s="26"/>
      <c r="Z65" s="20"/>
      <c r="AA65" s="13"/>
      <c r="AB65" s="20"/>
      <c r="AC65" s="23"/>
      <c r="AD65" s="24"/>
      <c r="AE65" s="25"/>
      <c r="AF65" s="25"/>
      <c r="AG65" s="25"/>
      <c r="AH65" s="25"/>
      <c r="AI65" s="25"/>
      <c r="AJ65" s="25"/>
      <c r="AK65" s="25"/>
      <c r="AL65" s="26"/>
      <c r="AM65" s="20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</row>
    <row r="66" ht="12.75" customHeight="1">
      <c r="A66" s="13"/>
      <c r="B66" s="20"/>
      <c r="C66" s="14" t="s">
        <v>4</v>
      </c>
      <c r="D66" s="16" t="s">
        <v>82</v>
      </c>
      <c r="E66" s="17"/>
      <c r="F66" s="17"/>
      <c r="G66" s="17"/>
      <c r="H66" s="17"/>
      <c r="I66" s="17"/>
      <c r="J66" s="17"/>
      <c r="K66" s="17"/>
      <c r="L66" s="18"/>
      <c r="M66" s="20"/>
      <c r="N66" s="13"/>
      <c r="O66" s="20"/>
      <c r="P66" s="14" t="s">
        <v>4</v>
      </c>
      <c r="Q66" s="16" t="s">
        <v>83</v>
      </c>
      <c r="R66" s="17"/>
      <c r="S66" s="17"/>
      <c r="T66" s="17"/>
      <c r="U66" s="17"/>
      <c r="V66" s="17"/>
      <c r="W66" s="17"/>
      <c r="X66" s="17"/>
      <c r="Y66" s="18"/>
      <c r="Z66" s="20"/>
      <c r="AA66" s="13"/>
      <c r="AB66" s="20"/>
      <c r="AC66" s="14" t="s">
        <v>4</v>
      </c>
      <c r="AD66" s="16" t="s">
        <v>84</v>
      </c>
      <c r="AE66" s="17"/>
      <c r="AF66" s="17"/>
      <c r="AG66" s="17"/>
      <c r="AH66" s="17"/>
      <c r="AI66" s="17"/>
      <c r="AJ66" s="17"/>
      <c r="AK66" s="17"/>
      <c r="AL66" s="18"/>
      <c r="AM66" s="20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</row>
    <row r="67" ht="12.75" customHeight="1">
      <c r="A67" s="13"/>
      <c r="B67" s="20"/>
      <c r="C67" s="20"/>
      <c r="D67" s="21"/>
      <c r="L67" s="22"/>
      <c r="M67" s="20"/>
      <c r="N67" s="13"/>
      <c r="O67" s="20"/>
      <c r="P67" s="20"/>
      <c r="Q67" s="21"/>
      <c r="Y67" s="22"/>
      <c r="Z67" s="20"/>
      <c r="AA67" s="13"/>
      <c r="AB67" s="20"/>
      <c r="AC67" s="20"/>
      <c r="AD67" s="21"/>
      <c r="AL67" s="22"/>
      <c r="AM67" s="20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</row>
    <row r="68" ht="12.75" customHeight="1">
      <c r="A68" s="13"/>
      <c r="B68" s="23"/>
      <c r="C68" s="23"/>
      <c r="D68" s="24"/>
      <c r="E68" s="25"/>
      <c r="F68" s="25"/>
      <c r="G68" s="25"/>
      <c r="H68" s="25"/>
      <c r="I68" s="25"/>
      <c r="J68" s="25"/>
      <c r="K68" s="25"/>
      <c r="L68" s="26"/>
      <c r="M68" s="23"/>
      <c r="N68" s="13"/>
      <c r="O68" s="23"/>
      <c r="P68" s="23"/>
      <c r="Q68" s="24"/>
      <c r="R68" s="25"/>
      <c r="S68" s="25"/>
      <c r="T68" s="25"/>
      <c r="U68" s="25"/>
      <c r="V68" s="25"/>
      <c r="W68" s="25"/>
      <c r="X68" s="25"/>
      <c r="Y68" s="26"/>
      <c r="Z68" s="23"/>
      <c r="AA68" s="13"/>
      <c r="AB68" s="23"/>
      <c r="AC68" s="23"/>
      <c r="AD68" s="24"/>
      <c r="AE68" s="25"/>
      <c r="AF68" s="25"/>
      <c r="AG68" s="25"/>
      <c r="AH68" s="25"/>
      <c r="AI68" s="25"/>
      <c r="AJ68" s="25"/>
      <c r="AK68" s="25"/>
      <c r="AL68" s="26"/>
      <c r="AM68" s="2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</row>
    <row r="69" ht="12.75" customHeight="1">
      <c r="A69" s="13"/>
      <c r="B69" s="14">
        <f>1+B63</f>
        <v>10</v>
      </c>
      <c r="C69" s="15" t="s">
        <v>3</v>
      </c>
      <c r="D69" s="16" t="s">
        <v>85</v>
      </c>
      <c r="E69" s="17"/>
      <c r="F69" s="17"/>
      <c r="G69" s="17"/>
      <c r="H69" s="17"/>
      <c r="I69" s="17"/>
      <c r="J69" s="17"/>
      <c r="K69" s="17"/>
      <c r="L69" s="18"/>
      <c r="M69" s="14"/>
      <c r="N69" s="13"/>
      <c r="O69" s="14">
        <f>1+O63</f>
        <v>30</v>
      </c>
      <c r="P69" s="15" t="s">
        <v>3</v>
      </c>
      <c r="Q69" s="16" t="s">
        <v>86</v>
      </c>
      <c r="R69" s="17"/>
      <c r="S69" s="17"/>
      <c r="T69" s="17"/>
      <c r="U69" s="17"/>
      <c r="V69" s="17"/>
      <c r="W69" s="17"/>
      <c r="X69" s="17"/>
      <c r="Y69" s="18"/>
      <c r="Z69" s="14"/>
      <c r="AA69" s="13"/>
      <c r="AB69" s="14">
        <f>1+AB63</f>
        <v>50</v>
      </c>
      <c r="AC69" s="15" t="s">
        <v>3</v>
      </c>
      <c r="AD69" s="16" t="s">
        <v>87</v>
      </c>
      <c r="AE69" s="17"/>
      <c r="AF69" s="17"/>
      <c r="AG69" s="17"/>
      <c r="AH69" s="17"/>
      <c r="AI69" s="17"/>
      <c r="AJ69" s="17"/>
      <c r="AK69" s="17"/>
      <c r="AL69" s="18"/>
      <c r="AM69" s="14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ht="12.75" customHeight="1">
      <c r="A70" s="13"/>
      <c r="B70" s="20"/>
      <c r="C70" s="20"/>
      <c r="D70" s="21"/>
      <c r="L70" s="22"/>
      <c r="M70" s="20"/>
      <c r="N70" s="13"/>
      <c r="O70" s="20"/>
      <c r="P70" s="20"/>
      <c r="Q70" s="21"/>
      <c r="Y70" s="22"/>
      <c r="Z70" s="20"/>
      <c r="AA70" s="13"/>
      <c r="AB70" s="20"/>
      <c r="AC70" s="20"/>
      <c r="AD70" s="21"/>
      <c r="AL70" s="22"/>
      <c r="AM70" s="20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ht="12.75" customHeight="1">
      <c r="A71" s="13"/>
      <c r="B71" s="20"/>
      <c r="C71" s="23"/>
      <c r="D71" s="24"/>
      <c r="E71" s="25"/>
      <c r="F71" s="25"/>
      <c r="G71" s="25"/>
      <c r="H71" s="25"/>
      <c r="I71" s="25"/>
      <c r="J71" s="25"/>
      <c r="K71" s="25"/>
      <c r="L71" s="26"/>
      <c r="M71" s="20"/>
      <c r="N71" s="13"/>
      <c r="O71" s="20"/>
      <c r="P71" s="23"/>
      <c r="Q71" s="24"/>
      <c r="R71" s="25"/>
      <c r="S71" s="25"/>
      <c r="T71" s="25"/>
      <c r="U71" s="25"/>
      <c r="V71" s="25"/>
      <c r="W71" s="25"/>
      <c r="X71" s="25"/>
      <c r="Y71" s="26"/>
      <c r="Z71" s="20"/>
      <c r="AA71" s="13"/>
      <c r="AB71" s="20"/>
      <c r="AC71" s="23"/>
      <c r="AD71" s="24"/>
      <c r="AE71" s="25"/>
      <c r="AF71" s="25"/>
      <c r="AG71" s="25"/>
      <c r="AH71" s="25"/>
      <c r="AI71" s="25"/>
      <c r="AJ71" s="25"/>
      <c r="AK71" s="25"/>
      <c r="AL71" s="26"/>
      <c r="AM71" s="20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ht="12.75" customHeight="1">
      <c r="A72" s="13"/>
      <c r="B72" s="20"/>
      <c r="C72" s="14" t="s">
        <v>4</v>
      </c>
      <c r="D72" s="16" t="s">
        <v>88</v>
      </c>
      <c r="E72" s="17"/>
      <c r="F72" s="17"/>
      <c r="G72" s="17"/>
      <c r="H72" s="17"/>
      <c r="I72" s="17"/>
      <c r="J72" s="17"/>
      <c r="K72" s="17"/>
      <c r="L72" s="18"/>
      <c r="M72" s="20"/>
      <c r="N72" s="13"/>
      <c r="O72" s="20"/>
      <c r="P72" s="14" t="s">
        <v>4</v>
      </c>
      <c r="Q72" s="16" t="s">
        <v>89</v>
      </c>
      <c r="R72" s="17"/>
      <c r="S72" s="17"/>
      <c r="T72" s="17"/>
      <c r="U72" s="17"/>
      <c r="V72" s="17"/>
      <c r="W72" s="17"/>
      <c r="X72" s="17"/>
      <c r="Y72" s="18"/>
      <c r="Z72" s="20"/>
      <c r="AA72" s="13"/>
      <c r="AB72" s="20"/>
      <c r="AC72" s="14" t="s">
        <v>4</v>
      </c>
      <c r="AD72" s="16" t="s">
        <v>90</v>
      </c>
      <c r="AE72" s="17"/>
      <c r="AF72" s="17"/>
      <c r="AG72" s="17"/>
      <c r="AH72" s="17"/>
      <c r="AI72" s="17"/>
      <c r="AJ72" s="17"/>
      <c r="AK72" s="17"/>
      <c r="AL72" s="18"/>
      <c r="AM72" s="20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ht="12.75" customHeight="1">
      <c r="A73" s="13"/>
      <c r="B73" s="20"/>
      <c r="C73" s="20"/>
      <c r="D73" s="21"/>
      <c r="L73" s="22"/>
      <c r="M73" s="20"/>
      <c r="N73" s="13"/>
      <c r="O73" s="20"/>
      <c r="P73" s="20"/>
      <c r="Q73" s="21"/>
      <c r="Y73" s="22"/>
      <c r="Z73" s="20"/>
      <c r="AA73" s="13"/>
      <c r="AB73" s="20"/>
      <c r="AC73" s="20"/>
      <c r="AD73" s="21"/>
      <c r="AL73" s="22"/>
      <c r="AM73" s="20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ht="12.75" customHeight="1">
      <c r="A74" s="13"/>
      <c r="B74" s="23"/>
      <c r="C74" s="23"/>
      <c r="D74" s="24"/>
      <c r="E74" s="25"/>
      <c r="F74" s="25"/>
      <c r="G74" s="25"/>
      <c r="H74" s="25"/>
      <c r="I74" s="25"/>
      <c r="J74" s="25"/>
      <c r="K74" s="25"/>
      <c r="L74" s="26"/>
      <c r="M74" s="23"/>
      <c r="N74" s="13"/>
      <c r="O74" s="23"/>
      <c r="P74" s="23"/>
      <c r="Q74" s="24"/>
      <c r="R74" s="25"/>
      <c r="S74" s="25"/>
      <c r="T74" s="25"/>
      <c r="U74" s="25"/>
      <c r="V74" s="25"/>
      <c r="W74" s="25"/>
      <c r="X74" s="25"/>
      <c r="Y74" s="26"/>
      <c r="Z74" s="23"/>
      <c r="AA74" s="13"/>
      <c r="AB74" s="23"/>
      <c r="AC74" s="23"/>
      <c r="AD74" s="24"/>
      <c r="AE74" s="25"/>
      <c r="AF74" s="25"/>
      <c r="AG74" s="25"/>
      <c r="AH74" s="25"/>
      <c r="AI74" s="25"/>
      <c r="AJ74" s="25"/>
      <c r="AK74" s="25"/>
      <c r="AL74" s="26"/>
      <c r="AM74" s="2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</row>
    <row r="75" ht="12.75" customHeight="1">
      <c r="A75" s="13"/>
      <c r="B75" s="14">
        <f>1+B69</f>
        <v>11</v>
      </c>
      <c r="C75" s="15" t="s">
        <v>3</v>
      </c>
      <c r="D75" s="16" t="s">
        <v>91</v>
      </c>
      <c r="E75" s="17"/>
      <c r="F75" s="17"/>
      <c r="G75" s="17"/>
      <c r="H75" s="17"/>
      <c r="I75" s="17"/>
      <c r="J75" s="17"/>
      <c r="K75" s="17"/>
      <c r="L75" s="18"/>
      <c r="M75" s="14"/>
      <c r="N75" s="13"/>
      <c r="O75" s="14">
        <f>1+O69</f>
        <v>31</v>
      </c>
      <c r="P75" s="15" t="s">
        <v>3</v>
      </c>
      <c r="Q75" s="16" t="s">
        <v>92</v>
      </c>
      <c r="R75" s="17"/>
      <c r="S75" s="17"/>
      <c r="T75" s="17"/>
      <c r="U75" s="17"/>
      <c r="V75" s="17"/>
      <c r="W75" s="17"/>
      <c r="X75" s="17"/>
      <c r="Y75" s="18"/>
      <c r="Z75" s="14"/>
      <c r="AA75" s="13"/>
      <c r="AB75" s="14">
        <f>1+AB69</f>
        <v>51</v>
      </c>
      <c r="AC75" s="15" t="s">
        <v>3</v>
      </c>
      <c r="AD75" s="16" t="s">
        <v>93</v>
      </c>
      <c r="AE75" s="17"/>
      <c r="AF75" s="17"/>
      <c r="AG75" s="17"/>
      <c r="AH75" s="17"/>
      <c r="AI75" s="17"/>
      <c r="AJ75" s="17"/>
      <c r="AK75" s="17"/>
      <c r="AL75" s="18"/>
      <c r="AM75" s="14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  <row r="76" ht="12.75" customHeight="1">
      <c r="A76" s="13"/>
      <c r="B76" s="20"/>
      <c r="C76" s="20"/>
      <c r="D76" s="21"/>
      <c r="L76" s="22"/>
      <c r="M76" s="20"/>
      <c r="N76" s="13"/>
      <c r="O76" s="20"/>
      <c r="P76" s="20"/>
      <c r="Q76" s="21"/>
      <c r="Y76" s="22"/>
      <c r="Z76" s="20"/>
      <c r="AA76" s="13"/>
      <c r="AB76" s="20"/>
      <c r="AC76" s="20"/>
      <c r="AD76" s="21"/>
      <c r="AL76" s="22"/>
      <c r="AM76" s="20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</row>
    <row r="77" ht="12.75" customHeight="1">
      <c r="A77" s="13"/>
      <c r="B77" s="20"/>
      <c r="C77" s="23"/>
      <c r="D77" s="24"/>
      <c r="E77" s="25"/>
      <c r="F77" s="25"/>
      <c r="G77" s="25"/>
      <c r="H77" s="25"/>
      <c r="I77" s="25"/>
      <c r="J77" s="25"/>
      <c r="K77" s="25"/>
      <c r="L77" s="26"/>
      <c r="M77" s="20"/>
      <c r="N77" s="13"/>
      <c r="O77" s="20"/>
      <c r="P77" s="23"/>
      <c r="Q77" s="24"/>
      <c r="R77" s="25"/>
      <c r="S77" s="25"/>
      <c r="T77" s="25"/>
      <c r="U77" s="25"/>
      <c r="V77" s="25"/>
      <c r="W77" s="25"/>
      <c r="X77" s="25"/>
      <c r="Y77" s="26"/>
      <c r="Z77" s="20"/>
      <c r="AA77" s="13"/>
      <c r="AB77" s="20"/>
      <c r="AC77" s="23"/>
      <c r="AD77" s="24"/>
      <c r="AE77" s="25"/>
      <c r="AF77" s="25"/>
      <c r="AG77" s="25"/>
      <c r="AH77" s="25"/>
      <c r="AI77" s="25"/>
      <c r="AJ77" s="25"/>
      <c r="AK77" s="25"/>
      <c r="AL77" s="26"/>
      <c r="AM77" s="20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</row>
    <row r="78" ht="12.75" customHeight="1">
      <c r="A78" s="13"/>
      <c r="B78" s="20"/>
      <c r="C78" s="14" t="s">
        <v>4</v>
      </c>
      <c r="D78" s="16" t="s">
        <v>94</v>
      </c>
      <c r="E78" s="17"/>
      <c r="F78" s="17"/>
      <c r="G78" s="17"/>
      <c r="H78" s="17"/>
      <c r="I78" s="17"/>
      <c r="J78" s="17"/>
      <c r="K78" s="17"/>
      <c r="L78" s="18"/>
      <c r="M78" s="20"/>
      <c r="N78" s="13"/>
      <c r="O78" s="20"/>
      <c r="P78" s="14" t="s">
        <v>4</v>
      </c>
      <c r="Q78" s="16" t="s">
        <v>95</v>
      </c>
      <c r="R78" s="17"/>
      <c r="S78" s="17"/>
      <c r="T78" s="17"/>
      <c r="U78" s="17"/>
      <c r="V78" s="17"/>
      <c r="W78" s="17"/>
      <c r="X78" s="17"/>
      <c r="Y78" s="18"/>
      <c r="Z78" s="20"/>
      <c r="AA78" s="13"/>
      <c r="AB78" s="20"/>
      <c r="AC78" s="14" t="s">
        <v>4</v>
      </c>
      <c r="AD78" s="16" t="s">
        <v>96</v>
      </c>
      <c r="AE78" s="17"/>
      <c r="AF78" s="17"/>
      <c r="AG78" s="17"/>
      <c r="AH78" s="17"/>
      <c r="AI78" s="17"/>
      <c r="AJ78" s="17"/>
      <c r="AK78" s="17"/>
      <c r="AL78" s="18"/>
      <c r="AM78" s="20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</row>
    <row r="79" ht="12.75" customHeight="1">
      <c r="A79" s="13"/>
      <c r="B79" s="20"/>
      <c r="C79" s="20"/>
      <c r="D79" s="21"/>
      <c r="L79" s="22"/>
      <c r="M79" s="20"/>
      <c r="N79" s="13"/>
      <c r="O79" s="20"/>
      <c r="P79" s="20"/>
      <c r="Q79" s="21"/>
      <c r="Y79" s="22"/>
      <c r="Z79" s="20"/>
      <c r="AA79" s="13"/>
      <c r="AB79" s="20"/>
      <c r="AC79" s="20"/>
      <c r="AD79" s="21"/>
      <c r="AL79" s="22"/>
      <c r="AM79" s="20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</row>
    <row r="80" ht="12.75" customHeight="1">
      <c r="A80" s="13"/>
      <c r="B80" s="23"/>
      <c r="C80" s="23"/>
      <c r="D80" s="24"/>
      <c r="E80" s="25"/>
      <c r="F80" s="25"/>
      <c r="G80" s="25"/>
      <c r="H80" s="25"/>
      <c r="I80" s="25"/>
      <c r="J80" s="25"/>
      <c r="K80" s="25"/>
      <c r="L80" s="26"/>
      <c r="M80" s="23"/>
      <c r="N80" s="13"/>
      <c r="O80" s="23"/>
      <c r="P80" s="23"/>
      <c r="Q80" s="24"/>
      <c r="R80" s="25"/>
      <c r="S80" s="25"/>
      <c r="T80" s="25"/>
      <c r="U80" s="25"/>
      <c r="V80" s="25"/>
      <c r="W80" s="25"/>
      <c r="X80" s="25"/>
      <c r="Y80" s="26"/>
      <c r="Z80" s="23"/>
      <c r="AA80" s="13"/>
      <c r="AB80" s="23"/>
      <c r="AC80" s="23"/>
      <c r="AD80" s="24"/>
      <c r="AE80" s="25"/>
      <c r="AF80" s="25"/>
      <c r="AG80" s="25"/>
      <c r="AH80" s="25"/>
      <c r="AI80" s="25"/>
      <c r="AJ80" s="25"/>
      <c r="AK80" s="25"/>
      <c r="AL80" s="26"/>
      <c r="AM80" s="2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</row>
    <row r="81" ht="12.75" customHeight="1">
      <c r="A81" s="13"/>
      <c r="B81" s="14">
        <f>1+B75</f>
        <v>12</v>
      </c>
      <c r="C81" s="15" t="s">
        <v>3</v>
      </c>
      <c r="D81" s="16" t="s">
        <v>97</v>
      </c>
      <c r="E81" s="17"/>
      <c r="F81" s="17"/>
      <c r="G81" s="17"/>
      <c r="H81" s="17"/>
      <c r="I81" s="17"/>
      <c r="J81" s="17"/>
      <c r="K81" s="17"/>
      <c r="L81" s="18"/>
      <c r="M81" s="14"/>
      <c r="N81" s="13"/>
      <c r="O81" s="14">
        <f>1+O75</f>
        <v>32</v>
      </c>
      <c r="P81" s="15" t="s">
        <v>3</v>
      </c>
      <c r="Q81" s="16" t="s">
        <v>98</v>
      </c>
      <c r="R81" s="17"/>
      <c r="S81" s="17"/>
      <c r="T81" s="17"/>
      <c r="U81" s="17"/>
      <c r="V81" s="17"/>
      <c r="W81" s="17"/>
      <c r="X81" s="17"/>
      <c r="Y81" s="18"/>
      <c r="Z81" s="14"/>
      <c r="AA81" s="13"/>
      <c r="AB81" s="14">
        <f>1+AB75</f>
        <v>52</v>
      </c>
      <c r="AC81" s="15" t="s">
        <v>3</v>
      </c>
      <c r="AD81" s="16" t="s">
        <v>99</v>
      </c>
      <c r="AE81" s="17"/>
      <c r="AF81" s="17"/>
      <c r="AG81" s="17"/>
      <c r="AH81" s="17"/>
      <c r="AI81" s="17"/>
      <c r="AJ81" s="17"/>
      <c r="AK81" s="17"/>
      <c r="AL81" s="18"/>
      <c r="AM81" s="14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</row>
    <row r="82" ht="12.75" customHeight="1">
      <c r="A82" s="13"/>
      <c r="B82" s="20"/>
      <c r="C82" s="20"/>
      <c r="D82" s="21"/>
      <c r="L82" s="22"/>
      <c r="M82" s="20"/>
      <c r="N82" s="13"/>
      <c r="O82" s="20"/>
      <c r="P82" s="20"/>
      <c r="Q82" s="21"/>
      <c r="Y82" s="22"/>
      <c r="Z82" s="20"/>
      <c r="AA82" s="13"/>
      <c r="AB82" s="20"/>
      <c r="AC82" s="20"/>
      <c r="AD82" s="21"/>
      <c r="AL82" s="22"/>
      <c r="AM82" s="20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</row>
    <row r="83" ht="12.75" customHeight="1">
      <c r="A83" s="13"/>
      <c r="B83" s="20"/>
      <c r="C83" s="23"/>
      <c r="D83" s="24"/>
      <c r="E83" s="25"/>
      <c r="F83" s="25"/>
      <c r="G83" s="25"/>
      <c r="H83" s="25"/>
      <c r="I83" s="25"/>
      <c r="J83" s="25"/>
      <c r="K83" s="25"/>
      <c r="L83" s="26"/>
      <c r="M83" s="20"/>
      <c r="N83" s="13"/>
      <c r="O83" s="20"/>
      <c r="P83" s="23"/>
      <c r="Q83" s="24"/>
      <c r="R83" s="25"/>
      <c r="S83" s="25"/>
      <c r="T83" s="25"/>
      <c r="U83" s="25"/>
      <c r="V83" s="25"/>
      <c r="W83" s="25"/>
      <c r="X83" s="25"/>
      <c r="Y83" s="26"/>
      <c r="Z83" s="20"/>
      <c r="AA83" s="13"/>
      <c r="AB83" s="20"/>
      <c r="AC83" s="23"/>
      <c r="AD83" s="24"/>
      <c r="AE83" s="25"/>
      <c r="AF83" s="25"/>
      <c r="AG83" s="25"/>
      <c r="AH83" s="25"/>
      <c r="AI83" s="25"/>
      <c r="AJ83" s="25"/>
      <c r="AK83" s="25"/>
      <c r="AL83" s="26"/>
      <c r="AM83" s="20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</row>
    <row r="84" ht="12.75" customHeight="1">
      <c r="A84" s="13"/>
      <c r="B84" s="20"/>
      <c r="C84" s="14" t="s">
        <v>4</v>
      </c>
      <c r="D84" s="16" t="s">
        <v>100</v>
      </c>
      <c r="E84" s="17"/>
      <c r="F84" s="17"/>
      <c r="G84" s="17"/>
      <c r="H84" s="17"/>
      <c r="I84" s="17"/>
      <c r="J84" s="17"/>
      <c r="K84" s="17"/>
      <c r="L84" s="18"/>
      <c r="M84" s="20"/>
      <c r="N84" s="13"/>
      <c r="O84" s="20"/>
      <c r="P84" s="14" t="s">
        <v>4</v>
      </c>
      <c r="Q84" s="16" t="s">
        <v>101</v>
      </c>
      <c r="R84" s="17"/>
      <c r="S84" s="17"/>
      <c r="T84" s="17"/>
      <c r="U84" s="17"/>
      <c r="V84" s="17"/>
      <c r="W84" s="17"/>
      <c r="X84" s="17"/>
      <c r="Y84" s="18"/>
      <c r="Z84" s="20"/>
      <c r="AA84" s="13"/>
      <c r="AB84" s="20"/>
      <c r="AC84" s="14" t="s">
        <v>4</v>
      </c>
      <c r="AD84" s="16" t="s">
        <v>102</v>
      </c>
      <c r="AE84" s="17"/>
      <c r="AF84" s="17"/>
      <c r="AG84" s="17"/>
      <c r="AH84" s="17"/>
      <c r="AI84" s="17"/>
      <c r="AJ84" s="17"/>
      <c r="AK84" s="17"/>
      <c r="AL84" s="18"/>
      <c r="AM84" s="20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</row>
    <row r="85" ht="12.75" customHeight="1">
      <c r="A85" s="13"/>
      <c r="B85" s="20"/>
      <c r="C85" s="20"/>
      <c r="D85" s="21"/>
      <c r="L85" s="22"/>
      <c r="M85" s="20"/>
      <c r="N85" s="13"/>
      <c r="O85" s="20"/>
      <c r="P85" s="20"/>
      <c r="Q85" s="21"/>
      <c r="Y85" s="22"/>
      <c r="Z85" s="20"/>
      <c r="AA85" s="13"/>
      <c r="AB85" s="20"/>
      <c r="AC85" s="20"/>
      <c r="AD85" s="21"/>
      <c r="AL85" s="22"/>
      <c r="AM85" s="20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</row>
    <row r="86" ht="12.75" customHeight="1">
      <c r="A86" s="13"/>
      <c r="B86" s="23"/>
      <c r="C86" s="23"/>
      <c r="D86" s="24"/>
      <c r="E86" s="25"/>
      <c r="F86" s="25"/>
      <c r="G86" s="25"/>
      <c r="H86" s="25"/>
      <c r="I86" s="25"/>
      <c r="J86" s="25"/>
      <c r="K86" s="25"/>
      <c r="L86" s="26"/>
      <c r="M86" s="23"/>
      <c r="N86" s="13"/>
      <c r="O86" s="23"/>
      <c r="P86" s="23"/>
      <c r="Q86" s="24"/>
      <c r="R86" s="25"/>
      <c r="S86" s="25"/>
      <c r="T86" s="25"/>
      <c r="U86" s="25"/>
      <c r="V86" s="25"/>
      <c r="W86" s="25"/>
      <c r="X86" s="25"/>
      <c r="Y86" s="26"/>
      <c r="Z86" s="23"/>
      <c r="AA86" s="13"/>
      <c r="AB86" s="23"/>
      <c r="AC86" s="23"/>
      <c r="AD86" s="24"/>
      <c r="AE86" s="25"/>
      <c r="AF86" s="25"/>
      <c r="AG86" s="25"/>
      <c r="AH86" s="25"/>
      <c r="AI86" s="25"/>
      <c r="AJ86" s="25"/>
      <c r="AK86" s="25"/>
      <c r="AL86" s="26"/>
      <c r="AM86" s="2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</row>
    <row r="87" ht="12.75" customHeight="1">
      <c r="A87" s="13"/>
      <c r="B87" s="14">
        <f>1+B81</f>
        <v>13</v>
      </c>
      <c r="C87" s="15" t="s">
        <v>3</v>
      </c>
      <c r="D87" s="16" t="s">
        <v>103</v>
      </c>
      <c r="E87" s="17"/>
      <c r="F87" s="17"/>
      <c r="G87" s="17"/>
      <c r="H87" s="17"/>
      <c r="I87" s="17"/>
      <c r="J87" s="17"/>
      <c r="K87" s="17"/>
      <c r="L87" s="18"/>
      <c r="M87" s="14"/>
      <c r="N87" s="13"/>
      <c r="O87" s="14">
        <f>1+O81</f>
        <v>33</v>
      </c>
      <c r="P87" s="15" t="s">
        <v>3</v>
      </c>
      <c r="Q87" s="16" t="s">
        <v>104</v>
      </c>
      <c r="R87" s="17"/>
      <c r="S87" s="17"/>
      <c r="T87" s="17"/>
      <c r="U87" s="17"/>
      <c r="V87" s="17"/>
      <c r="W87" s="17"/>
      <c r="X87" s="17"/>
      <c r="Y87" s="18"/>
      <c r="Z87" s="14"/>
      <c r="AA87" s="13"/>
      <c r="AB87" s="14">
        <f>1+AB81</f>
        <v>53</v>
      </c>
      <c r="AC87" s="15" t="s">
        <v>3</v>
      </c>
      <c r="AD87" s="16" t="s">
        <v>105</v>
      </c>
      <c r="AE87" s="17"/>
      <c r="AF87" s="17"/>
      <c r="AG87" s="17"/>
      <c r="AH87" s="17"/>
      <c r="AI87" s="17"/>
      <c r="AJ87" s="17"/>
      <c r="AK87" s="17"/>
      <c r="AL87" s="18"/>
      <c r="AM87" s="14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</row>
    <row r="88" ht="12.75" customHeight="1">
      <c r="A88" s="13"/>
      <c r="B88" s="20"/>
      <c r="C88" s="20"/>
      <c r="D88" s="21"/>
      <c r="L88" s="22"/>
      <c r="M88" s="20"/>
      <c r="N88" s="13"/>
      <c r="O88" s="20"/>
      <c r="P88" s="20"/>
      <c r="Q88" s="21"/>
      <c r="Y88" s="22"/>
      <c r="Z88" s="20"/>
      <c r="AA88" s="13"/>
      <c r="AB88" s="20"/>
      <c r="AC88" s="20"/>
      <c r="AD88" s="21"/>
      <c r="AL88" s="22"/>
      <c r="AM88" s="20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</row>
    <row r="89" ht="12.75" customHeight="1">
      <c r="A89" s="13"/>
      <c r="B89" s="20"/>
      <c r="C89" s="23"/>
      <c r="D89" s="24"/>
      <c r="E89" s="25"/>
      <c r="F89" s="25"/>
      <c r="G89" s="25"/>
      <c r="H89" s="25"/>
      <c r="I89" s="25"/>
      <c r="J89" s="25"/>
      <c r="K89" s="25"/>
      <c r="L89" s="26"/>
      <c r="M89" s="20"/>
      <c r="N89" s="13"/>
      <c r="O89" s="20"/>
      <c r="P89" s="23"/>
      <c r="Q89" s="24"/>
      <c r="R89" s="25"/>
      <c r="S89" s="25"/>
      <c r="T89" s="25"/>
      <c r="U89" s="25"/>
      <c r="V89" s="25"/>
      <c r="W89" s="25"/>
      <c r="X89" s="25"/>
      <c r="Y89" s="26"/>
      <c r="Z89" s="20"/>
      <c r="AA89" s="13"/>
      <c r="AB89" s="20"/>
      <c r="AC89" s="23"/>
      <c r="AD89" s="24"/>
      <c r="AE89" s="25"/>
      <c r="AF89" s="25"/>
      <c r="AG89" s="25"/>
      <c r="AH89" s="25"/>
      <c r="AI89" s="25"/>
      <c r="AJ89" s="25"/>
      <c r="AK89" s="25"/>
      <c r="AL89" s="26"/>
      <c r="AM89" s="20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</row>
    <row r="90" ht="12.75" customHeight="1">
      <c r="A90" s="13"/>
      <c r="B90" s="20"/>
      <c r="C90" s="14" t="s">
        <v>4</v>
      </c>
      <c r="D90" s="16" t="s">
        <v>106</v>
      </c>
      <c r="E90" s="17"/>
      <c r="F90" s="17"/>
      <c r="G90" s="17"/>
      <c r="H90" s="17"/>
      <c r="I90" s="17"/>
      <c r="J90" s="17"/>
      <c r="K90" s="17"/>
      <c r="L90" s="18"/>
      <c r="M90" s="20"/>
      <c r="N90" s="13"/>
      <c r="O90" s="20"/>
      <c r="P90" s="14" t="s">
        <v>4</v>
      </c>
      <c r="Q90" s="16" t="s">
        <v>107</v>
      </c>
      <c r="R90" s="17"/>
      <c r="S90" s="17"/>
      <c r="T90" s="17"/>
      <c r="U90" s="17"/>
      <c r="V90" s="17"/>
      <c r="W90" s="17"/>
      <c r="X90" s="17"/>
      <c r="Y90" s="18"/>
      <c r="Z90" s="20"/>
      <c r="AA90" s="13"/>
      <c r="AB90" s="20"/>
      <c r="AC90" s="14" t="s">
        <v>4</v>
      </c>
      <c r="AD90" s="16" t="s">
        <v>108</v>
      </c>
      <c r="AE90" s="17"/>
      <c r="AF90" s="17"/>
      <c r="AG90" s="17"/>
      <c r="AH90" s="17"/>
      <c r="AI90" s="17"/>
      <c r="AJ90" s="17"/>
      <c r="AK90" s="17"/>
      <c r="AL90" s="18"/>
      <c r="AM90" s="20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</row>
    <row r="91" ht="12.75" customHeight="1">
      <c r="A91" s="13"/>
      <c r="B91" s="20"/>
      <c r="C91" s="20"/>
      <c r="D91" s="21"/>
      <c r="L91" s="22"/>
      <c r="M91" s="20"/>
      <c r="N91" s="13"/>
      <c r="O91" s="20"/>
      <c r="P91" s="20"/>
      <c r="Q91" s="21"/>
      <c r="Y91" s="22"/>
      <c r="Z91" s="20"/>
      <c r="AA91" s="13"/>
      <c r="AB91" s="20"/>
      <c r="AC91" s="20"/>
      <c r="AD91" s="21"/>
      <c r="AL91" s="22"/>
      <c r="AM91" s="20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</row>
    <row r="92" ht="12.75" customHeight="1">
      <c r="A92" s="13"/>
      <c r="B92" s="23"/>
      <c r="C92" s="23"/>
      <c r="D92" s="24"/>
      <c r="E92" s="25"/>
      <c r="F92" s="25"/>
      <c r="G92" s="25"/>
      <c r="H92" s="25"/>
      <c r="I92" s="25"/>
      <c r="J92" s="25"/>
      <c r="K92" s="25"/>
      <c r="L92" s="26"/>
      <c r="M92" s="23"/>
      <c r="N92" s="13"/>
      <c r="O92" s="23"/>
      <c r="P92" s="23"/>
      <c r="Q92" s="24"/>
      <c r="R92" s="25"/>
      <c r="S92" s="25"/>
      <c r="T92" s="25"/>
      <c r="U92" s="25"/>
      <c r="V92" s="25"/>
      <c r="W92" s="25"/>
      <c r="X92" s="25"/>
      <c r="Y92" s="26"/>
      <c r="Z92" s="23"/>
      <c r="AA92" s="13"/>
      <c r="AB92" s="23"/>
      <c r="AC92" s="23"/>
      <c r="AD92" s="24"/>
      <c r="AE92" s="25"/>
      <c r="AF92" s="25"/>
      <c r="AG92" s="25"/>
      <c r="AH92" s="25"/>
      <c r="AI92" s="25"/>
      <c r="AJ92" s="25"/>
      <c r="AK92" s="25"/>
      <c r="AL92" s="26"/>
      <c r="AM92" s="2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</row>
    <row r="93" ht="12.75" customHeight="1">
      <c r="A93" s="13"/>
      <c r="B93" s="14">
        <f>1+B87</f>
        <v>14</v>
      </c>
      <c r="C93" s="15" t="s">
        <v>3</v>
      </c>
      <c r="D93" s="16" t="s">
        <v>109</v>
      </c>
      <c r="E93" s="17"/>
      <c r="F93" s="17"/>
      <c r="G93" s="17"/>
      <c r="H93" s="17"/>
      <c r="I93" s="17"/>
      <c r="J93" s="17"/>
      <c r="K93" s="17"/>
      <c r="L93" s="18"/>
      <c r="M93" s="14"/>
      <c r="N93" s="13"/>
      <c r="O93" s="14">
        <f>1+O87</f>
        <v>34</v>
      </c>
      <c r="P93" s="15" t="s">
        <v>3</v>
      </c>
      <c r="Q93" s="16" t="s">
        <v>110</v>
      </c>
      <c r="R93" s="17"/>
      <c r="S93" s="17"/>
      <c r="T93" s="17"/>
      <c r="U93" s="17"/>
      <c r="V93" s="17"/>
      <c r="W93" s="17"/>
      <c r="X93" s="17"/>
      <c r="Y93" s="18"/>
      <c r="Z93" s="14"/>
      <c r="AA93" s="13"/>
      <c r="AB93" s="14">
        <f>1+AB87</f>
        <v>54</v>
      </c>
      <c r="AC93" s="15" t="s">
        <v>3</v>
      </c>
      <c r="AD93" s="16" t="s">
        <v>111</v>
      </c>
      <c r="AE93" s="17"/>
      <c r="AF93" s="17"/>
      <c r="AG93" s="17"/>
      <c r="AH93" s="17"/>
      <c r="AI93" s="17"/>
      <c r="AJ93" s="17"/>
      <c r="AK93" s="17"/>
      <c r="AL93" s="18"/>
      <c r="AM93" s="14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</row>
    <row r="94" ht="12.75" customHeight="1">
      <c r="A94" s="13"/>
      <c r="B94" s="20"/>
      <c r="C94" s="20"/>
      <c r="D94" s="21"/>
      <c r="L94" s="22"/>
      <c r="M94" s="20"/>
      <c r="N94" s="13"/>
      <c r="O94" s="20"/>
      <c r="P94" s="20"/>
      <c r="Q94" s="21"/>
      <c r="Y94" s="22"/>
      <c r="Z94" s="20"/>
      <c r="AA94" s="13"/>
      <c r="AB94" s="20"/>
      <c r="AC94" s="20"/>
      <c r="AD94" s="21"/>
      <c r="AL94" s="22"/>
      <c r="AM94" s="20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</row>
    <row r="95" ht="12.75" customHeight="1">
      <c r="A95" s="13"/>
      <c r="B95" s="20"/>
      <c r="C95" s="23"/>
      <c r="D95" s="24"/>
      <c r="E95" s="25"/>
      <c r="F95" s="25"/>
      <c r="G95" s="25"/>
      <c r="H95" s="25"/>
      <c r="I95" s="25"/>
      <c r="J95" s="25"/>
      <c r="K95" s="25"/>
      <c r="L95" s="26"/>
      <c r="M95" s="20"/>
      <c r="N95" s="13"/>
      <c r="O95" s="20"/>
      <c r="P95" s="23"/>
      <c r="Q95" s="24"/>
      <c r="R95" s="25"/>
      <c r="S95" s="25"/>
      <c r="T95" s="25"/>
      <c r="U95" s="25"/>
      <c r="V95" s="25"/>
      <c r="W95" s="25"/>
      <c r="X95" s="25"/>
      <c r="Y95" s="26"/>
      <c r="Z95" s="20"/>
      <c r="AA95" s="13"/>
      <c r="AB95" s="20"/>
      <c r="AC95" s="23"/>
      <c r="AD95" s="24"/>
      <c r="AE95" s="25"/>
      <c r="AF95" s="25"/>
      <c r="AG95" s="25"/>
      <c r="AH95" s="25"/>
      <c r="AI95" s="25"/>
      <c r="AJ95" s="25"/>
      <c r="AK95" s="25"/>
      <c r="AL95" s="26"/>
      <c r="AM95" s="20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</row>
    <row r="96" ht="12.75" customHeight="1">
      <c r="A96" s="13"/>
      <c r="B96" s="20"/>
      <c r="C96" s="14" t="s">
        <v>4</v>
      </c>
      <c r="D96" s="16" t="s">
        <v>112</v>
      </c>
      <c r="E96" s="17"/>
      <c r="F96" s="17"/>
      <c r="G96" s="17"/>
      <c r="H96" s="17"/>
      <c r="I96" s="17"/>
      <c r="J96" s="17"/>
      <c r="K96" s="17"/>
      <c r="L96" s="18"/>
      <c r="M96" s="20"/>
      <c r="N96" s="13"/>
      <c r="O96" s="20"/>
      <c r="P96" s="14" t="s">
        <v>4</v>
      </c>
      <c r="Q96" s="16" t="s">
        <v>113</v>
      </c>
      <c r="R96" s="17"/>
      <c r="S96" s="17"/>
      <c r="T96" s="17"/>
      <c r="U96" s="17"/>
      <c r="V96" s="17"/>
      <c r="W96" s="17"/>
      <c r="X96" s="17"/>
      <c r="Y96" s="18"/>
      <c r="Z96" s="20"/>
      <c r="AA96" s="13"/>
      <c r="AB96" s="20"/>
      <c r="AC96" s="14" t="s">
        <v>4</v>
      </c>
      <c r="AD96" s="16" t="s">
        <v>114</v>
      </c>
      <c r="AE96" s="17"/>
      <c r="AF96" s="17"/>
      <c r="AG96" s="17"/>
      <c r="AH96" s="17"/>
      <c r="AI96" s="17"/>
      <c r="AJ96" s="17"/>
      <c r="AK96" s="17"/>
      <c r="AL96" s="18"/>
      <c r="AM96" s="20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</row>
    <row r="97" ht="12.75" customHeight="1">
      <c r="A97" s="13"/>
      <c r="B97" s="20"/>
      <c r="C97" s="20"/>
      <c r="D97" s="21"/>
      <c r="L97" s="22"/>
      <c r="M97" s="20"/>
      <c r="N97" s="13"/>
      <c r="O97" s="20"/>
      <c r="P97" s="20"/>
      <c r="Q97" s="21"/>
      <c r="Y97" s="22"/>
      <c r="Z97" s="20"/>
      <c r="AA97" s="13"/>
      <c r="AB97" s="20"/>
      <c r="AC97" s="20"/>
      <c r="AD97" s="21"/>
      <c r="AL97" s="22"/>
      <c r="AM97" s="20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</row>
    <row r="98" ht="12.75" customHeight="1">
      <c r="A98" s="13"/>
      <c r="B98" s="23"/>
      <c r="C98" s="23"/>
      <c r="D98" s="24"/>
      <c r="E98" s="25"/>
      <c r="F98" s="25"/>
      <c r="G98" s="25"/>
      <c r="H98" s="25"/>
      <c r="I98" s="25"/>
      <c r="J98" s="25"/>
      <c r="K98" s="25"/>
      <c r="L98" s="26"/>
      <c r="M98" s="23"/>
      <c r="N98" s="13"/>
      <c r="O98" s="23"/>
      <c r="P98" s="23"/>
      <c r="Q98" s="24"/>
      <c r="R98" s="25"/>
      <c r="S98" s="25"/>
      <c r="T98" s="25"/>
      <c r="U98" s="25"/>
      <c r="V98" s="25"/>
      <c r="W98" s="25"/>
      <c r="X98" s="25"/>
      <c r="Y98" s="26"/>
      <c r="Z98" s="23"/>
      <c r="AA98" s="13"/>
      <c r="AB98" s="23"/>
      <c r="AC98" s="23"/>
      <c r="AD98" s="24"/>
      <c r="AE98" s="25"/>
      <c r="AF98" s="25"/>
      <c r="AG98" s="25"/>
      <c r="AH98" s="25"/>
      <c r="AI98" s="25"/>
      <c r="AJ98" s="25"/>
      <c r="AK98" s="25"/>
      <c r="AL98" s="26"/>
      <c r="AM98" s="2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</row>
    <row r="99" ht="12.75" customHeight="1">
      <c r="A99" s="13"/>
      <c r="B99" s="14">
        <f>1+B93</f>
        <v>15</v>
      </c>
      <c r="C99" s="15" t="s">
        <v>3</v>
      </c>
      <c r="D99" s="16" t="s">
        <v>115</v>
      </c>
      <c r="E99" s="17"/>
      <c r="F99" s="17"/>
      <c r="G99" s="17"/>
      <c r="H99" s="17"/>
      <c r="I99" s="17"/>
      <c r="J99" s="17"/>
      <c r="K99" s="17"/>
      <c r="L99" s="18"/>
      <c r="M99" s="14"/>
      <c r="N99" s="13"/>
      <c r="O99" s="14">
        <f>1+O93</f>
        <v>35</v>
      </c>
      <c r="P99" s="15" t="s">
        <v>3</v>
      </c>
      <c r="Q99" s="16" t="s">
        <v>116</v>
      </c>
      <c r="R99" s="17"/>
      <c r="S99" s="17"/>
      <c r="T99" s="17"/>
      <c r="U99" s="17"/>
      <c r="V99" s="17"/>
      <c r="W99" s="17"/>
      <c r="X99" s="17"/>
      <c r="Y99" s="18"/>
      <c r="Z99" s="14"/>
      <c r="AA99" s="13"/>
      <c r="AB99" s="14">
        <f>1+AB93</f>
        <v>55</v>
      </c>
      <c r="AC99" s="15" t="s">
        <v>3</v>
      </c>
      <c r="AD99" s="16" t="s">
        <v>117</v>
      </c>
      <c r="AE99" s="17"/>
      <c r="AF99" s="17"/>
      <c r="AG99" s="17"/>
      <c r="AH99" s="17"/>
      <c r="AI99" s="17"/>
      <c r="AJ99" s="17"/>
      <c r="AK99" s="17"/>
      <c r="AL99" s="18"/>
      <c r="AM99" s="14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</row>
    <row r="100" ht="12.75" customHeight="1">
      <c r="A100" s="13"/>
      <c r="B100" s="20"/>
      <c r="C100" s="20"/>
      <c r="D100" s="21"/>
      <c r="L100" s="22"/>
      <c r="M100" s="20"/>
      <c r="N100" s="13"/>
      <c r="O100" s="20"/>
      <c r="P100" s="20"/>
      <c r="Q100" s="21"/>
      <c r="Y100" s="22"/>
      <c r="Z100" s="20"/>
      <c r="AA100" s="13"/>
      <c r="AB100" s="20"/>
      <c r="AC100" s="20"/>
      <c r="AD100" s="21"/>
      <c r="AL100" s="22"/>
      <c r="AM100" s="20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</row>
    <row r="101" ht="12.75" customHeight="1">
      <c r="A101" s="13"/>
      <c r="B101" s="20"/>
      <c r="C101" s="23"/>
      <c r="D101" s="24"/>
      <c r="E101" s="25"/>
      <c r="F101" s="25"/>
      <c r="G101" s="25"/>
      <c r="H101" s="25"/>
      <c r="I101" s="25"/>
      <c r="J101" s="25"/>
      <c r="K101" s="25"/>
      <c r="L101" s="26"/>
      <c r="M101" s="20"/>
      <c r="N101" s="13"/>
      <c r="O101" s="20"/>
      <c r="P101" s="23"/>
      <c r="Q101" s="24"/>
      <c r="R101" s="25"/>
      <c r="S101" s="25"/>
      <c r="T101" s="25"/>
      <c r="U101" s="25"/>
      <c r="V101" s="25"/>
      <c r="W101" s="25"/>
      <c r="X101" s="25"/>
      <c r="Y101" s="26"/>
      <c r="Z101" s="20"/>
      <c r="AA101" s="13"/>
      <c r="AB101" s="20"/>
      <c r="AC101" s="23"/>
      <c r="AD101" s="24"/>
      <c r="AE101" s="25"/>
      <c r="AF101" s="25"/>
      <c r="AG101" s="25"/>
      <c r="AH101" s="25"/>
      <c r="AI101" s="25"/>
      <c r="AJ101" s="25"/>
      <c r="AK101" s="25"/>
      <c r="AL101" s="26"/>
      <c r="AM101" s="20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</row>
    <row r="102" ht="12.75" customHeight="1">
      <c r="A102" s="13"/>
      <c r="B102" s="20"/>
      <c r="C102" s="14" t="s">
        <v>4</v>
      </c>
      <c r="D102" s="16" t="s">
        <v>118</v>
      </c>
      <c r="E102" s="17"/>
      <c r="F102" s="17"/>
      <c r="G102" s="17"/>
      <c r="H102" s="17"/>
      <c r="I102" s="17"/>
      <c r="J102" s="17"/>
      <c r="K102" s="17"/>
      <c r="L102" s="18"/>
      <c r="M102" s="20"/>
      <c r="N102" s="13"/>
      <c r="O102" s="20"/>
      <c r="P102" s="14" t="s">
        <v>4</v>
      </c>
      <c r="Q102" s="16" t="s">
        <v>119</v>
      </c>
      <c r="R102" s="17"/>
      <c r="S102" s="17"/>
      <c r="T102" s="17"/>
      <c r="U102" s="17"/>
      <c r="V102" s="17"/>
      <c r="W102" s="17"/>
      <c r="X102" s="17"/>
      <c r="Y102" s="18"/>
      <c r="Z102" s="20"/>
      <c r="AA102" s="13"/>
      <c r="AB102" s="20"/>
      <c r="AC102" s="14" t="s">
        <v>4</v>
      </c>
      <c r="AD102" s="16" t="s">
        <v>120</v>
      </c>
      <c r="AE102" s="17"/>
      <c r="AF102" s="17"/>
      <c r="AG102" s="17"/>
      <c r="AH102" s="17"/>
      <c r="AI102" s="17"/>
      <c r="AJ102" s="17"/>
      <c r="AK102" s="17"/>
      <c r="AL102" s="18"/>
      <c r="AM102" s="20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</row>
    <row r="103" ht="12.75" customHeight="1">
      <c r="A103" s="13"/>
      <c r="B103" s="20"/>
      <c r="C103" s="20"/>
      <c r="D103" s="21"/>
      <c r="L103" s="22"/>
      <c r="M103" s="20"/>
      <c r="N103" s="13"/>
      <c r="O103" s="20"/>
      <c r="P103" s="20"/>
      <c r="Q103" s="21"/>
      <c r="Y103" s="22"/>
      <c r="Z103" s="20"/>
      <c r="AA103" s="13"/>
      <c r="AB103" s="20"/>
      <c r="AC103" s="20"/>
      <c r="AD103" s="21"/>
      <c r="AL103" s="22"/>
      <c r="AM103" s="20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</row>
    <row r="104" ht="12.75" customHeight="1">
      <c r="A104" s="13"/>
      <c r="B104" s="23"/>
      <c r="C104" s="23"/>
      <c r="D104" s="24"/>
      <c r="E104" s="25"/>
      <c r="F104" s="25"/>
      <c r="G104" s="25"/>
      <c r="H104" s="25"/>
      <c r="I104" s="25"/>
      <c r="J104" s="25"/>
      <c r="K104" s="25"/>
      <c r="L104" s="26"/>
      <c r="M104" s="23"/>
      <c r="N104" s="13"/>
      <c r="O104" s="23"/>
      <c r="P104" s="23"/>
      <c r="Q104" s="24"/>
      <c r="R104" s="25"/>
      <c r="S104" s="25"/>
      <c r="T104" s="25"/>
      <c r="U104" s="25"/>
      <c r="V104" s="25"/>
      <c r="W104" s="25"/>
      <c r="X104" s="25"/>
      <c r="Y104" s="26"/>
      <c r="Z104" s="23"/>
      <c r="AA104" s="13"/>
      <c r="AB104" s="23"/>
      <c r="AC104" s="23"/>
      <c r="AD104" s="24"/>
      <c r="AE104" s="25"/>
      <c r="AF104" s="25"/>
      <c r="AG104" s="25"/>
      <c r="AH104" s="25"/>
      <c r="AI104" s="25"/>
      <c r="AJ104" s="25"/>
      <c r="AK104" s="25"/>
      <c r="AL104" s="26"/>
      <c r="AM104" s="2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</row>
    <row r="105" ht="12.75" customHeight="1">
      <c r="A105" s="13"/>
      <c r="B105" s="14">
        <f>1+B99</f>
        <v>16</v>
      </c>
      <c r="C105" s="15" t="s">
        <v>3</v>
      </c>
      <c r="D105" s="16" t="s">
        <v>121</v>
      </c>
      <c r="E105" s="17"/>
      <c r="F105" s="17"/>
      <c r="G105" s="17"/>
      <c r="H105" s="17"/>
      <c r="I105" s="17"/>
      <c r="J105" s="17"/>
      <c r="K105" s="17"/>
      <c r="L105" s="18"/>
      <c r="M105" s="14"/>
      <c r="N105" s="13"/>
      <c r="O105" s="14">
        <f>1+O99</f>
        <v>36</v>
      </c>
      <c r="P105" s="15" t="s">
        <v>3</v>
      </c>
      <c r="Q105" s="16" t="s">
        <v>122</v>
      </c>
      <c r="R105" s="17"/>
      <c r="S105" s="17"/>
      <c r="T105" s="17"/>
      <c r="U105" s="17"/>
      <c r="V105" s="17"/>
      <c r="W105" s="17"/>
      <c r="X105" s="17"/>
      <c r="Y105" s="18"/>
      <c r="Z105" s="14"/>
      <c r="AA105" s="13"/>
      <c r="AB105" s="14">
        <f>1+AB99</f>
        <v>56</v>
      </c>
      <c r="AC105" s="15" t="s">
        <v>3</v>
      </c>
      <c r="AD105" s="16" t="s">
        <v>123</v>
      </c>
      <c r="AE105" s="17"/>
      <c r="AF105" s="17"/>
      <c r="AG105" s="17"/>
      <c r="AH105" s="17"/>
      <c r="AI105" s="17"/>
      <c r="AJ105" s="17"/>
      <c r="AK105" s="17"/>
      <c r="AL105" s="18"/>
      <c r="AM105" s="14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</row>
    <row r="106" ht="12.75" customHeight="1">
      <c r="A106" s="13"/>
      <c r="B106" s="20"/>
      <c r="C106" s="20"/>
      <c r="D106" s="21"/>
      <c r="L106" s="22"/>
      <c r="M106" s="20"/>
      <c r="N106" s="13"/>
      <c r="O106" s="20"/>
      <c r="P106" s="20"/>
      <c r="Q106" s="21"/>
      <c r="Y106" s="22"/>
      <c r="Z106" s="20"/>
      <c r="AA106" s="13"/>
      <c r="AB106" s="20"/>
      <c r="AC106" s="20"/>
      <c r="AD106" s="21"/>
      <c r="AL106" s="22"/>
      <c r="AM106" s="20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</row>
    <row r="107" ht="12.75" customHeight="1">
      <c r="A107" s="13"/>
      <c r="B107" s="20"/>
      <c r="C107" s="23"/>
      <c r="D107" s="24"/>
      <c r="E107" s="25"/>
      <c r="F107" s="25"/>
      <c r="G107" s="25"/>
      <c r="H107" s="25"/>
      <c r="I107" s="25"/>
      <c r="J107" s="25"/>
      <c r="K107" s="25"/>
      <c r="L107" s="26"/>
      <c r="M107" s="20"/>
      <c r="N107" s="13"/>
      <c r="O107" s="20"/>
      <c r="P107" s="23"/>
      <c r="Q107" s="24"/>
      <c r="R107" s="25"/>
      <c r="S107" s="25"/>
      <c r="T107" s="25"/>
      <c r="U107" s="25"/>
      <c r="V107" s="25"/>
      <c r="W107" s="25"/>
      <c r="X107" s="25"/>
      <c r="Y107" s="26"/>
      <c r="Z107" s="20"/>
      <c r="AA107" s="13"/>
      <c r="AB107" s="20"/>
      <c r="AC107" s="23"/>
      <c r="AD107" s="24"/>
      <c r="AE107" s="25"/>
      <c r="AF107" s="25"/>
      <c r="AG107" s="25"/>
      <c r="AH107" s="25"/>
      <c r="AI107" s="25"/>
      <c r="AJ107" s="25"/>
      <c r="AK107" s="25"/>
      <c r="AL107" s="26"/>
      <c r="AM107" s="20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</row>
    <row r="108" ht="12.75" customHeight="1">
      <c r="A108" s="13"/>
      <c r="B108" s="20"/>
      <c r="C108" s="14" t="s">
        <v>4</v>
      </c>
      <c r="D108" s="16" t="s">
        <v>124</v>
      </c>
      <c r="E108" s="17"/>
      <c r="F108" s="17"/>
      <c r="G108" s="17"/>
      <c r="H108" s="17"/>
      <c r="I108" s="17"/>
      <c r="J108" s="17"/>
      <c r="K108" s="17"/>
      <c r="L108" s="18"/>
      <c r="M108" s="20"/>
      <c r="N108" s="13"/>
      <c r="O108" s="20"/>
      <c r="P108" s="14" t="s">
        <v>4</v>
      </c>
      <c r="Q108" s="16" t="s">
        <v>125</v>
      </c>
      <c r="R108" s="17"/>
      <c r="S108" s="17"/>
      <c r="T108" s="17"/>
      <c r="U108" s="17"/>
      <c r="V108" s="17"/>
      <c r="W108" s="17"/>
      <c r="X108" s="17"/>
      <c r="Y108" s="18"/>
      <c r="Z108" s="20"/>
      <c r="AA108" s="13"/>
      <c r="AB108" s="20"/>
      <c r="AC108" s="14" t="s">
        <v>4</v>
      </c>
      <c r="AD108" s="16" t="s">
        <v>126</v>
      </c>
      <c r="AE108" s="17"/>
      <c r="AF108" s="17"/>
      <c r="AG108" s="17"/>
      <c r="AH108" s="17"/>
      <c r="AI108" s="17"/>
      <c r="AJ108" s="17"/>
      <c r="AK108" s="17"/>
      <c r="AL108" s="18"/>
      <c r="AM108" s="20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</row>
    <row r="109" ht="12.75" customHeight="1">
      <c r="A109" s="13"/>
      <c r="B109" s="20"/>
      <c r="C109" s="20"/>
      <c r="D109" s="21"/>
      <c r="L109" s="22"/>
      <c r="M109" s="20"/>
      <c r="N109" s="13"/>
      <c r="O109" s="20"/>
      <c r="P109" s="20"/>
      <c r="Q109" s="21"/>
      <c r="Y109" s="22"/>
      <c r="Z109" s="20"/>
      <c r="AA109" s="13"/>
      <c r="AB109" s="20"/>
      <c r="AC109" s="20"/>
      <c r="AD109" s="21"/>
      <c r="AL109" s="22"/>
      <c r="AM109" s="20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</row>
    <row r="110" ht="12.75" customHeight="1">
      <c r="A110" s="13"/>
      <c r="B110" s="23"/>
      <c r="C110" s="23"/>
      <c r="D110" s="24"/>
      <c r="E110" s="25"/>
      <c r="F110" s="25"/>
      <c r="G110" s="25"/>
      <c r="H110" s="25"/>
      <c r="I110" s="25"/>
      <c r="J110" s="25"/>
      <c r="K110" s="25"/>
      <c r="L110" s="26"/>
      <c r="M110" s="23"/>
      <c r="N110" s="13"/>
      <c r="O110" s="23"/>
      <c r="P110" s="23"/>
      <c r="Q110" s="24"/>
      <c r="R110" s="25"/>
      <c r="S110" s="25"/>
      <c r="T110" s="25"/>
      <c r="U110" s="25"/>
      <c r="V110" s="25"/>
      <c r="W110" s="25"/>
      <c r="X110" s="25"/>
      <c r="Y110" s="26"/>
      <c r="Z110" s="23"/>
      <c r="AA110" s="13"/>
      <c r="AB110" s="23"/>
      <c r="AC110" s="23"/>
      <c r="AD110" s="24"/>
      <c r="AE110" s="25"/>
      <c r="AF110" s="25"/>
      <c r="AG110" s="25"/>
      <c r="AH110" s="25"/>
      <c r="AI110" s="25"/>
      <c r="AJ110" s="25"/>
      <c r="AK110" s="25"/>
      <c r="AL110" s="26"/>
      <c r="AM110" s="2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</row>
    <row r="111" ht="12.75" customHeight="1">
      <c r="A111" s="13"/>
      <c r="B111" s="14">
        <f>1+B105</f>
        <v>17</v>
      </c>
      <c r="C111" s="15" t="s">
        <v>3</v>
      </c>
      <c r="D111" s="16" t="s">
        <v>127</v>
      </c>
      <c r="E111" s="17"/>
      <c r="F111" s="17"/>
      <c r="G111" s="17"/>
      <c r="H111" s="17"/>
      <c r="I111" s="17"/>
      <c r="J111" s="17"/>
      <c r="K111" s="17"/>
      <c r="L111" s="18"/>
      <c r="M111" s="14"/>
      <c r="N111" s="13"/>
      <c r="O111" s="14">
        <f>1+O105</f>
        <v>37</v>
      </c>
      <c r="P111" s="15" t="s">
        <v>3</v>
      </c>
      <c r="Q111" s="16" t="s">
        <v>128</v>
      </c>
      <c r="R111" s="17"/>
      <c r="S111" s="17"/>
      <c r="T111" s="17"/>
      <c r="U111" s="17"/>
      <c r="V111" s="17"/>
      <c r="W111" s="17"/>
      <c r="X111" s="17"/>
      <c r="Y111" s="18"/>
      <c r="Z111" s="14"/>
      <c r="AA111" s="13"/>
      <c r="AB111" s="14">
        <f>1+AB105</f>
        <v>57</v>
      </c>
      <c r="AC111" s="15" t="s">
        <v>3</v>
      </c>
      <c r="AD111" s="16" t="s">
        <v>129</v>
      </c>
      <c r="AE111" s="17"/>
      <c r="AF111" s="17"/>
      <c r="AG111" s="17"/>
      <c r="AH111" s="17"/>
      <c r="AI111" s="17"/>
      <c r="AJ111" s="17"/>
      <c r="AK111" s="17"/>
      <c r="AL111" s="18"/>
      <c r="AM111" s="14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</row>
    <row r="112" ht="12.75" customHeight="1">
      <c r="A112" s="13"/>
      <c r="B112" s="20"/>
      <c r="C112" s="20"/>
      <c r="D112" s="21"/>
      <c r="L112" s="22"/>
      <c r="M112" s="20"/>
      <c r="N112" s="13"/>
      <c r="O112" s="20"/>
      <c r="P112" s="20"/>
      <c r="Q112" s="21"/>
      <c r="Y112" s="22"/>
      <c r="Z112" s="20"/>
      <c r="AA112" s="13"/>
      <c r="AB112" s="20"/>
      <c r="AC112" s="20"/>
      <c r="AD112" s="21"/>
      <c r="AL112" s="22"/>
      <c r="AM112" s="20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</row>
    <row r="113" ht="12.75" customHeight="1">
      <c r="A113" s="13"/>
      <c r="B113" s="20"/>
      <c r="C113" s="23"/>
      <c r="D113" s="24"/>
      <c r="E113" s="25"/>
      <c r="F113" s="25"/>
      <c r="G113" s="25"/>
      <c r="H113" s="25"/>
      <c r="I113" s="25"/>
      <c r="J113" s="25"/>
      <c r="K113" s="25"/>
      <c r="L113" s="26"/>
      <c r="M113" s="20"/>
      <c r="N113" s="13"/>
      <c r="O113" s="20"/>
      <c r="P113" s="23"/>
      <c r="Q113" s="24"/>
      <c r="R113" s="25"/>
      <c r="S113" s="25"/>
      <c r="T113" s="25"/>
      <c r="U113" s="25"/>
      <c r="V113" s="25"/>
      <c r="W113" s="25"/>
      <c r="X113" s="25"/>
      <c r="Y113" s="26"/>
      <c r="Z113" s="20"/>
      <c r="AA113" s="13"/>
      <c r="AB113" s="20"/>
      <c r="AC113" s="23"/>
      <c r="AD113" s="24"/>
      <c r="AE113" s="25"/>
      <c r="AF113" s="25"/>
      <c r="AG113" s="25"/>
      <c r="AH113" s="25"/>
      <c r="AI113" s="25"/>
      <c r="AJ113" s="25"/>
      <c r="AK113" s="25"/>
      <c r="AL113" s="26"/>
      <c r="AM113" s="20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</row>
    <row r="114" ht="12.75" customHeight="1">
      <c r="A114" s="13"/>
      <c r="B114" s="20"/>
      <c r="C114" s="14" t="s">
        <v>4</v>
      </c>
      <c r="D114" s="16" t="s">
        <v>130</v>
      </c>
      <c r="E114" s="17"/>
      <c r="F114" s="17"/>
      <c r="G114" s="17"/>
      <c r="H114" s="17"/>
      <c r="I114" s="17"/>
      <c r="J114" s="17"/>
      <c r="K114" s="17"/>
      <c r="L114" s="18"/>
      <c r="M114" s="20"/>
      <c r="N114" s="13"/>
      <c r="O114" s="20"/>
      <c r="P114" s="14" t="s">
        <v>4</v>
      </c>
      <c r="Q114" s="16" t="s">
        <v>131</v>
      </c>
      <c r="R114" s="17"/>
      <c r="S114" s="17"/>
      <c r="T114" s="17"/>
      <c r="U114" s="17"/>
      <c r="V114" s="17"/>
      <c r="W114" s="17"/>
      <c r="X114" s="17"/>
      <c r="Y114" s="18"/>
      <c r="Z114" s="20"/>
      <c r="AA114" s="13"/>
      <c r="AB114" s="20"/>
      <c r="AC114" s="14" t="s">
        <v>4</v>
      </c>
      <c r="AD114" s="16" t="s">
        <v>132</v>
      </c>
      <c r="AE114" s="17"/>
      <c r="AF114" s="17"/>
      <c r="AG114" s="17"/>
      <c r="AH114" s="17"/>
      <c r="AI114" s="17"/>
      <c r="AJ114" s="17"/>
      <c r="AK114" s="17"/>
      <c r="AL114" s="18"/>
      <c r="AM114" s="20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</row>
    <row r="115" ht="12.75" customHeight="1">
      <c r="A115" s="13"/>
      <c r="B115" s="20"/>
      <c r="C115" s="20"/>
      <c r="D115" s="21"/>
      <c r="L115" s="22"/>
      <c r="M115" s="20"/>
      <c r="N115" s="13"/>
      <c r="O115" s="20"/>
      <c r="P115" s="20"/>
      <c r="Q115" s="21"/>
      <c r="Y115" s="22"/>
      <c r="Z115" s="20"/>
      <c r="AA115" s="13"/>
      <c r="AB115" s="20"/>
      <c r="AC115" s="20"/>
      <c r="AD115" s="21"/>
      <c r="AL115" s="22"/>
      <c r="AM115" s="20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</row>
    <row r="116" ht="12.75" customHeight="1">
      <c r="A116" s="13"/>
      <c r="B116" s="23"/>
      <c r="C116" s="23"/>
      <c r="D116" s="24"/>
      <c r="E116" s="25"/>
      <c r="F116" s="25"/>
      <c r="G116" s="25"/>
      <c r="H116" s="25"/>
      <c r="I116" s="25"/>
      <c r="J116" s="25"/>
      <c r="K116" s="25"/>
      <c r="L116" s="26"/>
      <c r="M116" s="23"/>
      <c r="N116" s="13"/>
      <c r="O116" s="23"/>
      <c r="P116" s="23"/>
      <c r="Q116" s="24"/>
      <c r="R116" s="25"/>
      <c r="S116" s="25"/>
      <c r="T116" s="25"/>
      <c r="U116" s="25"/>
      <c r="V116" s="25"/>
      <c r="W116" s="25"/>
      <c r="X116" s="25"/>
      <c r="Y116" s="26"/>
      <c r="Z116" s="23"/>
      <c r="AA116" s="13"/>
      <c r="AB116" s="23"/>
      <c r="AC116" s="23"/>
      <c r="AD116" s="24"/>
      <c r="AE116" s="25"/>
      <c r="AF116" s="25"/>
      <c r="AG116" s="25"/>
      <c r="AH116" s="25"/>
      <c r="AI116" s="25"/>
      <c r="AJ116" s="25"/>
      <c r="AK116" s="25"/>
      <c r="AL116" s="26"/>
      <c r="AM116" s="2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</row>
    <row r="117" ht="12.75" customHeight="1">
      <c r="A117" s="13"/>
      <c r="B117" s="14">
        <f>1+B111</f>
        <v>18</v>
      </c>
      <c r="C117" s="15" t="s">
        <v>3</v>
      </c>
      <c r="D117" s="16" t="s">
        <v>133</v>
      </c>
      <c r="E117" s="17"/>
      <c r="F117" s="17"/>
      <c r="G117" s="17"/>
      <c r="H117" s="17"/>
      <c r="I117" s="17"/>
      <c r="J117" s="17"/>
      <c r="K117" s="17"/>
      <c r="L117" s="18"/>
      <c r="M117" s="14"/>
      <c r="N117" s="13"/>
      <c r="O117" s="14">
        <f>1+O111</f>
        <v>38</v>
      </c>
      <c r="P117" s="15" t="s">
        <v>3</v>
      </c>
      <c r="Q117" s="16" t="s">
        <v>134</v>
      </c>
      <c r="R117" s="17"/>
      <c r="S117" s="17"/>
      <c r="T117" s="17"/>
      <c r="U117" s="17"/>
      <c r="V117" s="17"/>
      <c r="W117" s="17"/>
      <c r="X117" s="17"/>
      <c r="Y117" s="18"/>
      <c r="Z117" s="14"/>
      <c r="AA117" s="13"/>
      <c r="AB117" s="14">
        <f>1+AB111</f>
        <v>58</v>
      </c>
      <c r="AC117" s="15" t="s">
        <v>3</v>
      </c>
      <c r="AD117" s="16" t="s">
        <v>135</v>
      </c>
      <c r="AE117" s="17"/>
      <c r="AF117" s="17"/>
      <c r="AG117" s="17"/>
      <c r="AH117" s="17"/>
      <c r="AI117" s="17"/>
      <c r="AJ117" s="17"/>
      <c r="AK117" s="17"/>
      <c r="AL117" s="18"/>
      <c r="AM117" s="14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</row>
    <row r="118" ht="12.75" customHeight="1">
      <c r="A118" s="13"/>
      <c r="B118" s="20"/>
      <c r="C118" s="20"/>
      <c r="D118" s="21"/>
      <c r="L118" s="22"/>
      <c r="M118" s="20"/>
      <c r="N118" s="13"/>
      <c r="O118" s="20"/>
      <c r="P118" s="20"/>
      <c r="Q118" s="21"/>
      <c r="Y118" s="22"/>
      <c r="Z118" s="20"/>
      <c r="AA118" s="13"/>
      <c r="AB118" s="20"/>
      <c r="AC118" s="20"/>
      <c r="AD118" s="21"/>
      <c r="AL118" s="22"/>
      <c r="AM118" s="20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</row>
    <row r="119" ht="12.75" customHeight="1">
      <c r="A119" s="13"/>
      <c r="B119" s="20"/>
      <c r="C119" s="23"/>
      <c r="D119" s="24"/>
      <c r="E119" s="25"/>
      <c r="F119" s="25"/>
      <c r="G119" s="25"/>
      <c r="H119" s="25"/>
      <c r="I119" s="25"/>
      <c r="J119" s="25"/>
      <c r="K119" s="25"/>
      <c r="L119" s="26"/>
      <c r="M119" s="20"/>
      <c r="N119" s="13"/>
      <c r="O119" s="20"/>
      <c r="P119" s="23"/>
      <c r="Q119" s="24"/>
      <c r="R119" s="25"/>
      <c r="S119" s="25"/>
      <c r="T119" s="25"/>
      <c r="U119" s="25"/>
      <c r="V119" s="25"/>
      <c r="W119" s="25"/>
      <c r="X119" s="25"/>
      <c r="Y119" s="26"/>
      <c r="Z119" s="20"/>
      <c r="AA119" s="13"/>
      <c r="AB119" s="20"/>
      <c r="AC119" s="23"/>
      <c r="AD119" s="24"/>
      <c r="AE119" s="25"/>
      <c r="AF119" s="25"/>
      <c r="AG119" s="25"/>
      <c r="AH119" s="25"/>
      <c r="AI119" s="25"/>
      <c r="AJ119" s="25"/>
      <c r="AK119" s="25"/>
      <c r="AL119" s="26"/>
      <c r="AM119" s="20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</row>
    <row r="120" ht="12.75" customHeight="1">
      <c r="A120" s="13"/>
      <c r="B120" s="20"/>
      <c r="C120" s="14" t="s">
        <v>4</v>
      </c>
      <c r="D120" s="16" t="s">
        <v>136</v>
      </c>
      <c r="E120" s="17"/>
      <c r="F120" s="17"/>
      <c r="G120" s="17"/>
      <c r="H120" s="17"/>
      <c r="I120" s="17"/>
      <c r="J120" s="17"/>
      <c r="K120" s="17"/>
      <c r="L120" s="18"/>
      <c r="M120" s="20"/>
      <c r="N120" s="13"/>
      <c r="O120" s="20"/>
      <c r="P120" s="14" t="s">
        <v>4</v>
      </c>
      <c r="Q120" s="16" t="s">
        <v>137</v>
      </c>
      <c r="R120" s="17"/>
      <c r="S120" s="17"/>
      <c r="T120" s="17"/>
      <c r="U120" s="17"/>
      <c r="V120" s="17"/>
      <c r="W120" s="17"/>
      <c r="X120" s="17"/>
      <c r="Y120" s="18"/>
      <c r="Z120" s="20"/>
      <c r="AA120" s="13"/>
      <c r="AB120" s="20"/>
      <c r="AC120" s="14" t="s">
        <v>4</v>
      </c>
      <c r="AD120" s="16" t="s">
        <v>138</v>
      </c>
      <c r="AE120" s="17"/>
      <c r="AF120" s="17"/>
      <c r="AG120" s="17"/>
      <c r="AH120" s="17"/>
      <c r="AI120" s="17"/>
      <c r="AJ120" s="17"/>
      <c r="AK120" s="17"/>
      <c r="AL120" s="18"/>
      <c r="AM120" s="20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</row>
    <row r="121" ht="12.75" customHeight="1">
      <c r="A121" s="13"/>
      <c r="B121" s="20"/>
      <c r="C121" s="20"/>
      <c r="D121" s="21"/>
      <c r="L121" s="22"/>
      <c r="M121" s="20"/>
      <c r="N121" s="13"/>
      <c r="O121" s="20"/>
      <c r="P121" s="20"/>
      <c r="Q121" s="21"/>
      <c r="Y121" s="22"/>
      <c r="Z121" s="20"/>
      <c r="AA121" s="13"/>
      <c r="AB121" s="20"/>
      <c r="AC121" s="20"/>
      <c r="AD121" s="21"/>
      <c r="AL121" s="22"/>
      <c r="AM121" s="20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</row>
    <row r="122" ht="12.75" customHeight="1">
      <c r="A122" s="13"/>
      <c r="B122" s="23"/>
      <c r="C122" s="23"/>
      <c r="D122" s="24"/>
      <c r="E122" s="25"/>
      <c r="F122" s="25"/>
      <c r="G122" s="25"/>
      <c r="H122" s="25"/>
      <c r="I122" s="25"/>
      <c r="J122" s="25"/>
      <c r="K122" s="25"/>
      <c r="L122" s="26"/>
      <c r="M122" s="23"/>
      <c r="N122" s="13"/>
      <c r="O122" s="23"/>
      <c r="P122" s="23"/>
      <c r="Q122" s="24"/>
      <c r="R122" s="25"/>
      <c r="S122" s="25"/>
      <c r="T122" s="25"/>
      <c r="U122" s="25"/>
      <c r="V122" s="25"/>
      <c r="W122" s="25"/>
      <c r="X122" s="25"/>
      <c r="Y122" s="26"/>
      <c r="Z122" s="23"/>
      <c r="AA122" s="13"/>
      <c r="AB122" s="23"/>
      <c r="AC122" s="23"/>
      <c r="AD122" s="24"/>
      <c r="AE122" s="25"/>
      <c r="AF122" s="25"/>
      <c r="AG122" s="25"/>
      <c r="AH122" s="25"/>
      <c r="AI122" s="25"/>
      <c r="AJ122" s="25"/>
      <c r="AK122" s="25"/>
      <c r="AL122" s="26"/>
      <c r="AM122" s="2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</row>
    <row r="123" ht="12.75" customHeight="1">
      <c r="A123" s="13"/>
      <c r="B123" s="14">
        <f>1+B117</f>
        <v>19</v>
      </c>
      <c r="C123" s="15" t="s">
        <v>3</v>
      </c>
      <c r="D123" s="16" t="s">
        <v>139</v>
      </c>
      <c r="E123" s="17"/>
      <c r="F123" s="17"/>
      <c r="G123" s="17"/>
      <c r="H123" s="17"/>
      <c r="I123" s="17"/>
      <c r="J123" s="17"/>
      <c r="K123" s="17"/>
      <c r="L123" s="18"/>
      <c r="M123" s="14"/>
      <c r="N123" s="13"/>
      <c r="O123" s="14">
        <f>1+O117</f>
        <v>39</v>
      </c>
      <c r="P123" s="15" t="s">
        <v>3</v>
      </c>
      <c r="Q123" s="16" t="s">
        <v>140</v>
      </c>
      <c r="R123" s="17"/>
      <c r="S123" s="17"/>
      <c r="T123" s="17"/>
      <c r="U123" s="17"/>
      <c r="V123" s="17"/>
      <c r="W123" s="17"/>
      <c r="X123" s="17"/>
      <c r="Y123" s="18"/>
      <c r="Z123" s="14"/>
      <c r="AA123" s="13"/>
      <c r="AB123" s="14">
        <f>1+AB117</f>
        <v>59</v>
      </c>
      <c r="AC123" s="15" t="s">
        <v>3</v>
      </c>
      <c r="AD123" s="16" t="s">
        <v>141</v>
      </c>
      <c r="AE123" s="17"/>
      <c r="AF123" s="17"/>
      <c r="AG123" s="17"/>
      <c r="AH123" s="17"/>
      <c r="AI123" s="17"/>
      <c r="AJ123" s="17"/>
      <c r="AK123" s="17"/>
      <c r="AL123" s="18"/>
      <c r="AM123" s="14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</row>
    <row r="124" ht="12.75" customHeight="1">
      <c r="A124" s="13"/>
      <c r="B124" s="20"/>
      <c r="C124" s="20"/>
      <c r="D124" s="21"/>
      <c r="L124" s="22"/>
      <c r="M124" s="20"/>
      <c r="N124" s="13"/>
      <c r="O124" s="20"/>
      <c r="P124" s="20"/>
      <c r="Q124" s="21"/>
      <c r="Y124" s="22"/>
      <c r="Z124" s="20"/>
      <c r="AA124" s="13"/>
      <c r="AB124" s="20"/>
      <c r="AC124" s="20"/>
      <c r="AD124" s="21"/>
      <c r="AL124" s="22"/>
      <c r="AM124" s="20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</row>
    <row r="125" ht="12.75" customHeight="1">
      <c r="A125" s="13"/>
      <c r="B125" s="20"/>
      <c r="C125" s="23"/>
      <c r="D125" s="24"/>
      <c r="E125" s="25"/>
      <c r="F125" s="25"/>
      <c r="G125" s="25"/>
      <c r="H125" s="25"/>
      <c r="I125" s="25"/>
      <c r="J125" s="25"/>
      <c r="K125" s="25"/>
      <c r="L125" s="26"/>
      <c r="M125" s="20"/>
      <c r="N125" s="13"/>
      <c r="O125" s="20"/>
      <c r="P125" s="23"/>
      <c r="Q125" s="24"/>
      <c r="R125" s="25"/>
      <c r="S125" s="25"/>
      <c r="T125" s="25"/>
      <c r="U125" s="25"/>
      <c r="V125" s="25"/>
      <c r="W125" s="25"/>
      <c r="X125" s="25"/>
      <c r="Y125" s="26"/>
      <c r="Z125" s="20"/>
      <c r="AA125" s="13"/>
      <c r="AB125" s="20"/>
      <c r="AC125" s="23"/>
      <c r="AD125" s="24"/>
      <c r="AE125" s="25"/>
      <c r="AF125" s="25"/>
      <c r="AG125" s="25"/>
      <c r="AH125" s="25"/>
      <c r="AI125" s="25"/>
      <c r="AJ125" s="25"/>
      <c r="AK125" s="25"/>
      <c r="AL125" s="26"/>
      <c r="AM125" s="20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</row>
    <row r="126" ht="12.75" customHeight="1">
      <c r="A126" s="13"/>
      <c r="B126" s="20"/>
      <c r="C126" s="14" t="s">
        <v>4</v>
      </c>
      <c r="D126" s="16" t="s">
        <v>142</v>
      </c>
      <c r="E126" s="17"/>
      <c r="F126" s="17"/>
      <c r="G126" s="17"/>
      <c r="H126" s="17"/>
      <c r="I126" s="17"/>
      <c r="J126" s="17"/>
      <c r="K126" s="17"/>
      <c r="L126" s="18"/>
      <c r="M126" s="20"/>
      <c r="N126" s="13"/>
      <c r="O126" s="20"/>
      <c r="P126" s="14" t="s">
        <v>4</v>
      </c>
      <c r="Q126" s="16" t="s">
        <v>143</v>
      </c>
      <c r="R126" s="17"/>
      <c r="S126" s="17"/>
      <c r="T126" s="17"/>
      <c r="U126" s="17"/>
      <c r="V126" s="17"/>
      <c r="W126" s="17"/>
      <c r="X126" s="17"/>
      <c r="Y126" s="18"/>
      <c r="Z126" s="20"/>
      <c r="AA126" s="13"/>
      <c r="AB126" s="20"/>
      <c r="AC126" s="14" t="s">
        <v>4</v>
      </c>
      <c r="AD126" s="16" t="s">
        <v>144</v>
      </c>
      <c r="AE126" s="17"/>
      <c r="AF126" s="17"/>
      <c r="AG126" s="17"/>
      <c r="AH126" s="17"/>
      <c r="AI126" s="17"/>
      <c r="AJ126" s="17"/>
      <c r="AK126" s="17"/>
      <c r="AL126" s="18"/>
      <c r="AM126" s="20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</row>
    <row r="127" ht="12.75" customHeight="1">
      <c r="A127" s="13"/>
      <c r="B127" s="20"/>
      <c r="C127" s="20"/>
      <c r="D127" s="21"/>
      <c r="L127" s="22"/>
      <c r="M127" s="20"/>
      <c r="N127" s="13"/>
      <c r="O127" s="20"/>
      <c r="P127" s="20"/>
      <c r="Q127" s="21"/>
      <c r="Y127" s="22"/>
      <c r="Z127" s="20"/>
      <c r="AA127" s="13"/>
      <c r="AB127" s="20"/>
      <c r="AC127" s="20"/>
      <c r="AD127" s="21"/>
      <c r="AL127" s="22"/>
      <c r="AM127" s="20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</row>
    <row r="128" ht="12.75" customHeight="1">
      <c r="A128" s="13"/>
      <c r="B128" s="23"/>
      <c r="C128" s="23"/>
      <c r="D128" s="24"/>
      <c r="E128" s="25"/>
      <c r="F128" s="25"/>
      <c r="G128" s="25"/>
      <c r="H128" s="25"/>
      <c r="I128" s="25"/>
      <c r="J128" s="25"/>
      <c r="K128" s="25"/>
      <c r="L128" s="26"/>
      <c r="M128" s="23"/>
      <c r="N128" s="13"/>
      <c r="O128" s="23"/>
      <c r="P128" s="23"/>
      <c r="Q128" s="24"/>
      <c r="R128" s="25"/>
      <c r="S128" s="25"/>
      <c r="T128" s="25"/>
      <c r="U128" s="25"/>
      <c r="V128" s="25"/>
      <c r="W128" s="25"/>
      <c r="X128" s="25"/>
      <c r="Y128" s="26"/>
      <c r="Z128" s="23"/>
      <c r="AA128" s="13"/>
      <c r="AB128" s="23"/>
      <c r="AC128" s="23"/>
      <c r="AD128" s="24"/>
      <c r="AE128" s="25"/>
      <c r="AF128" s="25"/>
      <c r="AG128" s="25"/>
      <c r="AH128" s="25"/>
      <c r="AI128" s="25"/>
      <c r="AJ128" s="25"/>
      <c r="AK128" s="25"/>
      <c r="AL128" s="26"/>
      <c r="AM128" s="2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</row>
    <row r="129" ht="12.75" customHeight="1">
      <c r="A129" s="13"/>
      <c r="B129" s="14">
        <f>1+B123</f>
        <v>20</v>
      </c>
      <c r="C129" s="15" t="s">
        <v>3</v>
      </c>
      <c r="D129" s="16" t="s">
        <v>145</v>
      </c>
      <c r="E129" s="17"/>
      <c r="F129" s="17"/>
      <c r="G129" s="17"/>
      <c r="H129" s="17"/>
      <c r="I129" s="17"/>
      <c r="J129" s="17"/>
      <c r="K129" s="17"/>
      <c r="L129" s="18"/>
      <c r="M129" s="14"/>
      <c r="N129" s="13"/>
      <c r="O129" s="14">
        <f>1+O123</f>
        <v>40</v>
      </c>
      <c r="P129" s="15" t="s">
        <v>3</v>
      </c>
      <c r="Q129" s="16" t="s">
        <v>146</v>
      </c>
      <c r="R129" s="17"/>
      <c r="S129" s="17"/>
      <c r="T129" s="17"/>
      <c r="U129" s="17"/>
      <c r="V129" s="17"/>
      <c r="W129" s="17"/>
      <c r="X129" s="17"/>
      <c r="Y129" s="18"/>
      <c r="Z129" s="14"/>
      <c r="AA129" s="13"/>
      <c r="AB129" s="14">
        <f>1+AB123</f>
        <v>60</v>
      </c>
      <c r="AC129" s="15" t="s">
        <v>3</v>
      </c>
      <c r="AD129" s="16" t="s">
        <v>147</v>
      </c>
      <c r="AE129" s="17"/>
      <c r="AF129" s="17"/>
      <c r="AG129" s="17"/>
      <c r="AH129" s="17"/>
      <c r="AI129" s="17"/>
      <c r="AJ129" s="17"/>
      <c r="AK129" s="17"/>
      <c r="AL129" s="18"/>
      <c r="AM129" s="14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</row>
    <row r="130" ht="12.75" customHeight="1">
      <c r="A130" s="13"/>
      <c r="B130" s="20"/>
      <c r="C130" s="20"/>
      <c r="D130" s="21"/>
      <c r="L130" s="22"/>
      <c r="M130" s="20"/>
      <c r="N130" s="13"/>
      <c r="O130" s="20"/>
      <c r="P130" s="20"/>
      <c r="Q130" s="21"/>
      <c r="Y130" s="22"/>
      <c r="Z130" s="20"/>
      <c r="AA130" s="13"/>
      <c r="AB130" s="20"/>
      <c r="AC130" s="20"/>
      <c r="AD130" s="21"/>
      <c r="AL130" s="22"/>
      <c r="AM130" s="20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</row>
    <row r="131" ht="12.75" customHeight="1">
      <c r="A131" s="13"/>
      <c r="B131" s="20"/>
      <c r="C131" s="23"/>
      <c r="D131" s="24"/>
      <c r="E131" s="25"/>
      <c r="F131" s="25"/>
      <c r="G131" s="25"/>
      <c r="H131" s="25"/>
      <c r="I131" s="25"/>
      <c r="J131" s="25"/>
      <c r="K131" s="25"/>
      <c r="L131" s="26"/>
      <c r="M131" s="20"/>
      <c r="N131" s="13"/>
      <c r="O131" s="20"/>
      <c r="P131" s="23"/>
      <c r="Q131" s="24"/>
      <c r="R131" s="25"/>
      <c r="S131" s="25"/>
      <c r="T131" s="25"/>
      <c r="U131" s="25"/>
      <c r="V131" s="25"/>
      <c r="W131" s="25"/>
      <c r="X131" s="25"/>
      <c r="Y131" s="26"/>
      <c r="Z131" s="20"/>
      <c r="AA131" s="13"/>
      <c r="AB131" s="20"/>
      <c r="AC131" s="23"/>
      <c r="AD131" s="24"/>
      <c r="AE131" s="25"/>
      <c r="AF131" s="25"/>
      <c r="AG131" s="25"/>
      <c r="AH131" s="25"/>
      <c r="AI131" s="25"/>
      <c r="AJ131" s="25"/>
      <c r="AK131" s="25"/>
      <c r="AL131" s="26"/>
      <c r="AM131" s="20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</row>
    <row r="132" ht="12.75" customHeight="1">
      <c r="A132" s="13"/>
      <c r="B132" s="20"/>
      <c r="C132" s="14" t="s">
        <v>4</v>
      </c>
      <c r="D132" s="16" t="s">
        <v>148</v>
      </c>
      <c r="E132" s="17"/>
      <c r="F132" s="17"/>
      <c r="G132" s="17"/>
      <c r="H132" s="17"/>
      <c r="I132" s="17"/>
      <c r="J132" s="17"/>
      <c r="K132" s="17"/>
      <c r="L132" s="18"/>
      <c r="M132" s="20"/>
      <c r="N132" s="13"/>
      <c r="O132" s="20"/>
      <c r="P132" s="14" t="s">
        <v>4</v>
      </c>
      <c r="Q132" s="16" t="s">
        <v>149</v>
      </c>
      <c r="R132" s="17"/>
      <c r="S132" s="17"/>
      <c r="T132" s="17"/>
      <c r="U132" s="17"/>
      <c r="V132" s="17"/>
      <c r="W132" s="17"/>
      <c r="X132" s="17"/>
      <c r="Y132" s="18"/>
      <c r="Z132" s="20"/>
      <c r="AA132" s="13"/>
      <c r="AB132" s="20"/>
      <c r="AC132" s="14" t="s">
        <v>4</v>
      </c>
      <c r="AD132" s="16" t="s">
        <v>150</v>
      </c>
      <c r="AE132" s="17"/>
      <c r="AF132" s="17"/>
      <c r="AG132" s="17"/>
      <c r="AH132" s="17"/>
      <c r="AI132" s="17"/>
      <c r="AJ132" s="17"/>
      <c r="AK132" s="17"/>
      <c r="AL132" s="18"/>
      <c r="AM132" s="20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</row>
    <row r="133" ht="12.75" customHeight="1">
      <c r="A133" s="13"/>
      <c r="B133" s="20"/>
      <c r="C133" s="20"/>
      <c r="D133" s="21"/>
      <c r="L133" s="22"/>
      <c r="M133" s="20"/>
      <c r="N133" s="13"/>
      <c r="O133" s="20"/>
      <c r="P133" s="20"/>
      <c r="Q133" s="21"/>
      <c r="Y133" s="22"/>
      <c r="Z133" s="20"/>
      <c r="AA133" s="13"/>
      <c r="AB133" s="20"/>
      <c r="AC133" s="20"/>
      <c r="AD133" s="21"/>
      <c r="AL133" s="22"/>
      <c r="AM133" s="20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</row>
    <row r="134" ht="12.75" customHeight="1">
      <c r="A134" s="13"/>
      <c r="B134" s="23"/>
      <c r="C134" s="23"/>
      <c r="D134" s="24"/>
      <c r="E134" s="25"/>
      <c r="F134" s="25"/>
      <c r="G134" s="25"/>
      <c r="H134" s="25"/>
      <c r="I134" s="25"/>
      <c r="J134" s="25"/>
      <c r="K134" s="25"/>
      <c r="L134" s="26"/>
      <c r="M134" s="23"/>
      <c r="N134" s="13"/>
      <c r="O134" s="23"/>
      <c r="P134" s="23"/>
      <c r="Q134" s="24"/>
      <c r="R134" s="25"/>
      <c r="S134" s="25"/>
      <c r="T134" s="25"/>
      <c r="U134" s="25"/>
      <c r="V134" s="25"/>
      <c r="W134" s="25"/>
      <c r="X134" s="25"/>
      <c r="Y134" s="26"/>
      <c r="Z134" s="23"/>
      <c r="AA134" s="13"/>
      <c r="AB134" s="23"/>
      <c r="AC134" s="23"/>
      <c r="AD134" s="24"/>
      <c r="AE134" s="25"/>
      <c r="AF134" s="25"/>
      <c r="AG134" s="25"/>
      <c r="AH134" s="25"/>
      <c r="AI134" s="25"/>
      <c r="AJ134" s="25"/>
      <c r="AK134" s="25"/>
      <c r="AL134" s="26"/>
      <c r="AM134" s="2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</row>
    <row r="932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</row>
    <row r="933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</row>
    <row r="934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</row>
    <row r="935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</row>
    <row r="936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</row>
    <row r="937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</row>
    <row r="938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</row>
    <row r="939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</row>
    <row r="940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</row>
    <row r="941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</row>
    <row r="942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</row>
    <row r="943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</row>
    <row r="944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</row>
    <row r="945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</row>
    <row r="946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</row>
    <row r="947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</row>
    <row r="948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</row>
    <row r="949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</row>
    <row r="950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</row>
    <row r="951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</row>
    <row r="952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</row>
    <row r="953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</row>
    <row r="954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</row>
    <row r="955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</row>
    <row r="956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</row>
    <row r="957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</row>
    <row r="958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</row>
    <row r="959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</row>
    <row r="960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</row>
    <row r="961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</row>
    <row r="962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</row>
    <row r="963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</row>
    <row r="964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</row>
    <row r="965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</row>
    <row r="966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</row>
    <row r="967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</row>
    <row r="968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</row>
    <row r="969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</row>
    <row r="970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</row>
    <row r="971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</row>
    <row r="972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</row>
    <row r="973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</row>
    <row r="974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</row>
    <row r="975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</row>
    <row r="976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</row>
    <row r="977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</row>
    <row r="978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</row>
    <row r="979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</row>
    <row r="980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</row>
    <row r="981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</row>
    <row r="982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</row>
    <row r="983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</row>
    <row r="984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</row>
    <row r="985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</row>
    <row r="986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</row>
    <row r="987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</row>
    <row r="988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</row>
    <row r="989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</row>
    <row r="990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</row>
    <row r="991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</row>
    <row r="992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</row>
    <row r="993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</row>
    <row r="994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</row>
    <row r="995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</row>
    <row r="996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</row>
    <row r="997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</row>
    <row r="998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</row>
    <row r="999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</row>
    <row r="1000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</row>
  </sheetData>
  <mergeCells count="384">
    <mergeCell ref="Z15:Z20"/>
    <mergeCell ref="AB15:AB20"/>
    <mergeCell ref="AC15:AC17"/>
    <mergeCell ref="AD15:AL17"/>
    <mergeCell ref="AM15:AM20"/>
    <mergeCell ref="AO15:AO20"/>
    <mergeCell ref="AP15:AP17"/>
    <mergeCell ref="AP18:AP20"/>
    <mergeCell ref="AC18:AC20"/>
    <mergeCell ref="AD18:AL20"/>
    <mergeCell ref="AD21:AL23"/>
    <mergeCell ref="AM21:AM26"/>
    <mergeCell ref="AO21:AO26"/>
    <mergeCell ref="AP21:AP23"/>
    <mergeCell ref="AP24:AP26"/>
    <mergeCell ref="AQ27:AY29"/>
    <mergeCell ref="AQ30:AY32"/>
    <mergeCell ref="AQ33:AY35"/>
    <mergeCell ref="AZ33:AZ38"/>
    <mergeCell ref="AQ36:AY38"/>
    <mergeCell ref="AQ15:AY17"/>
    <mergeCell ref="AZ15:AZ20"/>
    <mergeCell ref="AQ18:AY20"/>
    <mergeCell ref="AQ21:AY23"/>
    <mergeCell ref="AZ21:AZ26"/>
    <mergeCell ref="AQ24:AY26"/>
    <mergeCell ref="AZ27:AZ32"/>
    <mergeCell ref="AC45:AC47"/>
    <mergeCell ref="AC48:AC50"/>
    <mergeCell ref="AC51:AC53"/>
    <mergeCell ref="AC54:AC56"/>
    <mergeCell ref="AC57:AC59"/>
    <mergeCell ref="AC60:AC62"/>
    <mergeCell ref="AC63:AC65"/>
    <mergeCell ref="AC66:AC68"/>
    <mergeCell ref="AC21:AC23"/>
    <mergeCell ref="AC24:AC26"/>
    <mergeCell ref="AB27:AB32"/>
    <mergeCell ref="AC27:AC29"/>
    <mergeCell ref="AC30:AC32"/>
    <mergeCell ref="AC33:AC35"/>
    <mergeCell ref="AC36:AC38"/>
    <mergeCell ref="Z57:Z62"/>
    <mergeCell ref="Z63:Z68"/>
    <mergeCell ref="AB33:AB38"/>
    <mergeCell ref="AB39:AB44"/>
    <mergeCell ref="Z45:Z50"/>
    <mergeCell ref="AB45:AB50"/>
    <mergeCell ref="Z51:Z56"/>
    <mergeCell ref="AB51:AB56"/>
    <mergeCell ref="AB57:AB62"/>
    <mergeCell ref="AB63:AB68"/>
    <mergeCell ref="P45:P47"/>
    <mergeCell ref="P48:P50"/>
    <mergeCell ref="O33:O38"/>
    <mergeCell ref="P33:P35"/>
    <mergeCell ref="P36:P38"/>
    <mergeCell ref="O39:O44"/>
    <mergeCell ref="P39:P41"/>
    <mergeCell ref="P42:P44"/>
    <mergeCell ref="O45:O50"/>
    <mergeCell ref="C54:C56"/>
    <mergeCell ref="C57:C59"/>
    <mergeCell ref="C132:C134"/>
    <mergeCell ref="B69:B74"/>
    <mergeCell ref="C69:C71"/>
    <mergeCell ref="D132:L134"/>
    <mergeCell ref="B39:B44"/>
    <mergeCell ref="B45:B50"/>
    <mergeCell ref="C45:C47"/>
    <mergeCell ref="C48:C50"/>
    <mergeCell ref="B51:B56"/>
    <mergeCell ref="C51:C53"/>
    <mergeCell ref="C60:C62"/>
    <mergeCell ref="P63:P65"/>
    <mergeCell ref="P66:P68"/>
    <mergeCell ref="P132:P134"/>
    <mergeCell ref="O51:O56"/>
    <mergeCell ref="P51:P53"/>
    <mergeCell ref="P54:P56"/>
    <mergeCell ref="O57:O62"/>
    <mergeCell ref="P57:P59"/>
    <mergeCell ref="P60:P62"/>
    <mergeCell ref="O63:O68"/>
    <mergeCell ref="AD96:AL98"/>
    <mergeCell ref="AD99:AL101"/>
    <mergeCell ref="AD102:AL104"/>
    <mergeCell ref="AD105:AL107"/>
    <mergeCell ref="AD108:AL110"/>
    <mergeCell ref="AD111:AL113"/>
    <mergeCell ref="AD114:AL116"/>
    <mergeCell ref="AD129:AL131"/>
    <mergeCell ref="Q132:Y134"/>
    <mergeCell ref="AC132:AC134"/>
    <mergeCell ref="AD132:AL134"/>
    <mergeCell ref="AD117:AL119"/>
    <mergeCell ref="AD120:AL122"/>
    <mergeCell ref="AD123:AL125"/>
    <mergeCell ref="AM123:AM128"/>
    <mergeCell ref="AC126:AC128"/>
    <mergeCell ref="AD126:AL128"/>
    <mergeCell ref="AM129:AM134"/>
    <mergeCell ref="AD24:AL26"/>
    <mergeCell ref="AD27:AL29"/>
    <mergeCell ref="AO27:AO32"/>
    <mergeCell ref="AP27:AP29"/>
    <mergeCell ref="AD30:AL32"/>
    <mergeCell ref="AP30:AP32"/>
    <mergeCell ref="AP33:AP35"/>
    <mergeCell ref="AD33:AL35"/>
    <mergeCell ref="AD36:AL38"/>
    <mergeCell ref="AD39:AL41"/>
    <mergeCell ref="AD42:AL44"/>
    <mergeCell ref="AD45:AL47"/>
    <mergeCell ref="AD48:AL50"/>
    <mergeCell ref="AD51:AL53"/>
    <mergeCell ref="AM27:AM32"/>
    <mergeCell ref="AM33:AM38"/>
    <mergeCell ref="AO33:AO38"/>
    <mergeCell ref="AP36:AP38"/>
    <mergeCell ref="AM39:AM44"/>
    <mergeCell ref="AM45:AM50"/>
    <mergeCell ref="AM51:AM56"/>
    <mergeCell ref="AD54:AL56"/>
    <mergeCell ref="AD57:AL59"/>
    <mergeCell ref="AD60:AL62"/>
    <mergeCell ref="AD63:AL65"/>
    <mergeCell ref="AD66:AL68"/>
    <mergeCell ref="AD69:AL71"/>
    <mergeCell ref="AD72:AL74"/>
    <mergeCell ref="AD75:AL77"/>
    <mergeCell ref="AD78:AL80"/>
    <mergeCell ref="AD81:AL83"/>
    <mergeCell ref="AD84:AL86"/>
    <mergeCell ref="AD87:AL89"/>
    <mergeCell ref="AD90:AL92"/>
    <mergeCell ref="AD93:AL95"/>
    <mergeCell ref="AM99:AM104"/>
    <mergeCell ref="AM105:AM110"/>
    <mergeCell ref="AM111:AM116"/>
    <mergeCell ref="AM117:AM122"/>
    <mergeCell ref="AM57:AM62"/>
    <mergeCell ref="AM63:AM68"/>
    <mergeCell ref="AM69:AM74"/>
    <mergeCell ref="AM75:AM80"/>
    <mergeCell ref="AM81:AM86"/>
    <mergeCell ref="AM87:AM92"/>
    <mergeCell ref="AM93:AM98"/>
    <mergeCell ref="Q81:Y83"/>
    <mergeCell ref="Q84:Y86"/>
    <mergeCell ref="Q87:Y89"/>
    <mergeCell ref="Z87:Z92"/>
    <mergeCell ref="Q90:Y92"/>
    <mergeCell ref="Q93:Y95"/>
    <mergeCell ref="Z93:Z98"/>
    <mergeCell ref="Q96:Y98"/>
    <mergeCell ref="Q99:Y101"/>
    <mergeCell ref="Z99:Z104"/>
    <mergeCell ref="Q102:Y104"/>
    <mergeCell ref="Q105:Y107"/>
    <mergeCell ref="Q108:Y110"/>
    <mergeCell ref="Q111:Y113"/>
    <mergeCell ref="Q30:Y32"/>
    <mergeCell ref="Q33:Y35"/>
    <mergeCell ref="Q36:Y38"/>
    <mergeCell ref="Q39:Y41"/>
    <mergeCell ref="Q42:Y44"/>
    <mergeCell ref="Q45:Y47"/>
    <mergeCell ref="Q48:Y50"/>
    <mergeCell ref="Q51:Y53"/>
    <mergeCell ref="Q54:Y56"/>
    <mergeCell ref="Q57:Y59"/>
    <mergeCell ref="Q60:Y62"/>
    <mergeCell ref="Q63:Y65"/>
    <mergeCell ref="Q66:Y68"/>
    <mergeCell ref="Q69:Y71"/>
    <mergeCell ref="Q75:Y77"/>
    <mergeCell ref="Z75:Z80"/>
    <mergeCell ref="AC75:AC77"/>
    <mergeCell ref="Q78:Y80"/>
    <mergeCell ref="AC78:AC80"/>
    <mergeCell ref="Z81:Z86"/>
    <mergeCell ref="AC81:AC83"/>
    <mergeCell ref="AC84:AC86"/>
    <mergeCell ref="AB93:AB98"/>
    <mergeCell ref="AB99:AB104"/>
    <mergeCell ref="AB105:AB110"/>
    <mergeCell ref="AB111:AB116"/>
    <mergeCell ref="AB117:AB122"/>
    <mergeCell ref="AB123:AB128"/>
    <mergeCell ref="AB75:AB80"/>
    <mergeCell ref="AB81:AB86"/>
    <mergeCell ref="AB87:AB92"/>
    <mergeCell ref="AC87:AC89"/>
    <mergeCell ref="AC90:AC92"/>
    <mergeCell ref="AC93:AC95"/>
    <mergeCell ref="AC96:AC98"/>
    <mergeCell ref="AC120:AC122"/>
    <mergeCell ref="AC123:AC125"/>
    <mergeCell ref="AC99:AC101"/>
    <mergeCell ref="AC102:AC104"/>
    <mergeCell ref="AC105:AC107"/>
    <mergeCell ref="AC108:AC110"/>
    <mergeCell ref="AC111:AC113"/>
    <mergeCell ref="AC114:AC116"/>
    <mergeCell ref="AC117:AC119"/>
    <mergeCell ref="B15:B20"/>
    <mergeCell ref="C15:C17"/>
    <mergeCell ref="D15:L17"/>
    <mergeCell ref="M15:M20"/>
    <mergeCell ref="O15:O20"/>
    <mergeCell ref="P15:P17"/>
    <mergeCell ref="Q15:Y17"/>
    <mergeCell ref="Z21:Z26"/>
    <mergeCell ref="Z27:Z32"/>
    <mergeCell ref="Z33:Z38"/>
    <mergeCell ref="Z39:Z44"/>
    <mergeCell ref="Z69:Z74"/>
    <mergeCell ref="O27:O32"/>
    <mergeCell ref="P30:P32"/>
    <mergeCell ref="C21:C23"/>
    <mergeCell ref="C24:C26"/>
    <mergeCell ref="B27:B32"/>
    <mergeCell ref="C27:C29"/>
    <mergeCell ref="M27:M32"/>
    <mergeCell ref="C30:C32"/>
    <mergeCell ref="D30:L32"/>
    <mergeCell ref="P18:P20"/>
    <mergeCell ref="Q18:Y20"/>
    <mergeCell ref="Q21:Y23"/>
    <mergeCell ref="AB21:AB26"/>
    <mergeCell ref="P24:P26"/>
    <mergeCell ref="Q24:Y26"/>
    <mergeCell ref="Q27:Y29"/>
    <mergeCell ref="AC39:AC41"/>
    <mergeCell ref="AC42:AC44"/>
    <mergeCell ref="AB69:AB74"/>
    <mergeCell ref="AC69:AC71"/>
    <mergeCell ref="AC72:AC74"/>
    <mergeCell ref="C72:C74"/>
    <mergeCell ref="D72:L74"/>
    <mergeCell ref="Q72:Y74"/>
    <mergeCell ref="C78:C80"/>
    <mergeCell ref="C81:C83"/>
    <mergeCell ref="B57:B62"/>
    <mergeCell ref="B63:B68"/>
    <mergeCell ref="C63:C65"/>
    <mergeCell ref="C66:C68"/>
    <mergeCell ref="B75:B80"/>
    <mergeCell ref="C75:C77"/>
    <mergeCell ref="C84:C86"/>
    <mergeCell ref="C108:C110"/>
    <mergeCell ref="C111:C113"/>
    <mergeCell ref="C114:C116"/>
    <mergeCell ref="C117:C119"/>
    <mergeCell ref="C120:C122"/>
    <mergeCell ref="C123:C125"/>
    <mergeCell ref="C126:C128"/>
    <mergeCell ref="C129:C131"/>
    <mergeCell ref="C87:C89"/>
    <mergeCell ref="C90:C92"/>
    <mergeCell ref="C93:C95"/>
    <mergeCell ref="C96:C98"/>
    <mergeCell ref="C99:C101"/>
    <mergeCell ref="C102:C104"/>
    <mergeCell ref="C105:C107"/>
    <mergeCell ref="B123:B128"/>
    <mergeCell ref="B129:B134"/>
    <mergeCell ref="B81:B86"/>
    <mergeCell ref="B87:B92"/>
    <mergeCell ref="B93:B98"/>
    <mergeCell ref="B99:B104"/>
    <mergeCell ref="B105:B110"/>
    <mergeCell ref="B111:B116"/>
    <mergeCell ref="B117:B122"/>
    <mergeCell ref="M39:M44"/>
    <mergeCell ref="M45:M50"/>
    <mergeCell ref="M51:M56"/>
    <mergeCell ref="M57:M62"/>
    <mergeCell ref="M63:M68"/>
    <mergeCell ref="M69:M74"/>
    <mergeCell ref="M75:M80"/>
    <mergeCell ref="M123:M128"/>
    <mergeCell ref="M129:M134"/>
    <mergeCell ref="M81:M86"/>
    <mergeCell ref="M87:M92"/>
    <mergeCell ref="M93:M98"/>
    <mergeCell ref="M99:M104"/>
    <mergeCell ref="M105:M110"/>
    <mergeCell ref="M111:M116"/>
    <mergeCell ref="M117:M122"/>
    <mergeCell ref="D93:L95"/>
    <mergeCell ref="D96:L98"/>
    <mergeCell ref="D99:L101"/>
    <mergeCell ref="D69:L71"/>
    <mergeCell ref="D75:L77"/>
    <mergeCell ref="D78:L80"/>
    <mergeCell ref="D81:L83"/>
    <mergeCell ref="D84:L86"/>
    <mergeCell ref="D87:L89"/>
    <mergeCell ref="D90:L92"/>
    <mergeCell ref="O93:O98"/>
    <mergeCell ref="O105:O110"/>
    <mergeCell ref="O111:O116"/>
    <mergeCell ref="O117:O122"/>
    <mergeCell ref="O123:O128"/>
    <mergeCell ref="O129:O134"/>
    <mergeCell ref="O87:O92"/>
    <mergeCell ref="P87:P89"/>
    <mergeCell ref="P90:P92"/>
    <mergeCell ref="P93:P95"/>
    <mergeCell ref="P96:P98"/>
    <mergeCell ref="P99:P101"/>
    <mergeCell ref="P102:P104"/>
    <mergeCell ref="P126:P128"/>
    <mergeCell ref="P129:P131"/>
    <mergeCell ref="P105:P107"/>
    <mergeCell ref="P108:P110"/>
    <mergeCell ref="P111:P113"/>
    <mergeCell ref="P114:P116"/>
    <mergeCell ref="P117:P119"/>
    <mergeCell ref="P120:P122"/>
    <mergeCell ref="P123:P125"/>
    <mergeCell ref="C18:C20"/>
    <mergeCell ref="D18:L20"/>
    <mergeCell ref="B21:B26"/>
    <mergeCell ref="D21:L23"/>
    <mergeCell ref="M21:M26"/>
    <mergeCell ref="O21:O26"/>
    <mergeCell ref="P21:P23"/>
    <mergeCell ref="D24:L26"/>
    <mergeCell ref="D27:L29"/>
    <mergeCell ref="P27:P29"/>
    <mergeCell ref="B33:B38"/>
    <mergeCell ref="C33:C35"/>
    <mergeCell ref="D33:L35"/>
    <mergeCell ref="M33:M38"/>
    <mergeCell ref="C36:C38"/>
    <mergeCell ref="D36:L38"/>
    <mergeCell ref="C39:C41"/>
    <mergeCell ref="D39:L41"/>
    <mergeCell ref="C42:C44"/>
    <mergeCell ref="D42:L44"/>
    <mergeCell ref="D45:L47"/>
    <mergeCell ref="D48:L50"/>
    <mergeCell ref="D51:L53"/>
    <mergeCell ref="D54:L56"/>
    <mergeCell ref="D57:L59"/>
    <mergeCell ref="D60:L62"/>
    <mergeCell ref="D63:L65"/>
    <mergeCell ref="D66:L68"/>
    <mergeCell ref="P81:P83"/>
    <mergeCell ref="P84:P86"/>
    <mergeCell ref="O69:O74"/>
    <mergeCell ref="P69:P71"/>
    <mergeCell ref="P72:P74"/>
    <mergeCell ref="O75:O80"/>
    <mergeCell ref="P75:P77"/>
    <mergeCell ref="P78:P80"/>
    <mergeCell ref="O81:O86"/>
    <mergeCell ref="D120:L122"/>
    <mergeCell ref="D123:L125"/>
    <mergeCell ref="D126:L128"/>
    <mergeCell ref="D129:L131"/>
    <mergeCell ref="O99:O104"/>
    <mergeCell ref="D102:L104"/>
    <mergeCell ref="D105:L107"/>
    <mergeCell ref="D108:L110"/>
    <mergeCell ref="D111:L113"/>
    <mergeCell ref="D114:L116"/>
    <mergeCell ref="D117:L119"/>
    <mergeCell ref="Q123:Y125"/>
    <mergeCell ref="Q126:Y128"/>
    <mergeCell ref="Q129:Y131"/>
    <mergeCell ref="Z129:Z134"/>
    <mergeCell ref="AB129:AB134"/>
    <mergeCell ref="AC129:AC131"/>
    <mergeCell ref="Z105:Z110"/>
    <mergeCell ref="Z111:Z116"/>
    <mergeCell ref="Q114:Y116"/>
    <mergeCell ref="Q117:Y119"/>
    <mergeCell ref="Z117:Z122"/>
    <mergeCell ref="Q120:Y122"/>
    <mergeCell ref="Z123:Z12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0"/>
    <col customWidth="1" min="3" max="8" width="5.57"/>
    <col customWidth="1" min="9" max="9" width="10.43"/>
    <col customWidth="1" min="10" max="10" width="5.57"/>
    <col customWidth="1" min="11" max="11" width="6.57"/>
    <col customWidth="1" min="12" max="26" width="3.71"/>
  </cols>
  <sheetData>
    <row r="1" ht="15.7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34.5" customHeight="1">
      <c r="A2" s="27"/>
      <c r="B2" s="28" t="s">
        <v>0</v>
      </c>
      <c r="C2" s="29"/>
      <c r="D2" s="29"/>
      <c r="E2" s="29"/>
      <c r="F2" s="29"/>
      <c r="G2" s="29"/>
      <c r="H2" s="29"/>
      <c r="I2" s="29"/>
      <c r="J2" s="3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2.75" customHeight="1">
      <c r="A3" s="27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2.75" customHeight="1">
      <c r="A4" s="27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0.25" customHeight="1">
      <c r="A5" s="27"/>
      <c r="B5" s="31"/>
      <c r="C5" s="32" t="str">
        <f>Questionnaire!M15</f>
        <v>A</v>
      </c>
      <c r="D5" s="32" t="str">
        <f>Questionnaire!M21</f>
        <v>B</v>
      </c>
      <c r="E5" s="32" t="str">
        <f>Questionnaire!M27</f>
        <v/>
      </c>
      <c r="F5" s="32" t="str">
        <f>Questionnaire!M33</f>
        <v/>
      </c>
      <c r="G5" s="32" t="str">
        <f>Questionnaire!M39</f>
        <v/>
      </c>
      <c r="H5" s="32" t="str">
        <f>Questionnaire!M45</f>
        <v/>
      </c>
      <c r="I5" s="32" t="str">
        <f>Questionnaire!M51</f>
        <v/>
      </c>
      <c r="J5" s="32" t="str">
        <f>Questionnaire!M57</f>
        <v/>
      </c>
      <c r="K5" s="31">
        <v>8.0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0.25" customHeight="1">
      <c r="A6" s="27"/>
      <c r="B6" s="31"/>
      <c r="C6" s="32" t="str">
        <f>Questionnaire!M63</f>
        <v/>
      </c>
      <c r="D6" s="32" t="str">
        <f>Questionnaire!M69</f>
        <v/>
      </c>
      <c r="E6" s="32" t="str">
        <f>Questionnaire!M75</f>
        <v/>
      </c>
      <c r="F6" s="32" t="str">
        <f>Questionnaire!M81</f>
        <v/>
      </c>
      <c r="G6" s="32" t="str">
        <f>Questionnaire!M87</f>
        <v/>
      </c>
      <c r="H6" s="32" t="str">
        <f>Questionnaire!M93</f>
        <v/>
      </c>
      <c r="I6" s="32" t="str">
        <f>Questionnaire!M99</f>
        <v/>
      </c>
      <c r="J6" s="32" t="str">
        <f>Questionnaire!M105</f>
        <v/>
      </c>
      <c r="K6" s="31">
        <v>16.0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0.25" customHeight="1">
      <c r="A7" s="27"/>
      <c r="B7" s="31"/>
      <c r="C7" s="32" t="str">
        <f>Questionnaire!M111</f>
        <v/>
      </c>
      <c r="D7" s="32" t="str">
        <f>Questionnaire!M117</f>
        <v/>
      </c>
      <c r="E7" s="32" t="str">
        <f>Questionnaire!M123</f>
        <v/>
      </c>
      <c r="F7" s="32" t="str">
        <f>Questionnaire!M129</f>
        <v/>
      </c>
      <c r="G7" s="32" t="str">
        <f>Questionnaire!Z15</f>
        <v/>
      </c>
      <c r="H7" s="32" t="str">
        <f>Questionnaire!Z21</f>
        <v/>
      </c>
      <c r="I7" s="32" t="str">
        <f>Questionnaire!Z27</f>
        <v/>
      </c>
      <c r="J7" s="32" t="str">
        <f>Questionnaire!Z33</f>
        <v/>
      </c>
      <c r="K7" s="31">
        <v>24.0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0.25" customHeight="1">
      <c r="A8" s="27"/>
      <c r="B8" s="31"/>
      <c r="C8" s="32" t="str">
        <f>Questionnaire!Z39</f>
        <v/>
      </c>
      <c r="D8" s="32" t="str">
        <f>Questionnaire!Z45</f>
        <v/>
      </c>
      <c r="E8" s="32" t="str">
        <f>Questionnaire!Z51</f>
        <v/>
      </c>
      <c r="F8" s="32" t="str">
        <f>Questionnaire!Z57</f>
        <v/>
      </c>
      <c r="G8" s="32" t="str">
        <f>Questionnaire!Z63</f>
        <v/>
      </c>
      <c r="H8" s="32" t="str">
        <f>Questionnaire!Z69</f>
        <v/>
      </c>
      <c r="I8" s="32" t="str">
        <f>Questionnaire!Z75</f>
        <v/>
      </c>
      <c r="J8" s="32" t="str">
        <f>Questionnaire!Z81</f>
        <v/>
      </c>
      <c r="K8" s="31">
        <v>32.0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0.25" customHeight="1">
      <c r="A9" s="27"/>
      <c r="B9" s="31"/>
      <c r="C9" s="32" t="str">
        <f>Questionnaire!Z87</f>
        <v/>
      </c>
      <c r="D9" s="32" t="str">
        <f>Questionnaire!Z93</f>
        <v/>
      </c>
      <c r="E9" s="32" t="str">
        <f>Questionnaire!Z99</f>
        <v/>
      </c>
      <c r="F9" s="32" t="str">
        <f>Questionnaire!Z105</f>
        <v/>
      </c>
      <c r="G9" s="32" t="str">
        <f>Questionnaire!Z111</f>
        <v/>
      </c>
      <c r="H9" s="32" t="str">
        <f>Questionnaire!Z117</f>
        <v/>
      </c>
      <c r="I9" s="32" t="str">
        <f>Questionnaire!Z123</f>
        <v/>
      </c>
      <c r="J9" s="32" t="str">
        <f>Questionnaire!Z129</f>
        <v/>
      </c>
      <c r="K9" s="31">
        <v>40.0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0.25" customHeight="1">
      <c r="A10" s="27"/>
      <c r="B10" s="31"/>
      <c r="C10" s="32" t="str">
        <f>Questionnaire!$AM15</f>
        <v/>
      </c>
      <c r="D10" s="32" t="str">
        <f>Questionnaire!$AM21</f>
        <v/>
      </c>
      <c r="E10" s="32" t="str">
        <f>Questionnaire!$AM27</f>
        <v/>
      </c>
      <c r="F10" s="32" t="str">
        <f>Questionnaire!$AM33</f>
        <v/>
      </c>
      <c r="G10" s="32" t="str">
        <f>Questionnaire!$AM39</f>
        <v/>
      </c>
      <c r="H10" s="32" t="str">
        <f>Questionnaire!$AM45</f>
        <v/>
      </c>
      <c r="I10" s="32" t="str">
        <f>Questionnaire!$AM51</f>
        <v/>
      </c>
      <c r="J10" s="32" t="str">
        <f>Questionnaire!$AM57</f>
        <v/>
      </c>
      <c r="K10" s="31">
        <v>48.0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0.25" customHeight="1">
      <c r="A11" s="27"/>
      <c r="B11" s="31"/>
      <c r="C11" s="32" t="str">
        <f>Questionnaire!$AM63</f>
        <v/>
      </c>
      <c r="D11" s="32" t="str">
        <f>Questionnaire!$AM69</f>
        <v/>
      </c>
      <c r="E11" s="32" t="str">
        <f>Questionnaire!$AM75</f>
        <v/>
      </c>
      <c r="F11" s="32" t="str">
        <f>Questionnaire!$AM81</f>
        <v/>
      </c>
      <c r="G11" s="32" t="str">
        <f>Questionnaire!$AM87</f>
        <v/>
      </c>
      <c r="H11" s="32" t="str">
        <f>Questionnaire!$AM93</f>
        <v/>
      </c>
      <c r="I11" s="32" t="str">
        <f>Questionnaire!$AM99</f>
        <v/>
      </c>
      <c r="J11" s="32" t="str">
        <f>Questionnaire!$AM105</f>
        <v/>
      </c>
      <c r="K11" s="31">
        <v>56.0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0.25" customHeight="1">
      <c r="A12" s="27"/>
      <c r="B12" s="31"/>
      <c r="C12" s="32" t="str">
        <f>Questionnaire!$AM111</f>
        <v/>
      </c>
      <c r="D12" s="32" t="str">
        <f>Questionnaire!$AM117</f>
        <v/>
      </c>
      <c r="E12" s="32" t="str">
        <f>Questionnaire!$AM123</f>
        <v/>
      </c>
      <c r="F12" s="32" t="str">
        <f>Questionnaire!$AM129</f>
        <v/>
      </c>
      <c r="G12" s="32" t="str">
        <f>Questionnaire!AZ15</f>
        <v/>
      </c>
      <c r="H12" s="32" t="str">
        <f>Questionnaire!AZ21</f>
        <v/>
      </c>
      <c r="I12" s="32" t="str">
        <f>Questionnaire!AZ27</f>
        <v/>
      </c>
      <c r="J12" s="32" t="str">
        <f>Questionnaire!AZ33</f>
        <v/>
      </c>
      <c r="K12" s="31">
        <v>64.0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0.25" customHeight="1">
      <c r="A13" s="27"/>
      <c r="B13" s="33" t="s">
        <v>3</v>
      </c>
      <c r="C13" s="34">
        <f>COUNTIF(C5:J5,"A")</f>
        <v>1</v>
      </c>
      <c r="D13" s="34">
        <f>COUNTIF($C6:$J6,"A")</f>
        <v>0</v>
      </c>
      <c r="E13" s="34">
        <f>COUNTIF($C7:$J7,"A")</f>
        <v>0</v>
      </c>
      <c r="F13" s="34">
        <f>COUNTIF($C8:$J8,"A")</f>
        <v>0</v>
      </c>
      <c r="G13" s="34">
        <f>COUNTIF($C9:$J9,"A")</f>
        <v>0</v>
      </c>
      <c r="H13" s="34">
        <f>COUNTIF($C10:$J10,"A")</f>
        <v>0</v>
      </c>
      <c r="I13" s="34">
        <f>COUNTIF($C11:$J11,"A")</f>
        <v>0</v>
      </c>
      <c r="J13" s="34">
        <f>COUNTIF($C12:$J12,"A")</f>
        <v>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0.25" customHeight="1">
      <c r="A14" s="27"/>
      <c r="B14" s="7" t="s">
        <v>4</v>
      </c>
      <c r="C14" s="8">
        <f t="shared" ref="C14:J14" si="1">COUNTIF(C5:C12,"B")</f>
        <v>0</v>
      </c>
      <c r="D14" s="8">
        <f t="shared" si="1"/>
        <v>1</v>
      </c>
      <c r="E14" s="8">
        <f t="shared" si="1"/>
        <v>0</v>
      </c>
      <c r="F14" s="8">
        <f t="shared" si="1"/>
        <v>0</v>
      </c>
      <c r="G14" s="8">
        <f t="shared" si="1"/>
        <v>0</v>
      </c>
      <c r="H14" s="8">
        <f t="shared" si="1"/>
        <v>0</v>
      </c>
      <c r="I14" s="8">
        <f t="shared" si="1"/>
        <v>0</v>
      </c>
      <c r="J14" s="8">
        <f t="shared" si="1"/>
        <v>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0.25" customHeight="1">
      <c r="A15" s="27"/>
      <c r="B15" s="35" t="s">
        <v>5</v>
      </c>
      <c r="C15" s="32">
        <v>1.0</v>
      </c>
      <c r="D15" s="32">
        <v>2.0</v>
      </c>
      <c r="E15" s="32">
        <v>1.0</v>
      </c>
      <c r="F15" s="32">
        <v>0.0</v>
      </c>
      <c r="G15" s="32">
        <v>3.0</v>
      </c>
      <c r="H15" s="32">
        <v>-1.0</v>
      </c>
      <c r="I15" s="32">
        <v>0.0</v>
      </c>
      <c r="J15" s="32">
        <v>-4.0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0.25" customHeight="1">
      <c r="A16" s="27"/>
      <c r="B16" s="35" t="s">
        <v>6</v>
      </c>
      <c r="C16" s="32">
        <f t="shared" ref="C16:J16" si="2">+C13+C14+C15</f>
        <v>2</v>
      </c>
      <c r="D16" s="32">
        <f t="shared" si="2"/>
        <v>3</v>
      </c>
      <c r="E16" s="32">
        <f t="shared" si="2"/>
        <v>1</v>
      </c>
      <c r="F16" s="32">
        <f t="shared" si="2"/>
        <v>0</v>
      </c>
      <c r="G16" s="32">
        <f t="shared" si="2"/>
        <v>3</v>
      </c>
      <c r="H16" s="32">
        <f t="shared" si="2"/>
        <v>-1</v>
      </c>
      <c r="I16" s="32">
        <f t="shared" si="2"/>
        <v>0</v>
      </c>
      <c r="J16" s="32">
        <f t="shared" si="2"/>
        <v>-4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0.25" customHeight="1">
      <c r="A17" s="27"/>
      <c r="B17" s="31"/>
      <c r="C17" s="36"/>
      <c r="D17" s="36" t="s">
        <v>7</v>
      </c>
      <c r="E17" s="36"/>
      <c r="F17" s="36" t="s">
        <v>8</v>
      </c>
      <c r="G17" s="36"/>
      <c r="H17" s="36" t="s">
        <v>9</v>
      </c>
      <c r="I17" s="36"/>
      <c r="J17" s="36" t="s">
        <v>10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0.25" customHeight="1">
      <c r="A18" s="27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0.25" customHeight="1">
      <c r="A19" s="27"/>
      <c r="B19" s="31" t="s">
        <v>11</v>
      </c>
      <c r="C19" s="37"/>
      <c r="D19" s="37"/>
      <c r="E19" s="37"/>
      <c r="F19" s="37"/>
      <c r="G19" s="37"/>
      <c r="H19" s="37"/>
      <c r="I19" s="37"/>
      <c r="J19" s="38">
        <f>C16</f>
        <v>2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7.5" customHeight="1">
      <c r="A20" s="27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27"/>
      <c r="B21" s="31" t="s">
        <v>12</v>
      </c>
      <c r="C21" s="37"/>
      <c r="D21" s="37"/>
      <c r="E21" s="37"/>
      <c r="F21" s="38">
        <f>D16</f>
        <v>3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7.5" customHeight="1">
      <c r="A22" s="27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27"/>
      <c r="B23" s="31" t="s">
        <v>13</v>
      </c>
      <c r="C23" s="37"/>
      <c r="D23" s="38">
        <f>E16</f>
        <v>1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7.5" customHeight="1">
      <c r="A24" s="27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27"/>
      <c r="B25" s="31" t="s">
        <v>14</v>
      </c>
      <c r="C25" s="37"/>
      <c r="D25" s="38">
        <f>F16</f>
        <v>0</v>
      </c>
      <c r="E25" s="37"/>
      <c r="F25" s="38">
        <f>F16</f>
        <v>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7.5" customHeight="1">
      <c r="A26" s="27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27"/>
      <c r="B27" s="31" t="s">
        <v>15</v>
      </c>
      <c r="C27" s="37"/>
      <c r="D27" s="37"/>
      <c r="E27" s="37"/>
      <c r="F27" s="37"/>
      <c r="G27" s="37"/>
      <c r="H27" s="38">
        <f>G16</f>
        <v>3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7.5" customHeight="1">
      <c r="A28" s="27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27"/>
      <c r="B29" s="31" t="s">
        <v>16</v>
      </c>
      <c r="C29" s="37"/>
      <c r="D29" s="37"/>
      <c r="E29" s="37"/>
      <c r="F29" s="38">
        <f>H16</f>
        <v>-1</v>
      </c>
      <c r="G29" s="37"/>
      <c r="H29" s="38">
        <f>H16</f>
        <v>-1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7.5" customHeight="1">
      <c r="A30" s="27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27"/>
      <c r="B31" s="31" t="s">
        <v>17</v>
      </c>
      <c r="C31" s="37"/>
      <c r="D31" s="38">
        <f>I16</f>
        <v>0</v>
      </c>
      <c r="E31" s="37"/>
      <c r="F31" s="37"/>
      <c r="G31" s="37"/>
      <c r="H31" s="38">
        <f>I16</f>
        <v>0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7.5" customHeight="1">
      <c r="A32" s="27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27"/>
      <c r="B33" s="31" t="s">
        <v>18</v>
      </c>
      <c r="C33" s="37"/>
      <c r="D33" s="38">
        <f>J16</f>
        <v>-4</v>
      </c>
      <c r="E33" s="37"/>
      <c r="F33" s="38">
        <f>J16</f>
        <v>-4</v>
      </c>
      <c r="G33" s="37"/>
      <c r="H33" s="38">
        <f>J16</f>
        <v>-4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27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27"/>
      <c r="B35" s="31"/>
      <c r="C35" s="31"/>
      <c r="D35" s="38">
        <f>+D23+D25+D31+D33</f>
        <v>-3</v>
      </c>
      <c r="E35" s="31"/>
      <c r="F35" s="38">
        <f>+F21+F25+F29+F33</f>
        <v>-2</v>
      </c>
      <c r="G35" s="31"/>
      <c r="H35" s="38">
        <f>+H27+H29+H31+H33</f>
        <v>-2</v>
      </c>
      <c r="I35" s="31"/>
      <c r="J35" s="38">
        <f>J19</f>
        <v>2</v>
      </c>
      <c r="K35" s="31"/>
      <c r="L35" s="31" t="s">
        <v>21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39" t="s">
        <v>151</v>
      </c>
      <c r="E37" s="40"/>
      <c r="F37" s="40"/>
      <c r="G37" s="40"/>
      <c r="H37" s="40"/>
      <c r="I37" s="40"/>
      <c r="J37" s="40"/>
      <c r="K37" s="41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42">
        <f>IF(D35&lt;30,0,IF(D35&lt;32,0.6,IF(D35=32,1.2,IF(D35=33,1.8,IF(D35=34,2.4,IF(D35=35,3,IF(D35&lt;38,3.6,4)))))))</f>
        <v>0</v>
      </c>
      <c r="E38" s="41"/>
      <c r="F38" s="42">
        <f>IF(F35&lt;30,0,IF(F35&lt;32,0.6,IF(F35=32,1.2,IF(F35=33,1.8,IF(F35=34,2.4,IF(F35=35,3,IF(F35&lt;38,3.6,4)))))))</f>
        <v>0</v>
      </c>
      <c r="G38" s="41"/>
      <c r="H38" s="42">
        <f>IF(H35&lt;30,0,IF(H35&lt;32,0.6,IF(H35=32,1.2,IF(H35=33,1.8,IF(H35=34,2.4,IF(H35=35,3,IF(H35&lt;38,3.6,4)))))))</f>
        <v>0</v>
      </c>
      <c r="I38" s="41"/>
      <c r="J38" s="42">
        <f>IF(J35&lt;30,0,IF(J35&lt;32,0.6,IF(J35=32,1.2,IF(J35=33,1.8,IF(J35=34,2.4,IF(J35=35,3,IF(J35&lt;38,3.6,4)))))))</f>
        <v>0</v>
      </c>
      <c r="K38" s="41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43" t="s">
        <v>7</v>
      </c>
      <c r="E39" s="41"/>
      <c r="F39" s="43" t="s">
        <v>8</v>
      </c>
      <c r="G39" s="41"/>
      <c r="H39" s="43" t="s">
        <v>9</v>
      </c>
      <c r="I39" s="41"/>
      <c r="J39" s="43" t="s">
        <v>10</v>
      </c>
      <c r="K39" s="41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43" t="s">
        <v>152</v>
      </c>
      <c r="E41" s="40"/>
      <c r="F41" s="40"/>
      <c r="G41" s="40"/>
      <c r="H41" s="40"/>
      <c r="I41" s="40"/>
      <c r="J41" s="40"/>
      <c r="K41" s="41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44" t="s">
        <v>9</v>
      </c>
      <c r="E42" s="44" t="s">
        <v>153</v>
      </c>
      <c r="F42" s="44" t="s">
        <v>154</v>
      </c>
      <c r="G42" s="44" t="s">
        <v>155</v>
      </c>
      <c r="H42" s="44" t="s">
        <v>156</v>
      </c>
      <c r="I42" s="44" t="s">
        <v>157</v>
      </c>
      <c r="J42" s="44" t="s">
        <v>158</v>
      </c>
      <c r="K42" s="44" t="s">
        <v>159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32" t="str">
        <f>IF($D$38&gt;2,IF($F$38&gt;2,IF($H$38&gt;2,"Ok",""),""),"")</f>
        <v/>
      </c>
      <c r="E43" s="32" t="str">
        <f>IF($D$38&gt;2,IF($F$38&gt;2,IF($H$38&lt;2,"Ok",""),""),"")</f>
        <v/>
      </c>
      <c r="F43" s="32" t="str">
        <f>IF($D$38&gt;2,IF($F$38&lt;2,IF($H$38&gt;2,"Ok",""),""),"")</f>
        <v/>
      </c>
      <c r="G43" s="32" t="str">
        <f>IF($D$38&gt;2,IF($F$38&lt;2,IF($H$38&lt;2,"Ok",""),""),"")</f>
        <v/>
      </c>
      <c r="H43" s="32" t="str">
        <f>IF($D$38&lt;2,IF($F$38&gt;2,IF($H$38&gt;2,"Ok",""),""),"")</f>
        <v/>
      </c>
      <c r="I43" s="32" t="str">
        <f>IF($D$38&lt;2,IF($F$38&gt;2,IF($H$38&lt;2,"Ok",""),""),"")</f>
        <v/>
      </c>
      <c r="J43" s="32" t="str">
        <f>IF($D$38&lt;2,IF($F$38&lt;2,IF($H$38&gt;2,"Ok",""),""),"")</f>
        <v/>
      </c>
      <c r="K43" s="32" t="str">
        <f>IF($D$38&lt;2,IF($F$38&lt;2,IF($H$38&lt;2,"Ok",""),""),"")</f>
        <v>Ok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1">
    <mergeCell ref="F39:G39"/>
    <mergeCell ref="H39:I39"/>
    <mergeCell ref="J39:K39"/>
    <mergeCell ref="D41:K41"/>
    <mergeCell ref="B2:J2"/>
    <mergeCell ref="D37:K37"/>
    <mergeCell ref="D38:E38"/>
    <mergeCell ref="F38:G38"/>
    <mergeCell ref="H38:I38"/>
    <mergeCell ref="J38:K38"/>
    <mergeCell ref="D39:E39"/>
  </mergeCells>
  <conditionalFormatting sqref="D43:K43">
    <cfRule type="containsText" dxfId="0" priority="1" operator="containsText" text="&quot;Ok&quot;">
      <formula>NOT(ISERROR(SEARCH(("""Ok"""),(D43))))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2012-03-31T03:00:45Z</dcterms:created>
  <dc:creator>Aflah</dc:creator>
</cp:coreProperties>
</file>