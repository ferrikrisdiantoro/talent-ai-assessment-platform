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Output" sheetId="2" r:id="rId5"/>
    <sheet state="hidden" name="Norma" sheetId="3" r:id="rId6"/>
  </sheets>
  <definedNames/>
  <calcPr/>
  <extLst>
    <ext uri="GoogleSheetsCustomDataVersion2">
      <go:sheetsCustomData xmlns:go="http://customooxmlschemas.google.com/" r:id="rId7" roundtripDataChecksum="0vJlOyil5RBoHBa9ixmuvzP/ZWyAVNMEzghJ3tWWxBw="/>
    </ext>
  </extLst>
</workbook>
</file>

<file path=xl/sharedStrings.xml><?xml version="1.0" encoding="utf-8"?>
<sst xmlns="http://schemas.openxmlformats.org/spreadsheetml/2006/main" count="271" uniqueCount="53">
  <si>
    <t>Software Skoring IST</t>
  </si>
  <si>
    <t>RW</t>
  </si>
  <si>
    <t>SoftwarePsikotes.com</t>
  </si>
  <si>
    <t>SE</t>
  </si>
  <si>
    <t>WA</t>
  </si>
  <si>
    <t>Nomor</t>
  </si>
  <si>
    <t>:</t>
  </si>
  <si>
    <t>AN</t>
  </si>
  <si>
    <t>Nama</t>
  </si>
  <si>
    <t>GE</t>
  </si>
  <si>
    <t>Tgl Lahir / Usia</t>
  </si>
  <si>
    <t>ME</t>
  </si>
  <si>
    <t>Tgl Tes</t>
  </si>
  <si>
    <t>RA</t>
  </si>
  <si>
    <t>Pendidikan</t>
  </si>
  <si>
    <t>ZR</t>
  </si>
  <si>
    <t>Tujuan Tes</t>
  </si>
  <si>
    <t>FA</t>
  </si>
  <si>
    <t>WU</t>
  </si>
  <si>
    <t>JML</t>
  </si>
  <si>
    <t>Perhatian: Pemeriksa hanya boleh mengisi di kolom berwarna putih di tabel!</t>
  </si>
  <si>
    <t>No</t>
  </si>
  <si>
    <t>Jawaban Klien</t>
  </si>
  <si>
    <t>Kunci Jawaban SE</t>
  </si>
  <si>
    <t>Skor</t>
  </si>
  <si>
    <t>Kunci Jawaban WA</t>
  </si>
  <si>
    <t>Kunci Jawaban AN</t>
  </si>
  <si>
    <t>Skor GE</t>
  </si>
  <si>
    <t>Kunci Jawaban RA</t>
  </si>
  <si>
    <t>Konversi GE</t>
  </si>
  <si>
    <t>e</t>
  </si>
  <si>
    <t>a</t>
  </si>
  <si>
    <t>c</t>
  </si>
  <si>
    <t>b</t>
  </si>
  <si>
    <t>d</t>
  </si>
  <si>
    <t>Kunci Jawaban ZR</t>
  </si>
  <si>
    <t>Kunci Jawaban FA</t>
  </si>
  <si>
    <t>Kunci Jawaban WU</t>
  </si>
  <si>
    <t>Kunci Jawaban ME</t>
  </si>
  <si>
    <t>PRIA</t>
  </si>
  <si>
    <t>WANITA</t>
  </si>
  <si>
    <t>- Software Psikotes -</t>
  </si>
  <si>
    <t>SW</t>
  </si>
  <si>
    <t>IQ</t>
  </si>
  <si>
    <t>Tgl Lahir/Usia</t>
  </si>
  <si>
    <t>RAHASIA</t>
  </si>
  <si>
    <t>SLTP</t>
  </si>
  <si>
    <t>SLTA</t>
  </si>
  <si>
    <t>SARJ</t>
  </si>
  <si>
    <t>HASIL SW</t>
  </si>
  <si>
    <t>TOTAL</t>
  </si>
  <si>
    <t>IQ Total</t>
  </si>
  <si>
    <t>&gt;SLTP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</si>
</sst>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;;;"/>
    <numFmt numFmtId="165" formatCode="[$-421]dd\ mmmm\ yyyy"/>
  </numFmts>
  <fonts count="19">
    <font>
      <sz val="10.0"/>
      <color rgb="FF000000"/>
      <name val="Arial"/>
      <scheme val="minor"/>
    </font>
    <font>
      <sz val="20.0"/>
      <color rgb="FF0000FF"/>
      <name val="Limelight"/>
    </font>
    <font/>
    <font>
      <sz val="10.0"/>
      <color theme="1"/>
      <name val="Arial"/>
    </font>
    <font>
      <sz val="10.0"/>
      <color theme="0"/>
      <name val="Arial"/>
    </font>
    <font>
      <sz val="16.0"/>
      <color rgb="FF0000FF"/>
      <name val="Lemon"/>
    </font>
    <font>
      <b/>
      <sz val="10.0"/>
      <color rgb="FFFFFF00"/>
      <name val="Arial"/>
    </font>
    <font>
      <b/>
      <sz val="24.0"/>
      <color rgb="FFFF0000"/>
      <name val="Arial"/>
    </font>
    <font>
      <b/>
      <sz val="10.0"/>
      <color rgb="FFFF0000"/>
      <name val="Arial"/>
    </font>
    <font>
      <sz val="20.0"/>
      <color theme="1"/>
      <name val="Arial"/>
    </font>
    <font>
      <i/>
      <sz val="10.0"/>
      <color rgb="FF0000FF"/>
      <name val="Bangle"/>
    </font>
    <font>
      <b/>
      <sz val="10.0"/>
      <color theme="1"/>
      <name val="Arial"/>
    </font>
    <font>
      <sz val="10.0"/>
      <color rgb="FFFFFFFF"/>
      <name val="Arial"/>
    </font>
    <font>
      <b/>
      <sz val="20.0"/>
      <color theme="1"/>
      <name val="Balthazar"/>
    </font>
    <font>
      <i/>
      <sz val="8.0"/>
      <color theme="1"/>
      <name val="Arial Narrow"/>
    </font>
    <font>
      <sz val="9.0"/>
      <color theme="1"/>
      <name val="Arial"/>
    </font>
    <font>
      <i/>
      <sz val="6.0"/>
      <color theme="1"/>
      <name val="Arial Black"/>
    </font>
    <font>
      <b/>
      <sz val="10.0"/>
      <color theme="1"/>
      <name val="Lemon"/>
    </font>
    <font>
      <sz val="10.0"/>
      <color theme="1"/>
      <name val="Lemon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CC99FF"/>
        <bgColor rgb="FFCC99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5" fillId="4" fontId="6" numFmtId="0" xfId="0" applyAlignment="1" applyBorder="1" applyFill="1" applyFont="1">
      <alignment shrinkToFit="0" vertical="bottom" wrapText="0"/>
    </xf>
    <xf borderId="6" fillId="0" fontId="2" numFmtId="0" xfId="0" applyBorder="1" applyFont="1"/>
    <xf borderId="7" fillId="4" fontId="6" numFmtId="0" xfId="0" applyAlignment="1" applyBorder="1" applyFont="1">
      <alignment horizontal="right" shrinkToFit="0" vertical="bottom" wrapText="0"/>
    </xf>
    <xf borderId="5" fillId="3" fontId="3" numFmtId="0" xfId="0" applyAlignment="1" applyBorder="1" applyFont="1">
      <alignment horizontal="left" shrinkToFit="0" vertical="bottom" wrapText="0"/>
    </xf>
    <xf borderId="8" fillId="0" fontId="2" numFmtId="0" xfId="0" applyBorder="1" applyFont="1"/>
    <xf borderId="9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4" fillId="2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10" fillId="5" fontId="11" numFmtId="0" xfId="0" applyAlignment="1" applyBorder="1" applyFill="1" applyFont="1">
      <alignment horizontal="center" shrinkToFit="0" vertical="center" wrapText="0"/>
    </xf>
    <xf borderId="10" fillId="5" fontId="1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6" fontId="11" numFmtId="0" xfId="0" applyAlignment="1" applyBorder="1" applyFill="1" applyFont="1">
      <alignment horizontal="center"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12" fillId="3" fontId="3" numFmtId="0" xfId="0" applyAlignment="1" applyBorder="1" applyFont="1">
      <alignment horizontal="center" shrinkToFit="0" vertical="bottom" wrapText="0"/>
    </xf>
    <xf borderId="13" fillId="5" fontId="1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2" fillId="6" fontId="3" numFmtId="0" xfId="0" applyAlignment="1" applyBorder="1" applyFont="1">
      <alignment horizontal="center" shrinkToFit="0" vertical="bottom" wrapText="0"/>
    </xf>
    <xf borderId="12" fillId="7" fontId="3" numFmtId="0" xfId="0" applyAlignment="1" applyBorder="1" applyFill="1" applyFont="1">
      <alignment horizontal="center" shrinkToFit="0" vertical="bottom" wrapText="0"/>
    </xf>
    <xf borderId="12" fillId="5" fontId="11" numFmtId="0" xfId="0" applyAlignment="1" applyBorder="1" applyFont="1">
      <alignment horizontal="center" shrinkToFit="0" vertical="bottom" wrapText="0"/>
    </xf>
    <xf borderId="4" fillId="2" fontId="12" numFmtId="0" xfId="0" applyAlignment="1" applyBorder="1" applyFont="1">
      <alignment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17" fillId="3" fontId="3" numFmtId="0" xfId="0" applyAlignment="1" applyBorder="1" applyFont="1">
      <alignment horizontal="center" shrinkToFit="0" vertical="bottom" wrapText="0"/>
    </xf>
    <xf borderId="18" fillId="8" fontId="3" numFmtId="0" xfId="0" applyAlignment="1" applyBorder="1" applyFill="1" applyFont="1">
      <alignment horizontal="center" shrinkToFit="0" vertical="bottom" wrapText="0"/>
    </xf>
    <xf borderId="19" fillId="3" fontId="3" numFmtId="0" xfId="0" applyAlignment="1" applyBorder="1" applyFont="1">
      <alignment horizontal="center" shrinkToFit="0" vertical="bottom" wrapText="0"/>
    </xf>
    <xf borderId="20" fillId="8" fontId="3" numFmtId="0" xfId="0" applyAlignment="1" applyBorder="1" applyFont="1">
      <alignment horizontal="center" shrinkToFit="0" vertical="bottom" wrapText="0"/>
    </xf>
    <xf borderId="20" fillId="9" fontId="11" numFmtId="0" xfId="0" applyAlignment="1" applyBorder="1" applyFill="1" applyFont="1">
      <alignment horizontal="center" shrinkToFit="0" vertical="bottom" wrapText="0"/>
    </xf>
    <xf borderId="20" fillId="10" fontId="11" numFmtId="164" xfId="0" applyAlignment="1" applyBorder="1" applyFill="1" applyFont="1" applyNumberFormat="1">
      <alignment horizontal="center" shrinkToFit="0" vertical="bottom" wrapText="0"/>
    </xf>
    <xf borderId="12" fillId="8" fontId="3" numFmtId="0" xfId="0" applyAlignment="1" applyBorder="1" applyFont="1">
      <alignment horizontal="center" shrinkToFit="0" vertical="bottom" wrapText="0"/>
    </xf>
    <xf borderId="18" fillId="8" fontId="3" numFmtId="0" xfId="0" applyAlignment="1" applyBorder="1" applyFont="1">
      <alignment shrinkToFit="0" vertical="bottom" wrapText="0"/>
    </xf>
    <xf borderId="18" fillId="4" fontId="11" numFmtId="0" xfId="0" applyAlignment="1" applyBorder="1" applyFont="1">
      <alignment shrinkToFit="0" vertical="bottom" wrapText="0"/>
    </xf>
    <xf borderId="18" fillId="4" fontId="8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horizontal="center" shrinkToFit="0" vertical="bottom" wrapText="0"/>
    </xf>
    <xf borderId="20" fillId="3" fontId="4" numFmtId="0" xfId="0" applyAlignment="1" applyBorder="1" applyFont="1">
      <alignment horizontal="center" shrinkToFit="0" vertical="bottom" wrapText="0"/>
    </xf>
    <xf borderId="20" fillId="4" fontId="8" numFmtId="164" xfId="0" applyAlignment="1" applyBorder="1" applyFont="1" applyNumberFormat="1">
      <alignment horizontal="center" shrinkToFit="0" vertical="bottom" wrapText="0"/>
    </xf>
    <xf borderId="1" fillId="2" fontId="14" numFmtId="0" xfId="0" applyAlignment="1" applyBorder="1" applyFont="1">
      <alignment horizontal="center" shrinkToFit="0" vertical="bottom" wrapText="0"/>
    </xf>
    <xf borderId="21" fillId="5" fontId="15" numFmtId="0" xfId="0" applyAlignment="1" applyBorder="1" applyFont="1">
      <alignment shrinkToFit="0" vertical="bottom" wrapText="0"/>
    </xf>
    <xf borderId="22" fillId="5" fontId="11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horizontal="left" shrinkToFit="0" vertical="bottom" wrapText="0"/>
    </xf>
    <xf borderId="23" fillId="5" fontId="15" numFmtId="0" xfId="0" applyAlignment="1" applyBorder="1" applyFont="1">
      <alignment shrinkToFit="0" vertical="bottom" wrapText="0"/>
    </xf>
    <xf borderId="7" fillId="5" fontId="11" numFmtId="0" xfId="0" applyAlignment="1" applyBorder="1" applyFont="1">
      <alignment shrinkToFit="0" vertical="bottom" wrapText="0"/>
    </xf>
    <xf borderId="5" fillId="0" fontId="11" numFmtId="165" xfId="0" applyAlignment="1" applyBorder="1" applyFont="1" applyNumberFormat="1">
      <alignment horizontal="left" shrinkToFit="0" vertical="bottom" wrapText="0"/>
    </xf>
    <xf borderId="24" fillId="5" fontId="15" numFmtId="0" xfId="0" applyAlignment="1" applyBorder="1" applyFont="1">
      <alignment shrinkToFit="0" vertical="bottom" wrapText="0"/>
    </xf>
    <xf borderId="19" fillId="5" fontId="11" numFmtId="0" xfId="0" applyAlignment="1" applyBorder="1" applyFont="1">
      <alignment shrinkToFit="0" vertical="bottom" wrapText="0"/>
    </xf>
    <xf borderId="25" fillId="2" fontId="16" numFmtId="0" xfId="0" applyAlignment="1" applyBorder="1" applyFont="1">
      <alignment shrinkToFit="0" textRotation="90" vertical="bottom" wrapText="0"/>
    </xf>
    <xf borderId="4" fillId="2" fontId="17" numFmtId="0" xfId="0" applyAlignment="1" applyBorder="1" applyFont="1">
      <alignment horizontal="center" shrinkToFit="0" vertical="bottom" wrapText="0"/>
    </xf>
    <xf borderId="26" fillId="0" fontId="2" numFmtId="0" xfId="0" applyBorder="1" applyFont="1"/>
    <xf borderId="4" fillId="2" fontId="3" numFmtId="164" xfId="0" applyAlignment="1" applyBorder="1" applyFont="1" applyNumberFormat="1">
      <alignment shrinkToFit="0" vertical="bottom" wrapText="0"/>
    </xf>
    <xf borderId="1" fillId="2" fontId="11" numFmtId="164" xfId="0" applyAlignment="1" applyBorder="1" applyFont="1" applyNumberFormat="1">
      <alignment horizontal="center" shrinkToFit="0" vertical="bottom" wrapText="0"/>
    </xf>
    <xf borderId="4" fillId="2" fontId="3" numFmtId="164" xfId="0" applyAlignment="1" applyBorder="1" applyFont="1" applyNumberFormat="1">
      <alignment horizontal="center" shrinkToFit="0" vertical="bottom" wrapText="0"/>
    </xf>
    <xf borderId="25" fillId="2" fontId="3" numFmtId="164" xfId="0" applyAlignment="1" applyBorder="1" applyFont="1" applyNumberFormat="1">
      <alignment horizontal="center" shrinkToFit="0" vertical="bottom" wrapText="1"/>
    </xf>
    <xf borderId="4" fillId="2" fontId="11" numFmtId="164" xfId="0" applyAlignment="1" applyBorder="1" applyFont="1" applyNumberFormat="1">
      <alignment shrinkToFit="0" vertical="bottom" wrapText="0"/>
    </xf>
    <xf borderId="4" fillId="2" fontId="18" numFmtId="164" xfId="0" applyAlignment="1" applyBorder="1" applyFont="1" applyNumberFormat="1">
      <alignment horizontal="center" shrinkToFit="0" vertical="bottom" wrapText="0"/>
    </xf>
    <xf borderId="4" fillId="2" fontId="11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000000"/>
                </a:solidFill>
                <a:latin typeface="+mn-lt"/>
              </a:defRPr>
            </a:pPr>
            <a:r>
              <a:rPr b="1" i="0" sz="800">
                <a:solidFill>
                  <a:srgbClr val="000000"/>
                </a:solidFill>
                <a:latin typeface="+mn-lt"/>
              </a:rPr>
              <a:t>GRAFIK IST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Output!$I$8:$I$18</c:f>
            </c:strRef>
          </c:cat>
          <c:val>
            <c:numRef>
              <c:f>Output!$K$8:$K$18</c:f>
              <c:numCache/>
            </c:numRef>
          </c:val>
          <c:smooth val="0"/>
        </c:ser>
        <c:axId val="1785124174"/>
        <c:axId val="324365501"/>
      </c:lineChart>
      <c:catAx>
        <c:axId val="1785124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365501"/>
      </c:catAx>
      <c:valAx>
        <c:axId val="324365501"/>
        <c:scaling>
          <c:orientation val="minMax"/>
          <c:max val="16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124174"/>
      </c:valAx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0</xdr:row>
      <xdr:rowOff>123825</xdr:rowOff>
    </xdr:from>
    <xdr:ext cx="2057400" cy="1819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5124450" cy="3429000"/>
    <xdr:graphicFrame>
      <xdr:nvGraphicFramePr>
        <xdr:cNvPr descr="Chart 0" id="12968766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323850</xdr:colOff>
      <xdr:row>0</xdr:row>
      <xdr:rowOff>9525</xdr:rowOff>
    </xdr:from>
    <xdr:ext cx="838200" cy="733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4.75"/>
    <col customWidth="1" min="3" max="4" width="9.13"/>
    <col customWidth="1" min="5" max="5" width="4.75"/>
    <col customWidth="1" min="6" max="7" width="9.13"/>
    <col customWidth="1" min="8" max="8" width="4.75"/>
    <col customWidth="1" min="9" max="10" width="9.13"/>
    <col customWidth="1" min="11" max="11" width="4.75"/>
    <col customWidth="1" min="12" max="13" width="9.13"/>
    <col customWidth="1" min="14" max="14" width="4.75"/>
    <col customWidth="1" min="15" max="16" width="9.13"/>
    <col customWidth="1" min="17" max="18" width="4.75"/>
    <col customWidth="1" min="19" max="26" width="8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5"/>
      <c r="O1" s="5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6" t="s">
        <v>2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5" t="s">
        <v>3</v>
      </c>
      <c r="O2" s="5">
        <f>C93</f>
        <v>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4</v>
      </c>
      <c r="O3" s="5">
        <f>F93</f>
        <v>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7" t="s">
        <v>5</v>
      </c>
      <c r="B4" s="8"/>
      <c r="C4" s="9" t="s">
        <v>6</v>
      </c>
      <c r="D4" s="10"/>
      <c r="E4" s="11"/>
      <c r="F4" s="11"/>
      <c r="G4" s="12"/>
      <c r="H4" s="4"/>
      <c r="I4" s="4"/>
      <c r="J4" s="4"/>
      <c r="K4" s="4"/>
      <c r="L4" s="4"/>
      <c r="M4" s="4"/>
      <c r="N4" s="5" t="s">
        <v>7</v>
      </c>
      <c r="O4" s="5">
        <f>I93</f>
        <v>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7" t="s">
        <v>8</v>
      </c>
      <c r="B5" s="8"/>
      <c r="C5" s="9" t="s">
        <v>6</v>
      </c>
      <c r="D5" s="10"/>
      <c r="E5" s="11"/>
      <c r="F5" s="11"/>
      <c r="G5" s="12"/>
      <c r="H5" s="4"/>
      <c r="I5" s="4"/>
      <c r="J5" s="4"/>
      <c r="K5" s="4"/>
      <c r="L5" s="4"/>
      <c r="M5" s="4"/>
      <c r="N5" s="5" t="s">
        <v>9</v>
      </c>
      <c r="O5" s="5">
        <f>K89</f>
        <v>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7" t="s">
        <v>10</v>
      </c>
      <c r="B6" s="8"/>
      <c r="C6" s="9" t="s">
        <v>6</v>
      </c>
      <c r="D6" s="10"/>
      <c r="E6" s="11"/>
      <c r="F6" s="11"/>
      <c r="G6" s="12"/>
      <c r="H6" s="4"/>
      <c r="I6" s="4"/>
      <c r="J6" s="4"/>
      <c r="K6" s="4"/>
      <c r="L6" s="4"/>
      <c r="M6" s="4"/>
      <c r="N6" s="5" t="s">
        <v>11</v>
      </c>
      <c r="O6" s="5">
        <f>L119</f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7" t="s">
        <v>12</v>
      </c>
      <c r="B7" s="8"/>
      <c r="C7" s="9" t="s">
        <v>6</v>
      </c>
      <c r="D7" s="10"/>
      <c r="E7" s="11"/>
      <c r="F7" s="11"/>
      <c r="G7" s="12"/>
      <c r="H7" s="4"/>
      <c r="I7" s="4"/>
      <c r="J7" s="4"/>
      <c r="K7" s="4"/>
      <c r="L7" s="4"/>
      <c r="M7" s="4"/>
      <c r="N7" s="5" t="s">
        <v>13</v>
      </c>
      <c r="O7" s="5">
        <f>O93</f>
        <v>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7" t="s">
        <v>14</v>
      </c>
      <c r="B8" s="8"/>
      <c r="C8" s="9" t="s">
        <v>6</v>
      </c>
      <c r="D8" s="10"/>
      <c r="E8" s="11"/>
      <c r="F8" s="11"/>
      <c r="G8" s="12"/>
      <c r="H8" s="4"/>
      <c r="I8" s="4"/>
      <c r="J8" s="4"/>
      <c r="K8" s="4"/>
      <c r="L8" s="4"/>
      <c r="M8" s="4"/>
      <c r="N8" s="5" t="s">
        <v>15</v>
      </c>
      <c r="O8" s="5">
        <f>C119</f>
        <v>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7" t="s">
        <v>16</v>
      </c>
      <c r="B9" s="8"/>
      <c r="C9" s="9" t="s">
        <v>6</v>
      </c>
      <c r="D9" s="10"/>
      <c r="E9" s="11"/>
      <c r="F9" s="11"/>
      <c r="G9" s="12"/>
      <c r="H9" s="4"/>
      <c r="I9" s="4"/>
      <c r="J9" s="4"/>
      <c r="K9" s="4"/>
      <c r="L9" s="4"/>
      <c r="M9" s="4"/>
      <c r="N9" s="5" t="s">
        <v>17</v>
      </c>
      <c r="O9" s="5">
        <f>F119</f>
        <v>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3"/>
      <c r="B10" s="13"/>
      <c r="C10" s="13"/>
      <c r="D10" s="13"/>
      <c r="E10" s="13"/>
      <c r="F10" s="13"/>
      <c r="G10" s="4"/>
      <c r="H10" s="4"/>
      <c r="I10" s="4"/>
      <c r="J10" s="4"/>
      <c r="K10" s="4"/>
      <c r="L10" s="4"/>
      <c r="M10" s="4"/>
      <c r="N10" s="5" t="s">
        <v>18</v>
      </c>
      <c r="O10" s="5">
        <f>I119</f>
        <v>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4"/>
      <c r="B11" s="13"/>
      <c r="C11" s="13"/>
      <c r="D11" s="13"/>
      <c r="E11" s="13"/>
      <c r="F11" s="13"/>
      <c r="G11" s="4"/>
      <c r="H11" s="4"/>
      <c r="I11" s="4"/>
      <c r="J11" s="4"/>
      <c r="K11" s="4"/>
      <c r="L11" s="4"/>
      <c r="M11" s="4"/>
      <c r="N11" s="5" t="s">
        <v>19</v>
      </c>
      <c r="O11" s="5">
        <f>SUM(O2:O10)</f>
        <v>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3"/>
      <c r="B12" s="13"/>
      <c r="C12" s="13"/>
      <c r="D12" s="13"/>
      <c r="E12" s="13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15" t="s">
        <v>20</v>
      </c>
      <c r="C13" s="16"/>
      <c r="D13" s="16"/>
      <c r="E13" s="16"/>
      <c r="F13" s="1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7"/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18" t="s">
        <v>3</v>
      </c>
      <c r="C15" s="4"/>
      <c r="D15" s="4"/>
      <c r="E15" s="18" t="s">
        <v>4</v>
      </c>
      <c r="F15" s="4"/>
      <c r="G15" s="4"/>
      <c r="H15" s="18" t="s">
        <v>7</v>
      </c>
      <c r="I15" s="4"/>
      <c r="J15" s="4"/>
      <c r="K15" s="18" t="s">
        <v>9</v>
      </c>
      <c r="L15" s="4"/>
      <c r="M15" s="4"/>
      <c r="N15" s="18" t="s">
        <v>13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19" t="s">
        <v>21</v>
      </c>
      <c r="C16" s="20" t="s">
        <v>22</v>
      </c>
      <c r="D16" s="4"/>
      <c r="E16" s="19" t="s">
        <v>21</v>
      </c>
      <c r="F16" s="20" t="s">
        <v>22</v>
      </c>
      <c r="G16" s="4"/>
      <c r="H16" s="19" t="s">
        <v>21</v>
      </c>
      <c r="I16" s="20" t="s">
        <v>22</v>
      </c>
      <c r="J16" s="4"/>
      <c r="K16" s="19" t="s">
        <v>21</v>
      </c>
      <c r="L16" s="20" t="s">
        <v>22</v>
      </c>
      <c r="M16" s="4"/>
      <c r="N16" s="19" t="s">
        <v>21</v>
      </c>
      <c r="O16" s="20" t="s">
        <v>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21"/>
      <c r="C17" s="21"/>
      <c r="D17" s="4"/>
      <c r="E17" s="21"/>
      <c r="F17" s="21"/>
      <c r="G17" s="4"/>
      <c r="H17" s="21"/>
      <c r="I17" s="21"/>
      <c r="J17" s="4"/>
      <c r="K17" s="21"/>
      <c r="L17" s="21"/>
      <c r="M17" s="4"/>
      <c r="N17" s="21"/>
      <c r="O17" s="2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22">
        <v>1.0</v>
      </c>
      <c r="C18" s="23"/>
      <c r="D18" s="4"/>
      <c r="E18" s="22">
        <v>21.0</v>
      </c>
      <c r="F18" s="23"/>
      <c r="G18" s="4"/>
      <c r="H18" s="22">
        <v>41.0</v>
      </c>
      <c r="I18" s="23"/>
      <c r="J18" s="4"/>
      <c r="K18" s="22">
        <v>61.0</v>
      </c>
      <c r="L18" s="23"/>
      <c r="M18" s="4"/>
      <c r="N18" s="22">
        <v>77.0</v>
      </c>
      <c r="O18" s="2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22">
        <v>2.0</v>
      </c>
      <c r="C19" s="23"/>
      <c r="D19" s="4"/>
      <c r="E19" s="22">
        <v>22.0</v>
      </c>
      <c r="F19" s="23"/>
      <c r="G19" s="4"/>
      <c r="H19" s="22">
        <v>42.0</v>
      </c>
      <c r="I19" s="23"/>
      <c r="J19" s="4"/>
      <c r="K19" s="22">
        <v>62.0</v>
      </c>
      <c r="L19" s="23"/>
      <c r="M19" s="4"/>
      <c r="N19" s="22">
        <v>78.0</v>
      </c>
      <c r="O19" s="2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22">
        <v>3.0</v>
      </c>
      <c r="C20" s="23"/>
      <c r="D20" s="4"/>
      <c r="E20" s="22">
        <v>23.0</v>
      </c>
      <c r="F20" s="23"/>
      <c r="G20" s="4"/>
      <c r="H20" s="22">
        <v>43.0</v>
      </c>
      <c r="I20" s="23"/>
      <c r="J20" s="4"/>
      <c r="K20" s="22">
        <v>63.0</v>
      </c>
      <c r="L20" s="23"/>
      <c r="M20" s="4"/>
      <c r="N20" s="22">
        <v>79.0</v>
      </c>
      <c r="O20" s="2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22">
        <v>4.0</v>
      </c>
      <c r="C21" s="23"/>
      <c r="D21" s="4"/>
      <c r="E21" s="22">
        <v>24.0</v>
      </c>
      <c r="F21" s="23"/>
      <c r="G21" s="4"/>
      <c r="H21" s="22">
        <v>44.0</v>
      </c>
      <c r="I21" s="23"/>
      <c r="J21" s="4"/>
      <c r="K21" s="22">
        <v>64.0</v>
      </c>
      <c r="L21" s="23"/>
      <c r="M21" s="4"/>
      <c r="N21" s="22">
        <v>80.0</v>
      </c>
      <c r="O21" s="2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22">
        <v>5.0</v>
      </c>
      <c r="C22" s="23"/>
      <c r="D22" s="4"/>
      <c r="E22" s="22">
        <v>25.0</v>
      </c>
      <c r="F22" s="23"/>
      <c r="G22" s="4"/>
      <c r="H22" s="22">
        <v>45.0</v>
      </c>
      <c r="I22" s="23"/>
      <c r="J22" s="4"/>
      <c r="K22" s="22">
        <v>65.0</v>
      </c>
      <c r="L22" s="23"/>
      <c r="M22" s="4"/>
      <c r="N22" s="22">
        <v>81.0</v>
      </c>
      <c r="O22" s="2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22">
        <v>6.0</v>
      </c>
      <c r="C23" s="23"/>
      <c r="D23" s="4"/>
      <c r="E23" s="22">
        <v>26.0</v>
      </c>
      <c r="F23" s="23"/>
      <c r="G23" s="4"/>
      <c r="H23" s="22">
        <v>46.0</v>
      </c>
      <c r="I23" s="23"/>
      <c r="J23" s="4"/>
      <c r="K23" s="22">
        <v>66.0</v>
      </c>
      <c r="L23" s="23"/>
      <c r="M23" s="4"/>
      <c r="N23" s="22">
        <v>82.0</v>
      </c>
      <c r="O23" s="2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22">
        <v>7.0</v>
      </c>
      <c r="C24" s="23"/>
      <c r="D24" s="4"/>
      <c r="E24" s="22">
        <v>27.0</v>
      </c>
      <c r="F24" s="23"/>
      <c r="G24" s="4"/>
      <c r="H24" s="22">
        <v>47.0</v>
      </c>
      <c r="I24" s="23"/>
      <c r="J24" s="4"/>
      <c r="K24" s="22">
        <v>67.0</v>
      </c>
      <c r="L24" s="23"/>
      <c r="M24" s="4"/>
      <c r="N24" s="22">
        <v>83.0</v>
      </c>
      <c r="O24" s="2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22">
        <v>8.0</v>
      </c>
      <c r="C25" s="23"/>
      <c r="D25" s="4"/>
      <c r="E25" s="22">
        <v>28.0</v>
      </c>
      <c r="F25" s="23"/>
      <c r="G25" s="4"/>
      <c r="H25" s="22">
        <v>48.0</v>
      </c>
      <c r="I25" s="23"/>
      <c r="J25" s="4"/>
      <c r="K25" s="22">
        <v>68.0</v>
      </c>
      <c r="L25" s="23"/>
      <c r="M25" s="4"/>
      <c r="N25" s="22">
        <v>84.0</v>
      </c>
      <c r="O25" s="2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22">
        <v>9.0</v>
      </c>
      <c r="C26" s="23"/>
      <c r="D26" s="4"/>
      <c r="E26" s="22">
        <v>29.0</v>
      </c>
      <c r="F26" s="23"/>
      <c r="G26" s="4"/>
      <c r="H26" s="22">
        <v>49.0</v>
      </c>
      <c r="I26" s="23"/>
      <c r="J26" s="4"/>
      <c r="K26" s="22">
        <v>69.0</v>
      </c>
      <c r="L26" s="23"/>
      <c r="M26" s="4"/>
      <c r="N26" s="22">
        <v>85.0</v>
      </c>
      <c r="O26" s="2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2">
        <v>10.0</v>
      </c>
      <c r="C27" s="23"/>
      <c r="D27" s="4"/>
      <c r="E27" s="22">
        <v>30.0</v>
      </c>
      <c r="F27" s="23"/>
      <c r="G27" s="4"/>
      <c r="H27" s="22">
        <v>50.0</v>
      </c>
      <c r="I27" s="23"/>
      <c r="J27" s="4"/>
      <c r="K27" s="22">
        <v>70.0</v>
      </c>
      <c r="L27" s="23"/>
      <c r="M27" s="4"/>
      <c r="N27" s="22">
        <v>86.0</v>
      </c>
      <c r="O27" s="2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22">
        <v>11.0</v>
      </c>
      <c r="C28" s="23"/>
      <c r="D28" s="4"/>
      <c r="E28" s="22">
        <v>31.0</v>
      </c>
      <c r="F28" s="23"/>
      <c r="G28" s="4"/>
      <c r="H28" s="22">
        <v>51.0</v>
      </c>
      <c r="I28" s="23"/>
      <c r="J28" s="4"/>
      <c r="K28" s="22">
        <v>71.0</v>
      </c>
      <c r="L28" s="23"/>
      <c r="M28" s="4"/>
      <c r="N28" s="22">
        <v>87.0</v>
      </c>
      <c r="O28" s="2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22">
        <v>12.0</v>
      </c>
      <c r="C29" s="23"/>
      <c r="D29" s="4"/>
      <c r="E29" s="22">
        <v>32.0</v>
      </c>
      <c r="F29" s="23"/>
      <c r="G29" s="4"/>
      <c r="H29" s="22">
        <v>52.0</v>
      </c>
      <c r="I29" s="23"/>
      <c r="J29" s="4"/>
      <c r="K29" s="22">
        <v>72.0</v>
      </c>
      <c r="L29" s="23"/>
      <c r="M29" s="4"/>
      <c r="N29" s="22">
        <v>88.0</v>
      </c>
      <c r="O29" s="2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22">
        <v>13.0</v>
      </c>
      <c r="C30" s="23"/>
      <c r="D30" s="4"/>
      <c r="E30" s="22">
        <v>33.0</v>
      </c>
      <c r="F30" s="23"/>
      <c r="G30" s="4"/>
      <c r="H30" s="22">
        <v>53.0</v>
      </c>
      <c r="I30" s="23"/>
      <c r="J30" s="4"/>
      <c r="K30" s="22">
        <v>73.0</v>
      </c>
      <c r="L30" s="23"/>
      <c r="M30" s="4"/>
      <c r="N30" s="22">
        <v>89.0</v>
      </c>
      <c r="O30" s="2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22">
        <v>14.0</v>
      </c>
      <c r="C31" s="23"/>
      <c r="D31" s="4"/>
      <c r="E31" s="22">
        <v>34.0</v>
      </c>
      <c r="F31" s="23"/>
      <c r="G31" s="4"/>
      <c r="H31" s="22">
        <v>54.0</v>
      </c>
      <c r="I31" s="23"/>
      <c r="J31" s="4"/>
      <c r="K31" s="22">
        <v>74.0</v>
      </c>
      <c r="L31" s="23"/>
      <c r="M31" s="4"/>
      <c r="N31" s="22">
        <v>90.0</v>
      </c>
      <c r="O31" s="2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22">
        <v>15.0</v>
      </c>
      <c r="C32" s="23"/>
      <c r="D32" s="4"/>
      <c r="E32" s="22">
        <v>35.0</v>
      </c>
      <c r="F32" s="23"/>
      <c r="G32" s="4"/>
      <c r="H32" s="22">
        <v>55.0</v>
      </c>
      <c r="I32" s="23"/>
      <c r="J32" s="4"/>
      <c r="K32" s="22">
        <v>75.0</v>
      </c>
      <c r="L32" s="23"/>
      <c r="M32" s="4"/>
      <c r="N32" s="22">
        <v>91.0</v>
      </c>
      <c r="O32" s="2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22">
        <v>16.0</v>
      </c>
      <c r="C33" s="23"/>
      <c r="D33" s="4"/>
      <c r="E33" s="22">
        <v>36.0</v>
      </c>
      <c r="F33" s="23"/>
      <c r="G33" s="4"/>
      <c r="H33" s="22">
        <v>56.0</v>
      </c>
      <c r="I33" s="23"/>
      <c r="J33" s="4"/>
      <c r="K33" s="22">
        <v>76.0</v>
      </c>
      <c r="L33" s="23"/>
      <c r="M33" s="4"/>
      <c r="N33" s="22">
        <v>92.0</v>
      </c>
      <c r="O33" s="2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22">
        <v>17.0</v>
      </c>
      <c r="C34" s="23"/>
      <c r="D34" s="4"/>
      <c r="E34" s="22">
        <v>37.0</v>
      </c>
      <c r="F34" s="23"/>
      <c r="G34" s="4"/>
      <c r="H34" s="22">
        <v>57.0</v>
      </c>
      <c r="I34" s="23"/>
      <c r="J34" s="4"/>
      <c r="K34" s="4"/>
      <c r="L34" s="4"/>
      <c r="M34" s="4"/>
      <c r="N34" s="22">
        <v>93.0</v>
      </c>
      <c r="O34" s="2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22">
        <v>18.0</v>
      </c>
      <c r="C35" s="23"/>
      <c r="D35" s="4"/>
      <c r="E35" s="22">
        <v>38.0</v>
      </c>
      <c r="F35" s="23"/>
      <c r="G35" s="4"/>
      <c r="H35" s="22">
        <v>58.0</v>
      </c>
      <c r="I35" s="23"/>
      <c r="J35" s="4"/>
      <c r="K35" s="4"/>
      <c r="L35" s="4"/>
      <c r="M35" s="4"/>
      <c r="N35" s="22">
        <v>94.0</v>
      </c>
      <c r="O35" s="2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22">
        <v>19.0</v>
      </c>
      <c r="C36" s="23"/>
      <c r="D36" s="4"/>
      <c r="E36" s="22">
        <v>39.0</v>
      </c>
      <c r="F36" s="23"/>
      <c r="G36" s="4"/>
      <c r="H36" s="22">
        <v>59.0</v>
      </c>
      <c r="I36" s="23"/>
      <c r="J36" s="4"/>
      <c r="K36" s="4"/>
      <c r="L36" s="4"/>
      <c r="M36" s="4"/>
      <c r="N36" s="22">
        <v>95.0</v>
      </c>
      <c r="O36" s="2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22">
        <v>20.0</v>
      </c>
      <c r="C37" s="23"/>
      <c r="D37" s="4"/>
      <c r="E37" s="22">
        <v>40.0</v>
      </c>
      <c r="F37" s="23"/>
      <c r="G37" s="4"/>
      <c r="H37" s="22">
        <v>60.0</v>
      </c>
      <c r="I37" s="23"/>
      <c r="J37" s="4"/>
      <c r="K37" s="4"/>
      <c r="L37" s="4"/>
      <c r="M37" s="4"/>
      <c r="N37" s="22">
        <v>96.0</v>
      </c>
      <c r="O37" s="2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18" t="s">
        <v>15</v>
      </c>
      <c r="C41" s="4"/>
      <c r="D41" s="4"/>
      <c r="E41" s="18" t="s">
        <v>17</v>
      </c>
      <c r="F41" s="4"/>
      <c r="G41" s="4"/>
      <c r="H41" s="18" t="s">
        <v>18</v>
      </c>
      <c r="I41" s="4"/>
      <c r="J41" s="4"/>
      <c r="K41" s="18" t="s">
        <v>11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19" t="s">
        <v>21</v>
      </c>
      <c r="C42" s="20" t="s">
        <v>22</v>
      </c>
      <c r="D42" s="4"/>
      <c r="E42" s="20" t="s">
        <v>21</v>
      </c>
      <c r="F42" s="20" t="s">
        <v>22</v>
      </c>
      <c r="G42" s="4"/>
      <c r="H42" s="19" t="s">
        <v>21</v>
      </c>
      <c r="I42" s="20" t="s">
        <v>22</v>
      </c>
      <c r="J42" s="4"/>
      <c r="K42" s="19" t="s">
        <v>21</v>
      </c>
      <c r="L42" s="20" t="s">
        <v>22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21"/>
      <c r="C43" s="21"/>
      <c r="D43" s="4"/>
      <c r="E43" s="21"/>
      <c r="F43" s="21"/>
      <c r="G43" s="4"/>
      <c r="H43" s="21"/>
      <c r="I43" s="21"/>
      <c r="J43" s="4"/>
      <c r="K43" s="21"/>
      <c r="L43" s="2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22">
        <v>97.0</v>
      </c>
      <c r="C44" s="24"/>
      <c r="D44" s="4"/>
      <c r="E44" s="22">
        <v>117.0</v>
      </c>
      <c r="F44" s="23"/>
      <c r="G44" s="4"/>
      <c r="H44" s="22">
        <v>137.0</v>
      </c>
      <c r="I44" s="23"/>
      <c r="J44" s="4"/>
      <c r="K44" s="22">
        <v>157.0</v>
      </c>
      <c r="L44" s="2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22">
        <v>98.0</v>
      </c>
      <c r="C45" s="24"/>
      <c r="D45" s="4"/>
      <c r="E45" s="22">
        <v>118.0</v>
      </c>
      <c r="F45" s="23"/>
      <c r="G45" s="4"/>
      <c r="H45" s="22">
        <v>138.0</v>
      </c>
      <c r="I45" s="23"/>
      <c r="J45" s="4"/>
      <c r="K45" s="22">
        <v>158.0</v>
      </c>
      <c r="L45" s="2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22">
        <v>99.0</v>
      </c>
      <c r="C46" s="24"/>
      <c r="D46" s="4"/>
      <c r="E46" s="22">
        <v>119.0</v>
      </c>
      <c r="F46" s="23"/>
      <c r="G46" s="4"/>
      <c r="H46" s="22">
        <v>139.0</v>
      </c>
      <c r="I46" s="23"/>
      <c r="J46" s="4"/>
      <c r="K46" s="22">
        <v>159.0</v>
      </c>
      <c r="L46" s="2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22">
        <v>100.0</v>
      </c>
      <c r="C47" s="24"/>
      <c r="D47" s="4"/>
      <c r="E47" s="22">
        <v>120.0</v>
      </c>
      <c r="F47" s="23"/>
      <c r="G47" s="4"/>
      <c r="H47" s="22">
        <v>140.0</v>
      </c>
      <c r="I47" s="23"/>
      <c r="J47" s="4"/>
      <c r="K47" s="22">
        <v>160.0</v>
      </c>
      <c r="L47" s="2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22">
        <v>101.0</v>
      </c>
      <c r="C48" s="24"/>
      <c r="D48" s="4"/>
      <c r="E48" s="22">
        <v>121.0</v>
      </c>
      <c r="F48" s="23"/>
      <c r="G48" s="4"/>
      <c r="H48" s="22">
        <v>141.0</v>
      </c>
      <c r="I48" s="23"/>
      <c r="J48" s="4"/>
      <c r="K48" s="22">
        <v>161.0</v>
      </c>
      <c r="L48" s="2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22">
        <v>102.0</v>
      </c>
      <c r="C49" s="24"/>
      <c r="D49" s="4"/>
      <c r="E49" s="22">
        <v>122.0</v>
      </c>
      <c r="F49" s="23"/>
      <c r="G49" s="4"/>
      <c r="H49" s="22">
        <v>142.0</v>
      </c>
      <c r="I49" s="23"/>
      <c r="J49" s="4"/>
      <c r="K49" s="22">
        <v>162.0</v>
      </c>
      <c r="L49" s="2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22">
        <v>103.0</v>
      </c>
      <c r="C50" s="24"/>
      <c r="D50" s="4"/>
      <c r="E50" s="22">
        <v>123.0</v>
      </c>
      <c r="F50" s="23"/>
      <c r="G50" s="4"/>
      <c r="H50" s="22">
        <v>143.0</v>
      </c>
      <c r="I50" s="23"/>
      <c r="J50" s="4"/>
      <c r="K50" s="22">
        <v>163.0</v>
      </c>
      <c r="L50" s="2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22">
        <v>104.0</v>
      </c>
      <c r="C51" s="24"/>
      <c r="D51" s="4"/>
      <c r="E51" s="22">
        <v>124.0</v>
      </c>
      <c r="F51" s="23"/>
      <c r="G51" s="4"/>
      <c r="H51" s="22">
        <v>144.0</v>
      </c>
      <c r="I51" s="23"/>
      <c r="J51" s="4"/>
      <c r="K51" s="22">
        <v>164.0</v>
      </c>
      <c r="L51" s="2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22">
        <v>105.0</v>
      </c>
      <c r="C52" s="24"/>
      <c r="D52" s="4"/>
      <c r="E52" s="22">
        <v>125.0</v>
      </c>
      <c r="F52" s="23"/>
      <c r="G52" s="4"/>
      <c r="H52" s="22">
        <v>145.0</v>
      </c>
      <c r="I52" s="23"/>
      <c r="J52" s="4"/>
      <c r="K52" s="22">
        <v>165.0</v>
      </c>
      <c r="L52" s="2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22">
        <v>106.0</v>
      </c>
      <c r="C53" s="24"/>
      <c r="D53" s="4"/>
      <c r="E53" s="22">
        <v>126.0</v>
      </c>
      <c r="F53" s="23"/>
      <c r="G53" s="4"/>
      <c r="H53" s="22">
        <v>146.0</v>
      </c>
      <c r="I53" s="23"/>
      <c r="J53" s="4"/>
      <c r="K53" s="22">
        <v>166.0</v>
      </c>
      <c r="L53" s="2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22">
        <v>107.0</v>
      </c>
      <c r="C54" s="24"/>
      <c r="D54" s="4"/>
      <c r="E54" s="22">
        <v>127.0</v>
      </c>
      <c r="F54" s="23"/>
      <c r="G54" s="4"/>
      <c r="H54" s="22">
        <v>147.0</v>
      </c>
      <c r="I54" s="23"/>
      <c r="J54" s="4"/>
      <c r="K54" s="22">
        <v>167.0</v>
      </c>
      <c r="L54" s="2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22">
        <v>108.0</v>
      </c>
      <c r="C55" s="24"/>
      <c r="D55" s="4"/>
      <c r="E55" s="22">
        <v>128.0</v>
      </c>
      <c r="F55" s="23"/>
      <c r="G55" s="4"/>
      <c r="H55" s="22">
        <v>148.0</v>
      </c>
      <c r="I55" s="23"/>
      <c r="J55" s="4"/>
      <c r="K55" s="22">
        <v>168.0</v>
      </c>
      <c r="L55" s="2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22">
        <v>109.0</v>
      </c>
      <c r="C56" s="24"/>
      <c r="D56" s="4"/>
      <c r="E56" s="22">
        <v>129.0</v>
      </c>
      <c r="F56" s="23"/>
      <c r="G56" s="4"/>
      <c r="H56" s="22">
        <v>149.0</v>
      </c>
      <c r="I56" s="23"/>
      <c r="J56" s="4"/>
      <c r="K56" s="22">
        <v>169.0</v>
      </c>
      <c r="L56" s="2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22">
        <v>110.0</v>
      </c>
      <c r="C57" s="24"/>
      <c r="D57" s="4"/>
      <c r="E57" s="22">
        <v>130.0</v>
      </c>
      <c r="F57" s="23"/>
      <c r="G57" s="4"/>
      <c r="H57" s="22">
        <v>150.0</v>
      </c>
      <c r="I57" s="23"/>
      <c r="J57" s="4"/>
      <c r="K57" s="22">
        <v>170.0</v>
      </c>
      <c r="L57" s="2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22">
        <v>111.0</v>
      </c>
      <c r="C58" s="24"/>
      <c r="D58" s="4"/>
      <c r="E58" s="22">
        <v>131.0</v>
      </c>
      <c r="F58" s="23"/>
      <c r="G58" s="4"/>
      <c r="H58" s="22">
        <v>151.0</v>
      </c>
      <c r="I58" s="23"/>
      <c r="J58" s="4"/>
      <c r="K58" s="22">
        <v>171.0</v>
      </c>
      <c r="L58" s="2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22">
        <v>112.0</v>
      </c>
      <c r="C59" s="24"/>
      <c r="D59" s="4"/>
      <c r="E59" s="22">
        <v>132.0</v>
      </c>
      <c r="F59" s="23"/>
      <c r="G59" s="4"/>
      <c r="H59" s="22">
        <v>152.0</v>
      </c>
      <c r="I59" s="23"/>
      <c r="J59" s="4"/>
      <c r="K59" s="22">
        <v>172.0</v>
      </c>
      <c r="L59" s="2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22">
        <v>113.0</v>
      </c>
      <c r="C60" s="24"/>
      <c r="D60" s="4"/>
      <c r="E60" s="22">
        <v>133.0</v>
      </c>
      <c r="F60" s="23"/>
      <c r="G60" s="4"/>
      <c r="H60" s="22">
        <v>153.0</v>
      </c>
      <c r="I60" s="23"/>
      <c r="J60" s="4"/>
      <c r="K60" s="22">
        <v>173.0</v>
      </c>
      <c r="L60" s="2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22">
        <v>114.0</v>
      </c>
      <c r="C61" s="24"/>
      <c r="D61" s="4"/>
      <c r="E61" s="22">
        <v>134.0</v>
      </c>
      <c r="F61" s="23"/>
      <c r="G61" s="4"/>
      <c r="H61" s="22">
        <v>154.0</v>
      </c>
      <c r="I61" s="23"/>
      <c r="J61" s="4"/>
      <c r="K61" s="22">
        <v>174.0</v>
      </c>
      <c r="L61" s="2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22">
        <v>115.0</v>
      </c>
      <c r="C62" s="24"/>
      <c r="D62" s="4"/>
      <c r="E62" s="22">
        <v>135.0</v>
      </c>
      <c r="F62" s="23"/>
      <c r="G62" s="4"/>
      <c r="H62" s="22">
        <v>155.0</v>
      </c>
      <c r="I62" s="23"/>
      <c r="J62" s="4"/>
      <c r="K62" s="22">
        <v>175.0</v>
      </c>
      <c r="L62" s="2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22">
        <v>116.0</v>
      </c>
      <c r="C63" s="24"/>
      <c r="D63" s="4"/>
      <c r="E63" s="22">
        <v>136.0</v>
      </c>
      <c r="F63" s="23"/>
      <c r="G63" s="4"/>
      <c r="H63" s="22">
        <v>156.0</v>
      </c>
      <c r="I63" s="23"/>
      <c r="J63" s="4"/>
      <c r="K63" s="22">
        <v>176.0</v>
      </c>
      <c r="L63" s="2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hidden="1" customHeight="1">
      <c r="A71" s="4"/>
      <c r="B71" s="20" t="s">
        <v>23</v>
      </c>
      <c r="C71" s="19" t="s">
        <v>24</v>
      </c>
      <c r="D71" s="4"/>
      <c r="E71" s="20" t="s">
        <v>25</v>
      </c>
      <c r="F71" s="19" t="s">
        <v>24</v>
      </c>
      <c r="G71" s="4"/>
      <c r="H71" s="20" t="s">
        <v>26</v>
      </c>
      <c r="I71" s="19" t="s">
        <v>24</v>
      </c>
      <c r="J71" s="4"/>
      <c r="K71" s="19" t="s">
        <v>27</v>
      </c>
      <c r="L71" s="4"/>
      <c r="M71" s="4"/>
      <c r="N71" s="20" t="s">
        <v>28</v>
      </c>
      <c r="O71" s="19" t="s">
        <v>24</v>
      </c>
      <c r="P71" s="4"/>
      <c r="Q71" s="25" t="s">
        <v>29</v>
      </c>
      <c r="R71" s="26"/>
      <c r="S71" s="4"/>
      <c r="T71" s="4"/>
      <c r="U71" s="4"/>
      <c r="V71" s="4"/>
      <c r="W71" s="4"/>
      <c r="X71" s="4"/>
      <c r="Y71" s="4"/>
      <c r="Z71" s="4"/>
    </row>
    <row r="72" ht="12.75" hidden="1" customHeight="1">
      <c r="A72" s="4"/>
      <c r="B72" s="21"/>
      <c r="C72" s="21"/>
      <c r="D72" s="4"/>
      <c r="E72" s="21"/>
      <c r="F72" s="21"/>
      <c r="G72" s="4"/>
      <c r="H72" s="21"/>
      <c r="I72" s="21"/>
      <c r="J72" s="4"/>
      <c r="K72" s="21"/>
      <c r="L72" s="4"/>
      <c r="M72" s="4"/>
      <c r="N72" s="21"/>
      <c r="O72" s="21"/>
      <c r="P72" s="4"/>
      <c r="Q72" s="27"/>
      <c r="R72" s="28"/>
      <c r="S72" s="4"/>
      <c r="T72" s="4"/>
      <c r="U72" s="4"/>
      <c r="V72" s="4"/>
      <c r="W72" s="4"/>
      <c r="X72" s="4"/>
      <c r="Y72" s="4"/>
      <c r="Z72" s="4"/>
    </row>
    <row r="73" ht="12.75" hidden="1" customHeight="1">
      <c r="A73" s="4"/>
      <c r="B73" s="29" t="s">
        <v>30</v>
      </c>
      <c r="C73" s="29">
        <f t="shared" ref="C73:C92" si="1">IF(C18=B73,1,0)</f>
        <v>0</v>
      </c>
      <c r="D73" s="4"/>
      <c r="E73" s="29" t="s">
        <v>31</v>
      </c>
      <c r="F73" s="29">
        <f t="shared" ref="F73:F92" si="2">IF(F18=E73,1,0)</f>
        <v>0</v>
      </c>
      <c r="G73" s="4"/>
      <c r="H73" s="29" t="s">
        <v>32</v>
      </c>
      <c r="I73" s="29">
        <f t="shared" ref="I73:I92" si="3">IF(I18=H73,1,0)</f>
        <v>0</v>
      </c>
      <c r="J73" s="4"/>
      <c r="K73" s="29">
        <f>IF(L18="bunga",2,IF(L18="kembang",2,IF(L18="perdu",2,IF(L18="tumbuh-tumbuhan",1,IF(L18="tumbuhan",1,IF(L18="tanaman",1,IF(L18="tangkai",1,IF(L18="harum",1,0))))))))</f>
        <v>0</v>
      </c>
      <c r="L73" s="4"/>
      <c r="M73" s="4"/>
      <c r="N73" s="29">
        <v>35.0</v>
      </c>
      <c r="O73" s="29">
        <f>IF(O18=35,1,IF(O18=53,1,0))</f>
        <v>0</v>
      </c>
      <c r="P73" s="4"/>
      <c r="Q73" s="29">
        <v>0.0</v>
      </c>
      <c r="R73" s="30">
        <v>0.0</v>
      </c>
      <c r="S73" s="4"/>
      <c r="T73" s="4"/>
      <c r="U73" s="4"/>
      <c r="V73" s="4"/>
      <c r="W73" s="4"/>
      <c r="X73" s="4"/>
      <c r="Y73" s="4"/>
      <c r="Z73" s="4"/>
    </row>
    <row r="74" ht="12.75" hidden="1" customHeight="1">
      <c r="A74" s="4"/>
      <c r="B74" s="29" t="s">
        <v>32</v>
      </c>
      <c r="C74" s="29">
        <f t="shared" si="1"/>
        <v>0</v>
      </c>
      <c r="D74" s="4"/>
      <c r="E74" s="29" t="s">
        <v>33</v>
      </c>
      <c r="F74" s="29">
        <f t="shared" si="2"/>
        <v>0</v>
      </c>
      <c r="G74" s="4"/>
      <c r="H74" s="29" t="s">
        <v>30</v>
      </c>
      <c r="I74" s="29">
        <f t="shared" si="3"/>
        <v>0</v>
      </c>
      <c r="J74" s="4"/>
      <c r="K74" s="29">
        <f>IF(L19="alat indra",2,IF(L19="indra",2,IF(L19="panca indra",2,IF(L19="organ",1,IF(L19="organ tubuh",1,IF(L19="alat tubuh",1,IF(L19="bagian tubuh",1,0)))))))</f>
        <v>0</v>
      </c>
      <c r="L74" s="4"/>
      <c r="M74" s="4"/>
      <c r="N74" s="29">
        <v>280.0</v>
      </c>
      <c r="O74" s="29">
        <f>IF(O19=280,1,IF(O19=208,1,IF(O19=28,1,IF(O19=82,1,IF(O19=802,1,IF(O19=820,1,0))))))</f>
        <v>0</v>
      </c>
      <c r="P74" s="4"/>
      <c r="Q74" s="29">
        <v>1.0</v>
      </c>
      <c r="R74" s="30">
        <v>1.0</v>
      </c>
      <c r="S74" s="4"/>
      <c r="T74" s="4"/>
      <c r="U74" s="4"/>
      <c r="V74" s="4"/>
      <c r="W74" s="4"/>
      <c r="X74" s="4"/>
      <c r="Y74" s="4"/>
      <c r="Z74" s="4"/>
    </row>
    <row r="75" ht="12.75" hidden="1" customHeight="1">
      <c r="A75" s="4"/>
      <c r="B75" s="29" t="s">
        <v>34</v>
      </c>
      <c r="C75" s="29">
        <f t="shared" si="1"/>
        <v>0</v>
      </c>
      <c r="D75" s="4"/>
      <c r="E75" s="29" t="s">
        <v>34</v>
      </c>
      <c r="F75" s="29">
        <f t="shared" si="2"/>
        <v>0</v>
      </c>
      <c r="G75" s="4"/>
      <c r="H75" s="29" t="s">
        <v>34</v>
      </c>
      <c r="I75" s="29">
        <f t="shared" si="3"/>
        <v>0</v>
      </c>
      <c r="J75" s="4"/>
      <c r="K75" s="29">
        <f>IF(L20="hablur",2,IF(L20="kristal",2,IF(L20="zat arang",2,IF(L20="berkilau",1,IF(L20="berkilauanan",1,IF(L20="mengkilat",1,IF(L20="bening",1,0)))))))</f>
        <v>0</v>
      </c>
      <c r="L75" s="4"/>
      <c r="M75" s="4"/>
      <c r="N75" s="29">
        <v>250.0</v>
      </c>
      <c r="O75" s="29">
        <f>IF(O20=250,1,IF(O20=205,1,IF(O20=25,1,IF(O20=52,1,IF(O20=502,1,IF(O20=520,1,0))))))</f>
        <v>0</v>
      </c>
      <c r="P75" s="4"/>
      <c r="Q75" s="29">
        <v>2.0</v>
      </c>
      <c r="R75" s="30">
        <v>2.0</v>
      </c>
      <c r="S75" s="4"/>
      <c r="T75" s="4"/>
      <c r="U75" s="4"/>
      <c r="V75" s="4"/>
      <c r="W75" s="4"/>
      <c r="X75" s="4"/>
      <c r="Y75" s="4"/>
      <c r="Z75" s="4"/>
    </row>
    <row r="76" ht="12.75" hidden="1" customHeight="1">
      <c r="A76" s="4"/>
      <c r="B76" s="29" t="s">
        <v>34</v>
      </c>
      <c r="C76" s="29">
        <f t="shared" si="1"/>
        <v>0</v>
      </c>
      <c r="D76" s="4"/>
      <c r="E76" s="29" t="s">
        <v>32</v>
      </c>
      <c r="F76" s="29">
        <f t="shared" si="2"/>
        <v>0</v>
      </c>
      <c r="G76" s="4"/>
      <c r="H76" s="29" t="s">
        <v>34</v>
      </c>
      <c r="I76" s="29">
        <f t="shared" si="3"/>
        <v>0</v>
      </c>
      <c r="J76" s="4"/>
      <c r="K76" s="29">
        <f>IF(L21="cuaca",2,IF(L21="musim",2,IF(L21="air",1,IF(L21="basah",1,IF(L21="gejala alam",1,0)))))</f>
        <v>0</v>
      </c>
      <c r="L76" s="4"/>
      <c r="M76" s="4"/>
      <c r="N76" s="29">
        <v>26.0</v>
      </c>
      <c r="O76" s="29">
        <f>IF(O21=26,1,IF(O21=62,1,0))</f>
        <v>0</v>
      </c>
      <c r="P76" s="4"/>
      <c r="Q76" s="29">
        <v>3.0</v>
      </c>
      <c r="R76" s="30">
        <v>3.0</v>
      </c>
      <c r="S76" s="4"/>
      <c r="T76" s="4"/>
      <c r="U76" s="4"/>
      <c r="V76" s="4"/>
      <c r="W76" s="4"/>
      <c r="X76" s="4"/>
      <c r="Y76" s="4"/>
      <c r="Z76" s="4"/>
    </row>
    <row r="77" ht="12.75" hidden="1" customHeight="1">
      <c r="A77" s="4"/>
      <c r="B77" s="29" t="s">
        <v>30</v>
      </c>
      <c r="C77" s="29">
        <f t="shared" si="1"/>
        <v>0</v>
      </c>
      <c r="D77" s="4"/>
      <c r="E77" s="29" t="s">
        <v>32</v>
      </c>
      <c r="F77" s="29">
        <f t="shared" si="2"/>
        <v>0</v>
      </c>
      <c r="G77" s="4"/>
      <c r="H77" s="29" t="s">
        <v>34</v>
      </c>
      <c r="I77" s="29">
        <f t="shared" si="3"/>
        <v>0</v>
      </c>
      <c r="J77" s="4"/>
      <c r="K77" s="29">
        <f>IF(L22="pembawa berita",2,IF(L22="alat perhubungan",2,IF(L22="alat komunikasi",2,IF(L22="pos",1,IF(L22="p.t.t",1,IF(L22="telekomunikasi",1,IF(L22="perhubungan",1,IF(L22="komunikasi",1,0))))))))</f>
        <v>0</v>
      </c>
      <c r="L77" s="4"/>
      <c r="M77" s="4"/>
      <c r="N77" s="29">
        <v>30.0</v>
      </c>
      <c r="O77" s="29">
        <f>IF(O22=30,1,IF(O22=3,1,0))</f>
        <v>0</v>
      </c>
      <c r="P77" s="4"/>
      <c r="Q77" s="29">
        <v>4.0</v>
      </c>
      <c r="R77" s="30">
        <v>4.0</v>
      </c>
      <c r="S77" s="4"/>
      <c r="T77" s="4"/>
      <c r="U77" s="4"/>
      <c r="V77" s="4"/>
      <c r="W77" s="4"/>
      <c r="X77" s="4"/>
      <c r="Y77" s="4"/>
      <c r="Z77" s="4"/>
    </row>
    <row r="78" ht="12.75" hidden="1" customHeight="1">
      <c r="A78" s="4"/>
      <c r="B78" s="29" t="s">
        <v>33</v>
      </c>
      <c r="C78" s="29">
        <f t="shared" si="1"/>
        <v>0</v>
      </c>
      <c r="D78" s="4"/>
      <c r="E78" s="29" t="s">
        <v>32</v>
      </c>
      <c r="F78" s="29">
        <f t="shared" si="2"/>
        <v>0</v>
      </c>
      <c r="G78" s="4"/>
      <c r="H78" s="29" t="s">
        <v>33</v>
      </c>
      <c r="I78" s="29">
        <f t="shared" si="3"/>
        <v>0</v>
      </c>
      <c r="J78" s="4"/>
      <c r="K78" s="29">
        <f>IF(L23="alat optik",2,IF(L23="optik",2,IF(L23="lensa",1,0)))</f>
        <v>0</v>
      </c>
      <c r="L78" s="4"/>
      <c r="M78" s="4"/>
      <c r="N78" s="29">
        <v>70.0</v>
      </c>
      <c r="O78" s="29">
        <f>IF(O23=70,1,IF(O23=7,1,0))</f>
        <v>0</v>
      </c>
      <c r="P78" s="4"/>
      <c r="Q78" s="29">
        <v>5.0</v>
      </c>
      <c r="R78" s="30">
        <v>5.0</v>
      </c>
      <c r="S78" s="4"/>
      <c r="T78" s="4"/>
      <c r="U78" s="4"/>
      <c r="V78" s="4"/>
      <c r="W78" s="4"/>
      <c r="X78" s="4"/>
      <c r="Y78" s="4"/>
      <c r="Z78" s="4"/>
    </row>
    <row r="79" ht="12.75" hidden="1" customHeight="1">
      <c r="A79" s="4"/>
      <c r="B79" s="29" t="s">
        <v>32</v>
      </c>
      <c r="C79" s="29">
        <f t="shared" si="1"/>
        <v>0</v>
      </c>
      <c r="D79" s="4"/>
      <c r="E79" s="29" t="s">
        <v>32</v>
      </c>
      <c r="F79" s="29">
        <f t="shared" si="2"/>
        <v>0</v>
      </c>
      <c r="G79" s="4"/>
      <c r="H79" s="29" t="s">
        <v>34</v>
      </c>
      <c r="I79" s="29">
        <f t="shared" si="3"/>
        <v>0</v>
      </c>
      <c r="J79" s="4"/>
      <c r="K79" s="29">
        <f>IF(L24="alat pencernaan",2,IF(L24="jalan makanan",1,IF(L24="perut",1,IF(L24="isi perut",1,IF(L24="pencernaan",1,IF(L24="pencernaan makanan",1,0))))))</f>
        <v>0</v>
      </c>
      <c r="L79" s="4"/>
      <c r="M79" s="4"/>
      <c r="N79" s="29">
        <v>45.0</v>
      </c>
      <c r="O79" s="29">
        <f>IF(O24=45,1,IF(O24=54,1,0))</f>
        <v>0</v>
      </c>
      <c r="P79" s="4"/>
      <c r="Q79" s="29">
        <v>6.0</v>
      </c>
      <c r="R79" s="30">
        <v>5.0</v>
      </c>
      <c r="S79" s="4"/>
      <c r="T79" s="4"/>
      <c r="U79" s="4"/>
      <c r="V79" s="4"/>
      <c r="W79" s="4"/>
      <c r="X79" s="4"/>
      <c r="Y79" s="4"/>
      <c r="Z79" s="4"/>
    </row>
    <row r="80" ht="12.75" hidden="1" customHeight="1">
      <c r="A80" s="4"/>
      <c r="B80" s="29" t="s">
        <v>31</v>
      </c>
      <c r="C80" s="29">
        <f t="shared" si="1"/>
        <v>0</v>
      </c>
      <c r="D80" s="4"/>
      <c r="E80" s="29" t="s">
        <v>34</v>
      </c>
      <c r="F80" s="29">
        <f t="shared" si="2"/>
        <v>0</v>
      </c>
      <c r="G80" s="4"/>
      <c r="H80" s="29" t="s">
        <v>33</v>
      </c>
      <c r="I80" s="29">
        <f t="shared" si="3"/>
        <v>0</v>
      </c>
      <c r="J80" s="4"/>
      <c r="K80" s="29">
        <f>IF(L25="penyebut jumlah",2,IF(L25="pengertian jumlah",2,IF(L25="jumlah",2,IF(L25="kuantitas",2,IF(L25="mengukur",1,IF(L25="ukuran",1,IF(L25="ukur",1,0)))))))</f>
        <v>0</v>
      </c>
      <c r="L80" s="4"/>
      <c r="M80" s="4"/>
      <c r="N80" s="29">
        <v>50.0</v>
      </c>
      <c r="O80" s="29">
        <f>IF(O25=50,1,IF(O25=5,1,0))</f>
        <v>0</v>
      </c>
      <c r="P80" s="4"/>
      <c r="Q80" s="29">
        <v>7.0</v>
      </c>
      <c r="R80" s="30">
        <v>6.0</v>
      </c>
      <c r="S80" s="4"/>
      <c r="T80" s="4"/>
      <c r="U80" s="4"/>
      <c r="V80" s="4"/>
      <c r="W80" s="4"/>
      <c r="X80" s="4"/>
      <c r="Y80" s="4"/>
      <c r="Z80" s="4"/>
    </row>
    <row r="81" ht="12.75" hidden="1" customHeight="1">
      <c r="A81" s="4"/>
      <c r="B81" s="29" t="s">
        <v>30</v>
      </c>
      <c r="C81" s="29">
        <f t="shared" si="1"/>
        <v>0</v>
      </c>
      <c r="D81" s="4"/>
      <c r="E81" s="29" t="s">
        <v>34</v>
      </c>
      <c r="F81" s="29">
        <f t="shared" si="2"/>
        <v>0</v>
      </c>
      <c r="G81" s="4"/>
      <c r="H81" s="29" t="s">
        <v>30</v>
      </c>
      <c r="I81" s="29">
        <f t="shared" si="3"/>
        <v>0</v>
      </c>
      <c r="J81" s="4"/>
      <c r="K81" s="29">
        <f>IF(L26="bibit",2,IF(L26="bakal",2,IF(L26="alat pembiak",2,IF(L26="permulaan kehidupan",2,IF(L26="sel",1,IF(L26="pembiakan",1,IF(L26="perkembangbiakan",1,IF(L26="berkembangbiak",1,0))))))))</f>
        <v>0</v>
      </c>
      <c r="L81" s="4"/>
      <c r="M81" s="4"/>
      <c r="N81" s="29">
        <v>48.0</v>
      </c>
      <c r="O81" s="29">
        <f>IF(O26=48,1,IF(O26=84,1,0))</f>
        <v>0</v>
      </c>
      <c r="P81" s="4"/>
      <c r="Q81" s="29">
        <v>8.0</v>
      </c>
      <c r="R81" s="30">
        <v>6.0</v>
      </c>
      <c r="S81" s="4"/>
      <c r="T81" s="4"/>
      <c r="U81" s="4"/>
      <c r="V81" s="4"/>
      <c r="W81" s="4"/>
      <c r="X81" s="4"/>
      <c r="Y81" s="4"/>
      <c r="Z81" s="4"/>
    </row>
    <row r="82" ht="12.75" hidden="1" customHeight="1">
      <c r="A82" s="4"/>
      <c r="B82" s="29" t="s">
        <v>33</v>
      </c>
      <c r="C82" s="29">
        <f t="shared" si="1"/>
        <v>0</v>
      </c>
      <c r="D82" s="4"/>
      <c r="E82" s="29" t="s">
        <v>31</v>
      </c>
      <c r="F82" s="29">
        <f t="shared" si="2"/>
        <v>0</v>
      </c>
      <c r="G82" s="4"/>
      <c r="H82" s="29" t="s">
        <v>34</v>
      </c>
      <c r="I82" s="29">
        <f t="shared" si="3"/>
        <v>0</v>
      </c>
      <c r="J82" s="4"/>
      <c r="K82" s="29">
        <f>IF(L27="simbol",2,IF(L27="lambang",2,IF(L27="tanda",2,IF(L27="nama",1,IF(L27="pengenal",1,IF(L27="tanda pengenal",1,0))))))</f>
        <v>0</v>
      </c>
      <c r="L82" s="4"/>
      <c r="M82" s="4"/>
      <c r="N82" s="29">
        <v>78.0</v>
      </c>
      <c r="O82" s="29">
        <f>IF(O27=78,1,IF(O27=87,1,0))</f>
        <v>0</v>
      </c>
      <c r="P82" s="4"/>
      <c r="Q82" s="29">
        <v>9.0</v>
      </c>
      <c r="R82" s="30">
        <v>7.0</v>
      </c>
      <c r="S82" s="4"/>
      <c r="T82" s="4"/>
      <c r="U82" s="4"/>
      <c r="V82" s="4"/>
      <c r="W82" s="4"/>
      <c r="X82" s="4"/>
      <c r="Y82" s="4"/>
      <c r="Z82" s="4"/>
    </row>
    <row r="83" ht="12.75" hidden="1" customHeight="1">
      <c r="A83" s="4"/>
      <c r="B83" s="29" t="s">
        <v>32</v>
      </c>
      <c r="C83" s="29">
        <f t="shared" si="1"/>
        <v>0</v>
      </c>
      <c r="D83" s="4"/>
      <c r="E83" s="29" t="s">
        <v>30</v>
      </c>
      <c r="F83" s="29">
        <f t="shared" si="2"/>
        <v>0</v>
      </c>
      <c r="G83" s="4"/>
      <c r="H83" s="29" t="s">
        <v>32</v>
      </c>
      <c r="I83" s="29">
        <f t="shared" si="3"/>
        <v>0</v>
      </c>
      <c r="J83" s="4"/>
      <c r="K83" s="29">
        <f>IF(L28="makhluk",2,IF(L28="makhluk hidup",2,IF(L28="organisme",2,IF(L28="tumbuh",1,IF(L28="biologi",1,IF(L28="ilmu hayat",1,IF(L28="ilmu hayati",1,0)))))))</f>
        <v>0</v>
      </c>
      <c r="L83" s="4"/>
      <c r="M83" s="4"/>
      <c r="N83" s="29">
        <v>19.0</v>
      </c>
      <c r="O83" s="29">
        <f>IF(O28=19,1,IF(O28=91,1,0))</f>
        <v>0</v>
      </c>
      <c r="P83" s="4"/>
      <c r="Q83" s="29">
        <v>10.0</v>
      </c>
      <c r="R83" s="30">
        <v>7.0</v>
      </c>
      <c r="S83" s="4"/>
      <c r="T83" s="4"/>
      <c r="U83" s="4"/>
      <c r="V83" s="4"/>
      <c r="W83" s="4"/>
      <c r="X83" s="4"/>
      <c r="Y83" s="4"/>
      <c r="Z83" s="4"/>
    </row>
    <row r="84" ht="12.75" hidden="1" customHeight="1">
      <c r="A84" s="4"/>
      <c r="B84" s="29" t="s">
        <v>34</v>
      </c>
      <c r="C84" s="29">
        <f t="shared" si="1"/>
        <v>0</v>
      </c>
      <c r="D84" s="4"/>
      <c r="E84" s="29" t="s">
        <v>31</v>
      </c>
      <c r="F84" s="29">
        <f t="shared" si="2"/>
        <v>0</v>
      </c>
      <c r="G84" s="4"/>
      <c r="H84" s="29" t="s">
        <v>32</v>
      </c>
      <c r="I84" s="29">
        <f t="shared" si="3"/>
        <v>0</v>
      </c>
      <c r="J84" s="4"/>
      <c r="K84" s="29">
        <f>IF(L29="wadah",2,IF(L29="tempat mengisi",2,IF(L29="tempat penyimpan",2,IF(L29="tempat penyimpanan",2,IF(L29="tempat susuatu",1,IF(L29="alat",1,IF(L29="tempat",1,IF(L29="benda",1,0))))))))</f>
        <v>0</v>
      </c>
      <c r="L84" s="4"/>
      <c r="M84" s="4"/>
      <c r="N84" s="29">
        <v>6.0</v>
      </c>
      <c r="O84" s="29">
        <f>IF(O29=N84,1,0)</f>
        <v>0</v>
      </c>
      <c r="P84" s="4"/>
      <c r="Q84" s="29">
        <v>11.0</v>
      </c>
      <c r="R84" s="30">
        <v>8.0</v>
      </c>
      <c r="S84" s="4"/>
      <c r="T84" s="4"/>
      <c r="U84" s="4"/>
      <c r="V84" s="4"/>
      <c r="W84" s="4"/>
      <c r="X84" s="4"/>
      <c r="Y84" s="4"/>
      <c r="Z84" s="4"/>
    </row>
    <row r="85" ht="12.75" hidden="1" customHeight="1">
      <c r="A85" s="4"/>
      <c r="B85" s="29" t="s">
        <v>34</v>
      </c>
      <c r="C85" s="29">
        <f t="shared" si="1"/>
        <v>0</v>
      </c>
      <c r="D85" s="4"/>
      <c r="E85" s="29" t="s">
        <v>31</v>
      </c>
      <c r="F85" s="29">
        <f t="shared" si="2"/>
        <v>0</v>
      </c>
      <c r="G85" s="4"/>
      <c r="H85" s="29" t="s">
        <v>32</v>
      </c>
      <c r="I85" s="29">
        <f t="shared" si="3"/>
        <v>0</v>
      </c>
      <c r="J85" s="4"/>
      <c r="K85" s="29">
        <f>IF(L30="pengertian waktu",2,IF(L30="batas",2,IF(L30="batas waktu",2,IF(L30="waktu",1,IF(L30="masa",1,IF(L30="saat",1,IF(L30="lamanya",1,IF(L30="lama",1,0))))))))</f>
        <v>0</v>
      </c>
      <c r="L85" s="4"/>
      <c r="M85" s="4"/>
      <c r="N85" s="29">
        <v>57.0</v>
      </c>
      <c r="O85" s="29">
        <f>IF(O30=57,1,IF(O30=75,1,0))</f>
        <v>0</v>
      </c>
      <c r="P85" s="4"/>
      <c r="Q85" s="29">
        <v>12.0</v>
      </c>
      <c r="R85" s="30">
        <v>8.0</v>
      </c>
      <c r="S85" s="4"/>
      <c r="T85" s="4"/>
      <c r="U85" s="4"/>
      <c r="V85" s="4"/>
      <c r="W85" s="4"/>
      <c r="X85" s="4"/>
      <c r="Y85" s="4"/>
      <c r="Z85" s="4"/>
    </row>
    <row r="86" ht="12.75" hidden="1" customHeight="1">
      <c r="A86" s="4"/>
      <c r="B86" s="29" t="s">
        <v>30</v>
      </c>
      <c r="C86" s="29">
        <f t="shared" si="1"/>
        <v>0</v>
      </c>
      <c r="D86" s="4"/>
      <c r="E86" s="29" t="s">
        <v>33</v>
      </c>
      <c r="F86" s="29">
        <f t="shared" si="2"/>
        <v>0</v>
      </c>
      <c r="G86" s="4"/>
      <c r="H86" s="29" t="s">
        <v>32</v>
      </c>
      <c r="I86" s="29">
        <f t="shared" si="3"/>
        <v>0</v>
      </c>
      <c r="J86" s="4"/>
      <c r="K86" s="29">
        <f>IF(L31="sifat-watak",2,IF(L31="sifat-karakter",2,IF(L31="karakter",2,IF(L31="watak",2,IF(L31="sifat",1,0)))))</f>
        <v>0</v>
      </c>
      <c r="L86" s="4"/>
      <c r="M86" s="4"/>
      <c r="N86" s="29">
        <v>90.0</v>
      </c>
      <c r="O86" s="29">
        <f>IF(O31=90,1,IF(O31=9,1,0))</f>
        <v>0</v>
      </c>
      <c r="P86" s="4"/>
      <c r="Q86" s="29">
        <v>13.0</v>
      </c>
      <c r="R86" s="30">
        <v>9.0</v>
      </c>
      <c r="S86" s="4"/>
      <c r="T86" s="4"/>
      <c r="U86" s="4"/>
      <c r="V86" s="4"/>
      <c r="W86" s="4"/>
      <c r="X86" s="4"/>
      <c r="Y86" s="4"/>
      <c r="Z86" s="4"/>
    </row>
    <row r="87" ht="12.75" hidden="1" customHeight="1">
      <c r="A87" s="4"/>
      <c r="B87" s="29" t="s">
        <v>32</v>
      </c>
      <c r="C87" s="29">
        <f t="shared" si="1"/>
        <v>0</v>
      </c>
      <c r="D87" s="4"/>
      <c r="E87" s="29" t="s">
        <v>32</v>
      </c>
      <c r="F87" s="29">
        <f t="shared" si="2"/>
        <v>0</v>
      </c>
      <c r="G87" s="4"/>
      <c r="H87" s="29" t="s">
        <v>30</v>
      </c>
      <c r="I87" s="29">
        <f t="shared" si="3"/>
        <v>0</v>
      </c>
      <c r="J87" s="4"/>
      <c r="K87" s="29">
        <f>IF(L32="regulator harga",2,IF(L32="regulasi harga",2,IF(L32="pengertian ekonomi",2,IF(L32="dagang",1,IF(L32="niaga",1,IF(L32="penjualan",1,IF(L32="pembelian",1,IF(L32="jual beli",1,0))))))))</f>
        <v>0</v>
      </c>
      <c r="L87" s="4"/>
      <c r="M87" s="4"/>
      <c r="N87" s="29">
        <v>120.0</v>
      </c>
      <c r="O87" s="29">
        <f>IF(O32=120,1,IF(O32=102,1,IF(O32=12,1,IF(O32=21,1,IF(O32=201,1,IF(O32=210,1,0))))))</f>
        <v>0</v>
      </c>
      <c r="P87" s="4"/>
      <c r="Q87" s="29">
        <v>14.0</v>
      </c>
      <c r="R87" s="30">
        <v>9.0</v>
      </c>
      <c r="S87" s="4"/>
      <c r="T87" s="4"/>
      <c r="U87" s="4"/>
      <c r="V87" s="4"/>
      <c r="W87" s="4"/>
      <c r="X87" s="4"/>
      <c r="Y87" s="4"/>
      <c r="Z87" s="4"/>
    </row>
    <row r="88" ht="12.75" hidden="1" customHeight="1">
      <c r="A88" s="4"/>
      <c r="B88" s="29" t="s">
        <v>31</v>
      </c>
      <c r="C88" s="29">
        <f t="shared" si="1"/>
        <v>0</v>
      </c>
      <c r="D88" s="4"/>
      <c r="E88" s="29" t="s">
        <v>31</v>
      </c>
      <c r="F88" s="29">
        <f t="shared" si="2"/>
        <v>0</v>
      </c>
      <c r="G88" s="4"/>
      <c r="H88" s="29" t="s">
        <v>32</v>
      </c>
      <c r="I88" s="29">
        <f t="shared" si="3"/>
        <v>0</v>
      </c>
      <c r="J88" s="4"/>
      <c r="K88" s="29">
        <f>IF(L33="pengertian ruang",2,IF(L33="penyebut ruang",2,IF(L33="arah",1,IF(L33="letak",1,IF(L33="penentuan daerah",1,IF(L33="tempat",1,IF(L33="ruang",1,IF(L33="penunjuk tempat",1,0))))))))</f>
        <v>0</v>
      </c>
      <c r="L88" s="4"/>
      <c r="M88" s="4"/>
      <c r="N88" s="29">
        <v>17.0</v>
      </c>
      <c r="O88" s="29">
        <f>IF(O33=17,1,IF(O33=71,1,0))</f>
        <v>0</v>
      </c>
      <c r="P88" s="4"/>
      <c r="Q88" s="29">
        <v>15.0</v>
      </c>
      <c r="R88" s="30">
        <v>10.0</v>
      </c>
      <c r="S88" s="4"/>
      <c r="T88" s="4"/>
      <c r="U88" s="4"/>
      <c r="V88" s="4"/>
      <c r="W88" s="4"/>
      <c r="X88" s="4"/>
      <c r="Y88" s="4"/>
      <c r="Z88" s="4"/>
    </row>
    <row r="89" ht="12.75" hidden="1" customHeight="1">
      <c r="A89" s="4"/>
      <c r="B89" s="29" t="s">
        <v>33</v>
      </c>
      <c r="C89" s="29">
        <f t="shared" si="1"/>
        <v>0</v>
      </c>
      <c r="D89" s="4"/>
      <c r="E89" s="29" t="s">
        <v>34</v>
      </c>
      <c r="F89" s="29">
        <f t="shared" si="2"/>
        <v>0</v>
      </c>
      <c r="G89" s="4"/>
      <c r="H89" s="29" t="s">
        <v>32</v>
      </c>
      <c r="I89" s="29">
        <f t="shared" si="3"/>
        <v>0</v>
      </c>
      <c r="J89" s="4"/>
      <c r="K89" s="31">
        <f>SUM(K73:K88)</f>
        <v>0</v>
      </c>
      <c r="L89" s="4"/>
      <c r="M89" s="4"/>
      <c r="N89" s="29">
        <v>24.0</v>
      </c>
      <c r="O89" s="29">
        <f>IF(O34=24,1,IF(O34=42,1,0))</f>
        <v>0</v>
      </c>
      <c r="P89" s="4"/>
      <c r="Q89" s="29">
        <v>16.0</v>
      </c>
      <c r="R89" s="30">
        <v>10.0</v>
      </c>
      <c r="S89" s="4"/>
      <c r="T89" s="4"/>
      <c r="U89" s="4"/>
      <c r="V89" s="4"/>
      <c r="W89" s="4"/>
      <c r="X89" s="4"/>
      <c r="Y89" s="4"/>
      <c r="Z89" s="4"/>
    </row>
    <row r="90" ht="12.75" hidden="1" customHeight="1">
      <c r="A90" s="4"/>
      <c r="B90" s="29" t="s">
        <v>33</v>
      </c>
      <c r="C90" s="29">
        <f t="shared" si="1"/>
        <v>0</v>
      </c>
      <c r="D90" s="4"/>
      <c r="E90" s="29" t="s">
        <v>30</v>
      </c>
      <c r="F90" s="29">
        <f t="shared" si="2"/>
        <v>0</v>
      </c>
      <c r="G90" s="4"/>
      <c r="H90" s="29" t="s">
        <v>30</v>
      </c>
      <c r="I90" s="29">
        <f t="shared" si="3"/>
        <v>0</v>
      </c>
      <c r="J90" s="4"/>
      <c r="K90" s="31">
        <f>IF(K89&gt;=31,20,VLOOKUP(K89,$Q$73:$R$103,2))</f>
        <v>0</v>
      </c>
      <c r="L90" s="4"/>
      <c r="M90" s="4"/>
      <c r="N90" s="29">
        <v>5.0</v>
      </c>
      <c r="O90" s="29">
        <f>IF(O35=N90,1,0)</f>
        <v>0</v>
      </c>
      <c r="P90" s="4"/>
      <c r="Q90" s="29">
        <v>17.0</v>
      </c>
      <c r="R90" s="30">
        <v>11.0</v>
      </c>
      <c r="S90" s="4"/>
      <c r="T90" s="4"/>
      <c r="U90" s="4"/>
      <c r="V90" s="4"/>
      <c r="W90" s="4"/>
      <c r="X90" s="4"/>
      <c r="Y90" s="4"/>
      <c r="Z90" s="4"/>
    </row>
    <row r="91" ht="12.75" hidden="1" customHeight="1">
      <c r="A91" s="4"/>
      <c r="B91" s="29" t="s">
        <v>32</v>
      </c>
      <c r="C91" s="29">
        <f t="shared" si="1"/>
        <v>0</v>
      </c>
      <c r="D91" s="4"/>
      <c r="E91" s="29" t="s">
        <v>33</v>
      </c>
      <c r="F91" s="29">
        <f t="shared" si="2"/>
        <v>0</v>
      </c>
      <c r="G91" s="4"/>
      <c r="H91" s="29" t="s">
        <v>30</v>
      </c>
      <c r="I91" s="29">
        <f t="shared" si="3"/>
        <v>0</v>
      </c>
      <c r="J91" s="4"/>
      <c r="K91" s="4"/>
      <c r="L91" s="4"/>
      <c r="M91" s="4"/>
      <c r="N91" s="29">
        <v>48.0</v>
      </c>
      <c r="O91" s="29">
        <f>IF(O36=48,1,IF(O36=84,1,0))</f>
        <v>0</v>
      </c>
      <c r="P91" s="4"/>
      <c r="Q91" s="29">
        <v>18.0</v>
      </c>
      <c r="R91" s="30">
        <v>11.0</v>
      </c>
      <c r="S91" s="4"/>
      <c r="T91" s="4"/>
      <c r="U91" s="4"/>
      <c r="V91" s="4"/>
      <c r="W91" s="4"/>
      <c r="X91" s="4"/>
      <c r="Y91" s="4"/>
      <c r="Z91" s="4"/>
    </row>
    <row r="92" ht="12.75" hidden="1" customHeight="1">
      <c r="A92" s="4"/>
      <c r="B92" s="29" t="s">
        <v>31</v>
      </c>
      <c r="C92" s="29">
        <f t="shared" si="1"/>
        <v>0</v>
      </c>
      <c r="D92" s="4"/>
      <c r="E92" s="29" t="s">
        <v>32</v>
      </c>
      <c r="F92" s="29">
        <f t="shared" si="2"/>
        <v>0</v>
      </c>
      <c r="G92" s="4"/>
      <c r="H92" s="29" t="s">
        <v>30</v>
      </c>
      <c r="I92" s="29">
        <f t="shared" si="3"/>
        <v>0</v>
      </c>
      <c r="J92" s="4"/>
      <c r="K92" s="4"/>
      <c r="L92" s="4"/>
      <c r="M92" s="4"/>
      <c r="N92" s="29">
        <v>9.0</v>
      </c>
      <c r="O92" s="29">
        <f>IF(O37=N92,1,0)</f>
        <v>0</v>
      </c>
      <c r="P92" s="4"/>
      <c r="Q92" s="29">
        <v>19.0</v>
      </c>
      <c r="R92" s="30">
        <v>12.0</v>
      </c>
      <c r="S92" s="4"/>
      <c r="T92" s="4"/>
      <c r="U92" s="4"/>
      <c r="V92" s="4"/>
      <c r="W92" s="4"/>
      <c r="X92" s="4"/>
      <c r="Y92" s="4"/>
      <c r="Z92" s="4"/>
    </row>
    <row r="93" ht="12.75" hidden="1" customHeight="1">
      <c r="A93" s="4"/>
      <c r="B93" s="4"/>
      <c r="C93" s="31">
        <f>SUM(C73:C92)</f>
        <v>0</v>
      </c>
      <c r="D93" s="4"/>
      <c r="E93" s="4"/>
      <c r="F93" s="31">
        <f>SUM(F73:F92)</f>
        <v>0</v>
      </c>
      <c r="G93" s="4"/>
      <c r="H93" s="4"/>
      <c r="I93" s="31">
        <f>SUM(I73:I92)</f>
        <v>0</v>
      </c>
      <c r="J93" s="4"/>
      <c r="K93" s="4"/>
      <c r="L93" s="4"/>
      <c r="M93" s="4"/>
      <c r="N93" s="4"/>
      <c r="O93" s="31">
        <f>SUM(O73:O92)</f>
        <v>0</v>
      </c>
      <c r="P93" s="4"/>
      <c r="Q93" s="29">
        <v>20.0</v>
      </c>
      <c r="R93" s="30">
        <v>12.0</v>
      </c>
      <c r="S93" s="4"/>
      <c r="T93" s="4"/>
      <c r="U93" s="4"/>
      <c r="V93" s="4"/>
      <c r="W93" s="4"/>
      <c r="X93" s="4"/>
      <c r="Y93" s="4"/>
      <c r="Z93" s="4"/>
    </row>
    <row r="94" ht="12.75" hidden="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29">
        <v>21.0</v>
      </c>
      <c r="R94" s="30">
        <v>13.0</v>
      </c>
      <c r="S94" s="4"/>
      <c r="T94" s="4"/>
      <c r="U94" s="4"/>
      <c r="V94" s="4"/>
      <c r="W94" s="4"/>
      <c r="X94" s="4"/>
      <c r="Y94" s="4"/>
      <c r="Z94" s="4"/>
    </row>
    <row r="95" ht="12.75" hidden="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29">
        <v>22.0</v>
      </c>
      <c r="R95" s="30">
        <v>13.0</v>
      </c>
      <c r="S95" s="4"/>
      <c r="T95" s="4"/>
      <c r="U95" s="4"/>
      <c r="V95" s="4"/>
      <c r="W95" s="4"/>
      <c r="X95" s="4"/>
      <c r="Y95" s="4"/>
      <c r="Z95" s="4"/>
    </row>
    <row r="96" ht="12.75" hidden="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29">
        <v>23.0</v>
      </c>
      <c r="R96" s="30">
        <v>14.0</v>
      </c>
      <c r="S96" s="4"/>
      <c r="T96" s="4"/>
      <c r="U96" s="4"/>
      <c r="V96" s="4"/>
      <c r="W96" s="4"/>
      <c r="X96" s="4"/>
      <c r="Y96" s="4"/>
      <c r="Z96" s="4"/>
    </row>
    <row r="97" ht="12.75" hidden="1" customHeight="1">
      <c r="A97" s="4"/>
      <c r="B97" s="20" t="s">
        <v>35</v>
      </c>
      <c r="C97" s="20" t="s">
        <v>24</v>
      </c>
      <c r="D97" s="4"/>
      <c r="E97" s="20" t="s">
        <v>36</v>
      </c>
      <c r="F97" s="20" t="s">
        <v>24</v>
      </c>
      <c r="G97" s="4"/>
      <c r="H97" s="20" t="s">
        <v>37</v>
      </c>
      <c r="I97" s="20" t="s">
        <v>24</v>
      </c>
      <c r="J97" s="4"/>
      <c r="K97" s="20" t="s">
        <v>38</v>
      </c>
      <c r="L97" s="20" t="s">
        <v>24</v>
      </c>
      <c r="M97" s="4"/>
      <c r="N97" s="4"/>
      <c r="O97" s="4"/>
      <c r="P97" s="4"/>
      <c r="Q97" s="29">
        <v>24.0</v>
      </c>
      <c r="R97" s="30">
        <v>14.0</v>
      </c>
      <c r="S97" s="4"/>
      <c r="T97" s="4"/>
      <c r="U97" s="4"/>
      <c r="V97" s="4"/>
      <c r="W97" s="4"/>
      <c r="X97" s="4"/>
      <c r="Y97" s="4"/>
      <c r="Z97" s="4"/>
    </row>
    <row r="98" ht="12.75" hidden="1" customHeight="1">
      <c r="A98" s="4"/>
      <c r="B98" s="21"/>
      <c r="C98" s="21"/>
      <c r="D98" s="4"/>
      <c r="E98" s="21"/>
      <c r="F98" s="21"/>
      <c r="G98" s="4"/>
      <c r="H98" s="21"/>
      <c r="I98" s="21"/>
      <c r="J98" s="4"/>
      <c r="K98" s="21"/>
      <c r="L98" s="21"/>
      <c r="M98" s="4"/>
      <c r="N98" s="4"/>
      <c r="O98" s="4"/>
      <c r="P98" s="4"/>
      <c r="Q98" s="29">
        <v>25.0</v>
      </c>
      <c r="R98" s="30">
        <v>15.0</v>
      </c>
      <c r="S98" s="4"/>
      <c r="T98" s="4"/>
      <c r="U98" s="4"/>
      <c r="V98" s="4"/>
      <c r="W98" s="4"/>
      <c r="X98" s="4"/>
      <c r="Y98" s="4"/>
      <c r="Z98" s="4"/>
    </row>
    <row r="99" ht="12.75" hidden="1" customHeight="1">
      <c r="A99" s="4"/>
      <c r="B99" s="29">
        <v>27.0</v>
      </c>
      <c r="C99" s="29">
        <f>IF(C44=27,1,IF(C44=72,1,0))</f>
        <v>0</v>
      </c>
      <c r="D99" s="4"/>
      <c r="E99" s="29" t="s">
        <v>33</v>
      </c>
      <c r="F99" s="29">
        <f t="shared" ref="F99:F118" si="4">IF(F44=E99,1,0)</f>
        <v>0</v>
      </c>
      <c r="G99" s="4"/>
      <c r="H99" s="29" t="s">
        <v>31</v>
      </c>
      <c r="I99" s="29">
        <f t="shared" ref="I99:I118" si="5">IF(I44=H99,1,0)</f>
        <v>0</v>
      </c>
      <c r="J99" s="4"/>
      <c r="K99" s="29" t="s">
        <v>34</v>
      </c>
      <c r="L99" s="29">
        <f t="shared" ref="L99:L118" si="6">IF(L44=K99,1,0)</f>
        <v>0</v>
      </c>
      <c r="M99" s="4"/>
      <c r="N99" s="4"/>
      <c r="O99" s="4"/>
      <c r="P99" s="4"/>
      <c r="Q99" s="29">
        <v>26.0</v>
      </c>
      <c r="R99" s="30">
        <v>15.0</v>
      </c>
      <c r="S99" s="4"/>
      <c r="T99" s="4"/>
      <c r="U99" s="4"/>
      <c r="V99" s="4"/>
      <c r="W99" s="4"/>
      <c r="X99" s="4"/>
      <c r="Y99" s="4"/>
      <c r="Z99" s="4"/>
    </row>
    <row r="100" ht="12.75" hidden="1" customHeight="1">
      <c r="A100" s="4"/>
      <c r="B100" s="29">
        <v>25.0</v>
      </c>
      <c r="C100" s="29">
        <f>IF(C45=25,1,IF(C45=52,1,0))</f>
        <v>0</v>
      </c>
      <c r="D100" s="4"/>
      <c r="E100" s="29" t="s">
        <v>34</v>
      </c>
      <c r="F100" s="29">
        <f t="shared" si="4"/>
        <v>0</v>
      </c>
      <c r="G100" s="32"/>
      <c r="H100" s="29" t="s">
        <v>32</v>
      </c>
      <c r="I100" s="29">
        <f t="shared" si="5"/>
        <v>0</v>
      </c>
      <c r="J100" s="4"/>
      <c r="K100" s="29" t="s">
        <v>30</v>
      </c>
      <c r="L100" s="29">
        <f t="shared" si="6"/>
        <v>0</v>
      </c>
      <c r="M100" s="4"/>
      <c r="N100" s="4"/>
      <c r="O100" s="4"/>
      <c r="P100" s="4"/>
      <c r="Q100" s="29">
        <v>27.0</v>
      </c>
      <c r="R100" s="30">
        <v>16.0</v>
      </c>
      <c r="S100" s="4"/>
      <c r="T100" s="4"/>
      <c r="U100" s="4"/>
      <c r="V100" s="4"/>
      <c r="W100" s="4"/>
      <c r="X100" s="4"/>
      <c r="Y100" s="4"/>
      <c r="Z100" s="4"/>
    </row>
    <row r="101" ht="12.75" hidden="1" customHeight="1">
      <c r="A101" s="4"/>
      <c r="B101" s="29">
        <v>27.0</v>
      </c>
      <c r="C101" s="29">
        <f>IF(C46=27,1,IF(C46=72,1,0))</f>
        <v>0</v>
      </c>
      <c r="D101" s="4"/>
      <c r="E101" s="29" t="s">
        <v>32</v>
      </c>
      <c r="F101" s="29">
        <f t="shared" si="4"/>
        <v>0</v>
      </c>
      <c r="G101" s="32" t="s">
        <v>39</v>
      </c>
      <c r="H101" s="29" t="s">
        <v>34</v>
      </c>
      <c r="I101" s="29">
        <f t="shared" si="5"/>
        <v>0</v>
      </c>
      <c r="J101" s="4"/>
      <c r="K101" s="29" t="s">
        <v>33</v>
      </c>
      <c r="L101" s="29">
        <f t="shared" si="6"/>
        <v>0</v>
      </c>
      <c r="M101" s="4"/>
      <c r="N101" s="4"/>
      <c r="O101" s="4"/>
      <c r="P101" s="4"/>
      <c r="Q101" s="29">
        <v>28.0</v>
      </c>
      <c r="R101" s="30">
        <v>17.0</v>
      </c>
      <c r="S101" s="4"/>
      <c r="T101" s="4"/>
      <c r="U101" s="4"/>
      <c r="V101" s="4"/>
      <c r="W101" s="4"/>
      <c r="X101" s="4"/>
      <c r="Y101" s="4"/>
      <c r="Z101" s="4"/>
    </row>
    <row r="102" ht="12.75" hidden="1" customHeight="1">
      <c r="A102" s="4"/>
      <c r="B102" s="29">
        <v>15.0</v>
      </c>
      <c r="C102" s="29">
        <f>IF(C47=15,1,IF(C47=51,1,0))</f>
        <v>0</v>
      </c>
      <c r="D102" s="4"/>
      <c r="E102" s="29" t="s">
        <v>33</v>
      </c>
      <c r="F102" s="29">
        <f t="shared" si="4"/>
        <v>0</v>
      </c>
      <c r="G102" s="32" t="s">
        <v>40</v>
      </c>
      <c r="H102" s="29" t="s">
        <v>30</v>
      </c>
      <c r="I102" s="29">
        <f t="shared" si="5"/>
        <v>0</v>
      </c>
      <c r="J102" s="4"/>
      <c r="K102" s="29" t="s">
        <v>31</v>
      </c>
      <c r="L102" s="29">
        <f t="shared" si="6"/>
        <v>0</v>
      </c>
      <c r="M102" s="4"/>
      <c r="N102" s="4"/>
      <c r="O102" s="4"/>
      <c r="P102" s="4"/>
      <c r="Q102" s="29">
        <v>29.0</v>
      </c>
      <c r="R102" s="30">
        <v>18.0</v>
      </c>
      <c r="S102" s="4"/>
      <c r="T102" s="4"/>
      <c r="U102" s="4"/>
      <c r="V102" s="4"/>
      <c r="W102" s="4"/>
      <c r="X102" s="4"/>
      <c r="Y102" s="4"/>
      <c r="Z102" s="4"/>
    </row>
    <row r="103" ht="12.75" hidden="1" customHeight="1">
      <c r="A103" s="4"/>
      <c r="B103" s="29">
        <v>46.0</v>
      </c>
      <c r="C103" s="29">
        <f>IF(C48=46,1,IF(C48=64,1,0))</f>
        <v>0</v>
      </c>
      <c r="D103" s="4"/>
      <c r="E103" s="29" t="s">
        <v>30</v>
      </c>
      <c r="F103" s="29">
        <f t="shared" si="4"/>
        <v>0</v>
      </c>
      <c r="G103" s="32"/>
      <c r="H103" s="29" t="s">
        <v>31</v>
      </c>
      <c r="I103" s="29">
        <f t="shared" si="5"/>
        <v>0</v>
      </c>
      <c r="J103" s="4"/>
      <c r="K103" s="29" t="s">
        <v>32</v>
      </c>
      <c r="L103" s="29">
        <f t="shared" si="6"/>
        <v>0</v>
      </c>
      <c r="M103" s="4"/>
      <c r="N103" s="4"/>
      <c r="O103" s="4"/>
      <c r="P103" s="4"/>
      <c r="Q103" s="29">
        <v>30.0</v>
      </c>
      <c r="R103" s="30">
        <v>19.0</v>
      </c>
      <c r="S103" s="4"/>
      <c r="T103" s="4"/>
      <c r="U103" s="4"/>
      <c r="V103" s="4"/>
      <c r="W103" s="4"/>
      <c r="X103" s="4"/>
      <c r="Y103" s="4"/>
      <c r="Z103" s="4"/>
    </row>
    <row r="104" ht="12.75" hidden="1" customHeight="1">
      <c r="A104" s="4"/>
      <c r="B104" s="29">
        <v>10.0</v>
      </c>
      <c r="C104" s="29">
        <f>IF(C49=10,1,IF(C49=1,1,0))</f>
        <v>0</v>
      </c>
      <c r="D104" s="4"/>
      <c r="E104" s="29" t="s">
        <v>32</v>
      </c>
      <c r="F104" s="29">
        <f t="shared" si="4"/>
        <v>0</v>
      </c>
      <c r="G104" s="4"/>
      <c r="H104" s="29" t="s">
        <v>32</v>
      </c>
      <c r="I104" s="29">
        <f t="shared" si="5"/>
        <v>0</v>
      </c>
      <c r="J104" s="4"/>
      <c r="K104" s="29" t="s">
        <v>31</v>
      </c>
      <c r="L104" s="29">
        <f t="shared" si="6"/>
        <v>0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hidden="1" customHeight="1">
      <c r="A105" s="4"/>
      <c r="B105" s="29">
        <v>24.0</v>
      </c>
      <c r="C105" s="29">
        <f>IF(C50=24,1,IF(C50=42,1,0))</f>
        <v>0</v>
      </c>
      <c r="D105" s="4"/>
      <c r="E105" s="29" t="s">
        <v>34</v>
      </c>
      <c r="F105" s="29">
        <f t="shared" si="4"/>
        <v>0</v>
      </c>
      <c r="G105" s="4"/>
      <c r="H105" s="29" t="s">
        <v>34</v>
      </c>
      <c r="I105" s="29">
        <f t="shared" si="5"/>
        <v>0</v>
      </c>
      <c r="J105" s="4"/>
      <c r="K105" s="29" t="s">
        <v>34</v>
      </c>
      <c r="L105" s="29">
        <f t="shared" si="6"/>
        <v>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hidden="1" customHeight="1">
      <c r="A106" s="4"/>
      <c r="B106" s="29">
        <v>7.0</v>
      </c>
      <c r="C106" s="29">
        <f t="shared" ref="C106:C107" si="7">IF(C51=B106,1,0)</f>
        <v>0</v>
      </c>
      <c r="D106" s="4"/>
      <c r="E106" s="29" t="s">
        <v>31</v>
      </c>
      <c r="F106" s="29">
        <f t="shared" si="4"/>
        <v>0</v>
      </c>
      <c r="G106" s="4"/>
      <c r="H106" s="29" t="s">
        <v>32</v>
      </c>
      <c r="I106" s="29">
        <f t="shared" si="5"/>
        <v>0</v>
      </c>
      <c r="J106" s="4"/>
      <c r="K106" s="29" t="s">
        <v>30</v>
      </c>
      <c r="L106" s="29">
        <f t="shared" si="6"/>
        <v>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hidden="1" customHeight="1">
      <c r="A107" s="4"/>
      <c r="B107" s="29">
        <v>5.0</v>
      </c>
      <c r="C107" s="29">
        <f t="shared" si="7"/>
        <v>0</v>
      </c>
      <c r="D107" s="4"/>
      <c r="E107" s="29" t="s">
        <v>31</v>
      </c>
      <c r="F107" s="29">
        <f t="shared" si="4"/>
        <v>0</v>
      </c>
      <c r="G107" s="4"/>
      <c r="H107" s="29" t="s">
        <v>30</v>
      </c>
      <c r="I107" s="29">
        <f t="shared" si="5"/>
        <v>0</v>
      </c>
      <c r="J107" s="4"/>
      <c r="K107" s="29" t="s">
        <v>32</v>
      </c>
      <c r="L107" s="29">
        <f t="shared" si="6"/>
        <v>0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hidden="1" customHeight="1">
      <c r="A108" s="4"/>
      <c r="B108" s="29">
        <v>14.0</v>
      </c>
      <c r="C108" s="29">
        <f>IF(C53=14,1,IF(C53=41,1,0))</f>
        <v>0</v>
      </c>
      <c r="D108" s="4"/>
      <c r="E108" s="29" t="s">
        <v>30</v>
      </c>
      <c r="F108" s="29">
        <f t="shared" si="4"/>
        <v>0</v>
      </c>
      <c r="G108" s="4"/>
      <c r="H108" s="29" t="s">
        <v>31</v>
      </c>
      <c r="I108" s="29">
        <f t="shared" si="5"/>
        <v>0</v>
      </c>
      <c r="J108" s="4"/>
      <c r="K108" s="29" t="s">
        <v>33</v>
      </c>
      <c r="L108" s="29">
        <f t="shared" si="6"/>
        <v>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hidden="1" customHeight="1">
      <c r="A109" s="4"/>
      <c r="B109" s="29">
        <v>8.0</v>
      </c>
      <c r="C109" s="29">
        <f>IF(C54=B109,1,0)</f>
        <v>0</v>
      </c>
      <c r="D109" s="4"/>
      <c r="E109" s="29" t="s">
        <v>31</v>
      </c>
      <c r="F109" s="29">
        <f t="shared" si="4"/>
        <v>0</v>
      </c>
      <c r="G109" s="4"/>
      <c r="H109" s="29" t="s">
        <v>33</v>
      </c>
      <c r="I109" s="29">
        <f t="shared" si="5"/>
        <v>0</v>
      </c>
      <c r="J109" s="4"/>
      <c r="K109" s="29" t="s">
        <v>33</v>
      </c>
      <c r="L109" s="29">
        <f t="shared" si="6"/>
        <v>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hidden="1" customHeight="1">
      <c r="A110" s="4"/>
      <c r="B110" s="29">
        <v>14.0</v>
      </c>
      <c r="C110" s="29">
        <f>IF(C55=14,1,IF(C55=41,1,0))</f>
        <v>0</v>
      </c>
      <c r="D110" s="4"/>
      <c r="E110" s="29" t="s">
        <v>32</v>
      </c>
      <c r="F110" s="29">
        <f t="shared" si="4"/>
        <v>0</v>
      </c>
      <c r="G110" s="4"/>
      <c r="H110" s="29" t="s">
        <v>34</v>
      </c>
      <c r="I110" s="29">
        <f t="shared" si="5"/>
        <v>0</v>
      </c>
      <c r="J110" s="4"/>
      <c r="K110" s="29" t="s">
        <v>31</v>
      </c>
      <c r="L110" s="29">
        <f t="shared" si="6"/>
        <v>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hidden="1" customHeight="1">
      <c r="A111" s="4"/>
      <c r="B111" s="29">
        <v>45.0</v>
      </c>
      <c r="C111" s="29">
        <f>IF(C56=45,1,IF(C56=54,1,0))</f>
        <v>0</v>
      </c>
      <c r="D111" s="4"/>
      <c r="E111" s="29" t="s">
        <v>34</v>
      </c>
      <c r="F111" s="29">
        <f t="shared" si="4"/>
        <v>0</v>
      </c>
      <c r="G111" s="4"/>
      <c r="H111" s="29" t="s">
        <v>30</v>
      </c>
      <c r="I111" s="29">
        <f t="shared" si="5"/>
        <v>0</v>
      </c>
      <c r="J111" s="4"/>
      <c r="K111" s="29" t="s">
        <v>30</v>
      </c>
      <c r="L111" s="29">
        <f t="shared" si="6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hidden="1" customHeight="1">
      <c r="A112" s="4"/>
      <c r="B112" s="29">
        <v>36.0</v>
      </c>
      <c r="C112" s="29">
        <f>IF(C57=36,1,IF(C57=63,1,0))</f>
        <v>0</v>
      </c>
      <c r="D112" s="4"/>
      <c r="E112" s="29" t="s">
        <v>32</v>
      </c>
      <c r="F112" s="29">
        <f t="shared" si="4"/>
        <v>0</v>
      </c>
      <c r="G112" s="4"/>
      <c r="H112" s="29" t="s">
        <v>33</v>
      </c>
      <c r="I112" s="29">
        <f t="shared" si="5"/>
        <v>0</v>
      </c>
      <c r="J112" s="4"/>
      <c r="K112" s="29" t="s">
        <v>32</v>
      </c>
      <c r="L112" s="29">
        <f t="shared" si="6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hidden="1" customHeight="1">
      <c r="A113" s="4"/>
      <c r="B113" s="29">
        <v>12.0</v>
      </c>
      <c r="C113" s="29">
        <f>IF(C58=12,1,IF(C58=21,1,0))</f>
        <v>0</v>
      </c>
      <c r="D113" s="4"/>
      <c r="E113" s="29" t="s">
        <v>33</v>
      </c>
      <c r="F113" s="29">
        <f t="shared" si="4"/>
        <v>0</v>
      </c>
      <c r="G113" s="4"/>
      <c r="H113" s="29" t="s">
        <v>34</v>
      </c>
      <c r="I113" s="29">
        <f t="shared" si="5"/>
        <v>0</v>
      </c>
      <c r="J113" s="4"/>
      <c r="K113" s="29" t="s">
        <v>34</v>
      </c>
      <c r="L113" s="29">
        <f t="shared" si="6"/>
        <v>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hidden="1" customHeight="1">
      <c r="A114" s="4"/>
      <c r="B114" s="29">
        <v>80.0</v>
      </c>
      <c r="C114" s="29">
        <f>IF(C59=80,1,IF(C59=8,1,0))</f>
        <v>0</v>
      </c>
      <c r="D114" s="4"/>
      <c r="E114" s="29" t="s">
        <v>31</v>
      </c>
      <c r="F114" s="29">
        <f t="shared" si="4"/>
        <v>0</v>
      </c>
      <c r="G114" s="4"/>
      <c r="H114" s="29" t="s">
        <v>33</v>
      </c>
      <c r="I114" s="29">
        <f t="shared" si="5"/>
        <v>0</v>
      </c>
      <c r="J114" s="4"/>
      <c r="K114" s="29" t="s">
        <v>33</v>
      </c>
      <c r="L114" s="29">
        <f t="shared" si="6"/>
        <v>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hidden="1" customHeight="1">
      <c r="A115" s="4"/>
      <c r="B115" s="29">
        <v>14.0</v>
      </c>
      <c r="C115" s="29">
        <f>IF(C60=14,1,IF(C60=41,1,0))</f>
        <v>0</v>
      </c>
      <c r="D115" s="4"/>
      <c r="E115" s="29" t="s">
        <v>33</v>
      </c>
      <c r="F115" s="29">
        <f t="shared" si="4"/>
        <v>0</v>
      </c>
      <c r="G115" s="4"/>
      <c r="H115" s="29" t="s">
        <v>31</v>
      </c>
      <c r="I115" s="29">
        <f t="shared" si="5"/>
        <v>0</v>
      </c>
      <c r="J115" s="4"/>
      <c r="K115" s="29" t="s">
        <v>30</v>
      </c>
      <c r="L115" s="29">
        <f t="shared" si="6"/>
        <v>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hidden="1" customHeight="1">
      <c r="A116" s="4"/>
      <c r="B116" s="29">
        <v>12.0</v>
      </c>
      <c r="C116" s="29">
        <f>IF(C61=12,1,IF(C61=21,1,0))</f>
        <v>0</v>
      </c>
      <c r="D116" s="4"/>
      <c r="E116" s="29" t="s">
        <v>34</v>
      </c>
      <c r="F116" s="29">
        <f t="shared" si="4"/>
        <v>0</v>
      </c>
      <c r="G116" s="4"/>
      <c r="H116" s="29" t="s">
        <v>30</v>
      </c>
      <c r="I116" s="29">
        <f t="shared" si="5"/>
        <v>0</v>
      </c>
      <c r="J116" s="4"/>
      <c r="K116" s="29" t="s">
        <v>31</v>
      </c>
      <c r="L116" s="29">
        <f t="shared" si="6"/>
        <v>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hidden="1" customHeight="1">
      <c r="A117" s="4"/>
      <c r="B117" s="29">
        <v>36.0</v>
      </c>
      <c r="C117" s="29">
        <f>IF(C62=36,1,IF(C62=63,1,0))</f>
        <v>0</v>
      </c>
      <c r="D117" s="4"/>
      <c r="E117" s="29" t="s">
        <v>32</v>
      </c>
      <c r="F117" s="29">
        <f t="shared" si="4"/>
        <v>0</v>
      </c>
      <c r="G117" s="4"/>
      <c r="H117" s="29" t="s">
        <v>33</v>
      </c>
      <c r="I117" s="29">
        <f t="shared" si="5"/>
        <v>0</v>
      </c>
      <c r="J117" s="4"/>
      <c r="K117" s="29" t="s">
        <v>32</v>
      </c>
      <c r="L117" s="29">
        <f t="shared" si="6"/>
        <v>0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hidden="1" customHeight="1">
      <c r="A118" s="4"/>
      <c r="B118" s="29">
        <v>10.0</v>
      </c>
      <c r="C118" s="29">
        <f>IF(C63=10,1,IF(C63=1,1,0))</f>
        <v>0</v>
      </c>
      <c r="D118" s="4"/>
      <c r="E118" s="29" t="s">
        <v>32</v>
      </c>
      <c r="F118" s="29">
        <f t="shared" si="4"/>
        <v>0</v>
      </c>
      <c r="G118" s="4"/>
      <c r="H118" s="29" t="s">
        <v>32</v>
      </c>
      <c r="I118" s="29">
        <f t="shared" si="5"/>
        <v>0</v>
      </c>
      <c r="J118" s="4"/>
      <c r="K118" s="29" t="s">
        <v>34</v>
      </c>
      <c r="L118" s="29">
        <f t="shared" si="6"/>
        <v>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hidden="1" customHeight="1">
      <c r="A119" s="4"/>
      <c r="B119" s="4"/>
      <c r="C119" s="31">
        <f>SUM(C99:C118)</f>
        <v>0</v>
      </c>
      <c r="D119" s="4"/>
      <c r="E119" s="4"/>
      <c r="F119" s="31">
        <f>SUM(F99:F118)</f>
        <v>0</v>
      </c>
      <c r="G119" s="4"/>
      <c r="H119" s="4"/>
      <c r="I119" s="31">
        <f>SUM(I99:I118)</f>
        <v>0</v>
      </c>
      <c r="J119" s="4"/>
      <c r="K119" s="4"/>
      <c r="L119" s="31">
        <f>SUM(L99:L118)</f>
        <v>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1">
    <mergeCell ref="A1:I1"/>
    <mergeCell ref="A2:I2"/>
    <mergeCell ref="A4:B4"/>
    <mergeCell ref="D4:G4"/>
    <mergeCell ref="A5:B5"/>
    <mergeCell ref="D5:G5"/>
    <mergeCell ref="D6:G6"/>
    <mergeCell ref="I16:I17"/>
    <mergeCell ref="K16:K17"/>
    <mergeCell ref="L16:L17"/>
    <mergeCell ref="N16:N17"/>
    <mergeCell ref="O16:O17"/>
    <mergeCell ref="D7:G7"/>
    <mergeCell ref="D8:G8"/>
    <mergeCell ref="D9:G9"/>
    <mergeCell ref="A14:F14"/>
    <mergeCell ref="E16:E17"/>
    <mergeCell ref="F16:F17"/>
    <mergeCell ref="H16:H17"/>
    <mergeCell ref="C42:C43"/>
    <mergeCell ref="E42:E43"/>
    <mergeCell ref="F42:F43"/>
    <mergeCell ref="H42:H43"/>
    <mergeCell ref="I42:I43"/>
    <mergeCell ref="K42:K43"/>
    <mergeCell ref="L42:L43"/>
    <mergeCell ref="N71:N72"/>
    <mergeCell ref="O71:O72"/>
    <mergeCell ref="Q71:R72"/>
    <mergeCell ref="B71:B72"/>
    <mergeCell ref="C71:C72"/>
    <mergeCell ref="E71:E72"/>
    <mergeCell ref="F71:F72"/>
    <mergeCell ref="H71:H72"/>
    <mergeCell ref="I71:I72"/>
    <mergeCell ref="K71:K72"/>
    <mergeCell ref="B97:B98"/>
    <mergeCell ref="C97:C98"/>
    <mergeCell ref="E97:E98"/>
    <mergeCell ref="F97:F98"/>
    <mergeCell ref="H97:H98"/>
    <mergeCell ref="I97:I98"/>
    <mergeCell ref="K97:K98"/>
    <mergeCell ref="L97:L98"/>
    <mergeCell ref="A6:B6"/>
    <mergeCell ref="A7:B7"/>
    <mergeCell ref="A8:B8"/>
    <mergeCell ref="A9:B9"/>
    <mergeCell ref="B16:B17"/>
    <mergeCell ref="C16:C17"/>
    <mergeCell ref="B42:B43"/>
  </mergeCells>
  <dataValidations>
    <dataValidation type="list" allowBlank="1" showInputMessage="1" showErrorMessage="1" prompt=" - Pendidikan Terakhir" sqref="D8">
      <formula1>$AS$329:$AS$332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2.25"/>
    <col customWidth="1" min="3" max="3" width="2.13"/>
    <col customWidth="1" min="4" max="5" width="9.13"/>
    <col customWidth="1" min="6" max="6" width="10.38"/>
    <col customWidth="1" min="7" max="7" width="19.75"/>
    <col customWidth="1" min="8" max="8" width="1.25"/>
    <col customWidth="1" min="9" max="9" width="5.13"/>
    <col customWidth="1" min="10" max="10" width="5.0"/>
    <col customWidth="1" min="11" max="11" width="5.38"/>
    <col customWidth="1" min="12" max="12" width="9.13"/>
    <col customWidth="1" min="13" max="13" width="3.75"/>
    <col customWidth="1" min="14" max="40" width="4.0"/>
    <col customWidth="1" min="41" max="45" width="3.75"/>
  </cols>
  <sheetData>
    <row r="1" ht="25.5" customHeight="1">
      <c r="A1" s="33" t="s">
        <v>41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2.75" customHeight="1">
      <c r="A7" s="4"/>
      <c r="B7" s="4"/>
      <c r="C7" s="4"/>
      <c r="D7" s="4"/>
      <c r="E7" s="4"/>
      <c r="F7" s="4"/>
      <c r="G7" s="4"/>
      <c r="H7" s="4"/>
      <c r="I7" s="34"/>
      <c r="J7" s="35" t="s">
        <v>1</v>
      </c>
      <c r="K7" s="35" t="s">
        <v>42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3.0" customHeight="1">
      <c r="A8" s="4"/>
      <c r="B8" s="4"/>
      <c r="C8" s="4"/>
      <c r="D8" s="4"/>
      <c r="E8" s="4"/>
      <c r="F8" s="4"/>
      <c r="G8" s="4"/>
      <c r="H8" s="4"/>
      <c r="I8" s="36"/>
      <c r="J8" s="37"/>
      <c r="K8" s="3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2.75" customHeight="1">
      <c r="A9" s="4"/>
      <c r="B9" s="4"/>
      <c r="C9" s="4"/>
      <c r="D9" s="4"/>
      <c r="E9" s="4"/>
      <c r="F9" s="4"/>
      <c r="G9" s="4"/>
      <c r="H9" s="4"/>
      <c r="I9" s="37" t="s">
        <v>3</v>
      </c>
      <c r="J9" s="38">
        <f>Input!O2</f>
        <v>0</v>
      </c>
      <c r="K9" s="39">
        <f>Norma!A10</f>
        <v>60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0" t="s">
        <v>4</v>
      </c>
      <c r="J10" s="38">
        <f>Input!O3</f>
        <v>0</v>
      </c>
      <c r="K10" s="39">
        <f>Norma!A11</f>
        <v>35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0" t="s">
        <v>7</v>
      </c>
      <c r="J11" s="38">
        <f>Input!O4</f>
        <v>0</v>
      </c>
      <c r="K11" s="39">
        <f>Norma!A12</f>
        <v>34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0" t="s">
        <v>9</v>
      </c>
      <c r="J12" s="38">
        <f>Input!O5</f>
        <v>0</v>
      </c>
      <c r="K12" s="39">
        <f>Norma!A13</f>
        <v>57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0" t="s">
        <v>11</v>
      </c>
      <c r="J13" s="38">
        <f>Input!O6</f>
        <v>0</v>
      </c>
      <c r="K13" s="39">
        <f>Norma!A14</f>
        <v>52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0" t="s">
        <v>13</v>
      </c>
      <c r="J14" s="38">
        <f>Input!O7</f>
        <v>0</v>
      </c>
      <c r="K14" s="39">
        <f>Norma!A15</f>
        <v>60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0" t="s">
        <v>15</v>
      </c>
      <c r="J15" s="38">
        <f>Input!O8</f>
        <v>0</v>
      </c>
      <c r="K15" s="39">
        <f>Norma!A16</f>
        <v>60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0" t="s">
        <v>17</v>
      </c>
      <c r="J16" s="38">
        <f>Input!O9</f>
        <v>0</v>
      </c>
      <c r="K16" s="39">
        <f>Norma!A17</f>
        <v>45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35" t="s">
        <v>18</v>
      </c>
      <c r="J17" s="38">
        <f>Input!O10</f>
        <v>0</v>
      </c>
      <c r="K17" s="39">
        <f>Norma!A18</f>
        <v>55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ht="2.25" customHeight="1">
      <c r="A18" s="4"/>
      <c r="B18" s="4"/>
      <c r="C18" s="4"/>
      <c r="D18" s="4"/>
      <c r="E18" s="4"/>
      <c r="F18" s="4"/>
      <c r="G18" s="4"/>
      <c r="H18" s="4"/>
      <c r="I18" s="41"/>
      <c r="J18" s="42"/>
      <c r="K18" s="43"/>
      <c r="L18" s="4"/>
      <c r="M18" s="4"/>
      <c r="N18" s="44" t="s">
        <v>3</v>
      </c>
      <c r="O18" s="2"/>
      <c r="P18" s="3"/>
      <c r="Q18" s="44" t="s">
        <v>4</v>
      </c>
      <c r="R18" s="2"/>
      <c r="S18" s="3"/>
      <c r="T18" s="44" t="s">
        <v>7</v>
      </c>
      <c r="U18" s="2"/>
      <c r="V18" s="3"/>
      <c r="W18" s="44" t="s">
        <v>9</v>
      </c>
      <c r="X18" s="2"/>
      <c r="Y18" s="3"/>
      <c r="Z18" s="44" t="s">
        <v>11</v>
      </c>
      <c r="AA18" s="2"/>
      <c r="AB18" s="3"/>
      <c r="AC18" s="44" t="s">
        <v>13</v>
      </c>
      <c r="AD18" s="2"/>
      <c r="AE18" s="3"/>
      <c r="AF18" s="44" t="s">
        <v>15</v>
      </c>
      <c r="AG18" s="2"/>
      <c r="AH18" s="3"/>
      <c r="AI18" s="44" t="s">
        <v>17</v>
      </c>
      <c r="AJ18" s="2"/>
      <c r="AK18" s="3"/>
      <c r="AL18" s="44" t="s">
        <v>18</v>
      </c>
      <c r="AM18" s="2"/>
      <c r="AN18" s="3"/>
      <c r="AO18" s="4"/>
      <c r="AP18" s="4"/>
      <c r="AQ18" s="4"/>
      <c r="AR18" s="4"/>
      <c r="AS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37" t="s">
        <v>43</v>
      </c>
      <c r="J19" s="45">
        <f>SUM(J9:J17)</f>
        <v>0</v>
      </c>
      <c r="K19" s="46" t="str">
        <f>Norma!A20</f>
        <v>#N/A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7"/>
      <c r="J21" s="2"/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ht="12.75" customHeight="1">
      <c r="A25" s="4"/>
      <c r="B25" s="48" t="s">
        <v>5</v>
      </c>
      <c r="C25" s="49" t="s">
        <v>6</v>
      </c>
      <c r="D25" s="50" t="str">
        <f>IF(Input!D4&gt;0,Input!D4,"")</f>
        <v/>
      </c>
      <c r="E25" s="11"/>
      <c r="F25" s="11"/>
      <c r="G25" s="1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ht="12.75" customHeight="1">
      <c r="A26" s="4"/>
      <c r="B26" s="51" t="s">
        <v>8</v>
      </c>
      <c r="C26" s="52" t="s">
        <v>6</v>
      </c>
      <c r="D26" s="50" t="str">
        <f>IF(Input!D5&gt;0,Input!D5,"")</f>
        <v/>
      </c>
      <c r="E26" s="11"/>
      <c r="F26" s="11"/>
      <c r="G26" s="1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ht="12.75" customHeight="1">
      <c r="A27" s="4"/>
      <c r="B27" s="51" t="s">
        <v>44</v>
      </c>
      <c r="C27" s="52" t="s">
        <v>6</v>
      </c>
      <c r="D27" s="53" t="str">
        <f>IF(Input!D6&gt;0,Input!D6,"")</f>
        <v/>
      </c>
      <c r="E27" s="11"/>
      <c r="F27" s="11"/>
      <c r="G27" s="1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ht="14.25" customHeight="1">
      <c r="A28" s="4"/>
      <c r="B28" s="51" t="s">
        <v>12</v>
      </c>
      <c r="C28" s="52" t="s">
        <v>6</v>
      </c>
      <c r="D28" s="53" t="str">
        <f>IF(Input!D7&gt;0,Input!D7,"")</f>
        <v/>
      </c>
      <c r="E28" s="11"/>
      <c r="F28" s="11"/>
      <c r="G28" s="1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ht="12.75" customHeight="1">
      <c r="A29" s="4"/>
      <c r="B29" s="54" t="s">
        <v>14</v>
      </c>
      <c r="C29" s="55" t="s">
        <v>6</v>
      </c>
      <c r="D29" s="50" t="str">
        <f>IF(Input!D8&gt;0,Input!D8,"")</f>
        <v/>
      </c>
      <c r="E29" s="11"/>
      <c r="F29" s="11"/>
      <c r="G29" s="12"/>
      <c r="H29" s="4"/>
      <c r="I29" s="4"/>
      <c r="J29" s="4"/>
      <c r="K29" s="5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ht="13.5" customHeight="1">
      <c r="A30" s="4"/>
      <c r="B30" s="51" t="s">
        <v>16</v>
      </c>
      <c r="C30" s="52" t="s">
        <v>6</v>
      </c>
      <c r="D30" s="50" t="str">
        <f>IF(Input!D9&gt;0,Input!D9,"")</f>
        <v/>
      </c>
      <c r="E30" s="11"/>
      <c r="F30" s="11"/>
      <c r="G30" s="12"/>
      <c r="H30" s="57"/>
      <c r="I30" s="57"/>
      <c r="J30" s="4"/>
      <c r="K30" s="58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</sheetData>
  <mergeCells count="18">
    <mergeCell ref="AF18:AH18"/>
    <mergeCell ref="AI18:AK18"/>
    <mergeCell ref="AL18:AN18"/>
    <mergeCell ref="I21:K21"/>
    <mergeCell ref="D25:G25"/>
    <mergeCell ref="D26:G26"/>
    <mergeCell ref="D27:G27"/>
    <mergeCell ref="D28:G28"/>
    <mergeCell ref="D29:G29"/>
    <mergeCell ref="K29:K30"/>
    <mergeCell ref="D30:G30"/>
    <mergeCell ref="A1:K1"/>
    <mergeCell ref="N18:P18"/>
    <mergeCell ref="Q18:S18"/>
    <mergeCell ref="T18:V18"/>
    <mergeCell ref="W18:Y18"/>
    <mergeCell ref="Z18:AB18"/>
    <mergeCell ref="AC18:AE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6.25"/>
    <col customWidth="1" hidden="1" min="2" max="2" width="5.38"/>
    <col customWidth="1" hidden="1" min="3" max="3" width="4.13"/>
    <col customWidth="1" hidden="1" min="4" max="5" width="5.63"/>
    <col customWidth="1" hidden="1" min="6" max="6" width="5.75"/>
    <col customWidth="1" hidden="1" min="7" max="8" width="5.63"/>
    <col customWidth="1" hidden="1" min="9" max="9" width="5.75"/>
    <col customWidth="1" hidden="1" min="10" max="11" width="5.63"/>
    <col customWidth="1" hidden="1" min="12" max="12" width="5.75"/>
    <col customWidth="1" hidden="1" min="13" max="14" width="5.63"/>
    <col customWidth="1" hidden="1" min="15" max="15" width="5.75"/>
    <col customWidth="1" hidden="1" min="16" max="17" width="5.63"/>
    <col customWidth="1" hidden="1" min="18" max="18" width="5.75"/>
    <col customWidth="1" hidden="1" min="19" max="20" width="5.63"/>
    <col customWidth="1" hidden="1" min="21" max="21" width="5.75"/>
    <col customWidth="1" hidden="1" min="22" max="23" width="5.63"/>
    <col customWidth="1" hidden="1" min="24" max="24" width="5.75"/>
    <col customWidth="1" hidden="1" min="25" max="26" width="5.63"/>
    <col customWidth="1" hidden="1" min="27" max="27" width="5.75"/>
    <col customWidth="1" hidden="1" min="28" max="29" width="5.63"/>
    <col customWidth="1" hidden="1" min="30" max="30" width="5.75"/>
    <col customWidth="1" hidden="1" min="31" max="31" width="3.0"/>
  </cols>
  <sheetData>
    <row r="1" ht="12.75" customHeight="1">
      <c r="A1" s="59" t="s">
        <v>45</v>
      </c>
      <c r="B1" s="59"/>
      <c r="C1" s="59"/>
      <c r="D1" s="60" t="s">
        <v>3</v>
      </c>
      <c r="E1" s="2"/>
      <c r="F1" s="3"/>
      <c r="G1" s="60" t="s">
        <v>4</v>
      </c>
      <c r="H1" s="2"/>
      <c r="I1" s="3"/>
      <c r="J1" s="60" t="s">
        <v>7</v>
      </c>
      <c r="K1" s="2"/>
      <c r="L1" s="3"/>
      <c r="M1" s="60" t="s">
        <v>9</v>
      </c>
      <c r="N1" s="2"/>
      <c r="O1" s="3"/>
      <c r="P1" s="60" t="s">
        <v>11</v>
      </c>
      <c r="Q1" s="2"/>
      <c r="R1" s="3"/>
      <c r="S1" s="60" t="s">
        <v>13</v>
      </c>
      <c r="T1" s="2"/>
      <c r="U1" s="3"/>
      <c r="V1" s="60" t="s">
        <v>15</v>
      </c>
      <c r="W1" s="2"/>
      <c r="X1" s="3"/>
      <c r="Y1" s="60" t="s">
        <v>17</v>
      </c>
      <c r="Z1" s="2"/>
      <c r="AA1" s="3"/>
      <c r="AB1" s="60" t="s">
        <v>18</v>
      </c>
      <c r="AC1" s="2"/>
      <c r="AD1" s="3"/>
      <c r="AE1" s="59"/>
    </row>
    <row r="2" ht="12.75" customHeight="1">
      <c r="A2" s="59"/>
      <c r="B2" s="59"/>
      <c r="C2" s="59" t="s">
        <v>1</v>
      </c>
      <c r="D2" s="59" t="s">
        <v>46</v>
      </c>
      <c r="E2" s="59" t="s">
        <v>47</v>
      </c>
      <c r="F2" s="59" t="s">
        <v>48</v>
      </c>
      <c r="G2" s="59" t="s">
        <v>46</v>
      </c>
      <c r="H2" s="59" t="s">
        <v>47</v>
      </c>
      <c r="I2" s="59" t="s">
        <v>48</v>
      </c>
      <c r="J2" s="59" t="s">
        <v>46</v>
      </c>
      <c r="K2" s="59" t="s">
        <v>47</v>
      </c>
      <c r="L2" s="59" t="s">
        <v>48</v>
      </c>
      <c r="M2" s="59" t="s">
        <v>46</v>
      </c>
      <c r="N2" s="59" t="s">
        <v>47</v>
      </c>
      <c r="O2" s="59" t="s">
        <v>48</v>
      </c>
      <c r="P2" s="59" t="s">
        <v>46</v>
      </c>
      <c r="Q2" s="59" t="s">
        <v>47</v>
      </c>
      <c r="R2" s="59" t="s">
        <v>48</v>
      </c>
      <c r="S2" s="59" t="s">
        <v>46</v>
      </c>
      <c r="T2" s="59" t="s">
        <v>47</v>
      </c>
      <c r="U2" s="59" t="s">
        <v>48</v>
      </c>
      <c r="V2" s="59" t="s">
        <v>46</v>
      </c>
      <c r="W2" s="59" t="s">
        <v>47</v>
      </c>
      <c r="X2" s="59" t="s">
        <v>48</v>
      </c>
      <c r="Y2" s="59" t="s">
        <v>46</v>
      </c>
      <c r="Z2" s="59" t="s">
        <v>47</v>
      </c>
      <c r="AA2" s="59" t="s">
        <v>48</v>
      </c>
      <c r="AB2" s="59" t="s">
        <v>46</v>
      </c>
      <c r="AC2" s="59" t="s">
        <v>47</v>
      </c>
      <c r="AD2" s="59" t="s">
        <v>48</v>
      </c>
      <c r="AE2" s="59"/>
    </row>
    <row r="3" ht="12.75" customHeight="1">
      <c r="A3" s="59"/>
      <c r="B3" s="59"/>
      <c r="C3" s="59">
        <v>0.0</v>
      </c>
      <c r="D3" s="59">
        <v>69.0</v>
      </c>
      <c r="E3" s="59">
        <v>71.0</v>
      </c>
      <c r="F3" s="59">
        <v>60.0</v>
      </c>
      <c r="G3" s="59">
        <v>68.0</v>
      </c>
      <c r="H3" s="59">
        <v>67.0</v>
      </c>
      <c r="I3" s="59">
        <v>35.0</v>
      </c>
      <c r="J3" s="59">
        <v>76.0</v>
      </c>
      <c r="K3" s="59">
        <v>79.0</v>
      </c>
      <c r="L3" s="59">
        <v>34.0</v>
      </c>
      <c r="M3" s="59">
        <v>78.0</v>
      </c>
      <c r="N3" s="59">
        <v>70.0</v>
      </c>
      <c r="O3" s="59">
        <v>57.0</v>
      </c>
      <c r="P3" s="59">
        <v>71.0</v>
      </c>
      <c r="Q3" s="59">
        <v>74.0</v>
      </c>
      <c r="R3" s="59">
        <v>52.0</v>
      </c>
      <c r="S3" s="59">
        <v>79.0</v>
      </c>
      <c r="T3" s="59">
        <v>79.0</v>
      </c>
      <c r="U3" s="59">
        <v>60.0</v>
      </c>
      <c r="V3" s="59">
        <v>79.0</v>
      </c>
      <c r="W3" s="59">
        <v>85.0</v>
      </c>
      <c r="X3" s="59">
        <v>60.0</v>
      </c>
      <c r="Y3" s="59">
        <v>66.0</v>
      </c>
      <c r="Z3" s="59">
        <v>69.0</v>
      </c>
      <c r="AA3" s="59">
        <v>45.0</v>
      </c>
      <c r="AB3" s="59">
        <v>74.0</v>
      </c>
      <c r="AC3" s="59">
        <v>75.0</v>
      </c>
      <c r="AD3" s="59">
        <v>55.0</v>
      </c>
      <c r="AE3" s="59">
        <v>0.0</v>
      </c>
    </row>
    <row r="4" ht="12.75" customHeight="1">
      <c r="A4" s="59"/>
      <c r="B4" s="59"/>
      <c r="C4" s="59">
        <v>1.0</v>
      </c>
      <c r="D4" s="59">
        <v>73.0</v>
      </c>
      <c r="E4" s="59">
        <v>75.0</v>
      </c>
      <c r="F4" s="59">
        <v>65.0</v>
      </c>
      <c r="G4" s="59">
        <v>72.0</v>
      </c>
      <c r="H4" s="59">
        <v>71.0</v>
      </c>
      <c r="I4" s="59">
        <v>40.0</v>
      </c>
      <c r="J4" s="59">
        <v>80.0</v>
      </c>
      <c r="K4" s="59">
        <v>83.0</v>
      </c>
      <c r="L4" s="59">
        <v>42.0</v>
      </c>
      <c r="M4" s="59">
        <v>80.0</v>
      </c>
      <c r="N4" s="59">
        <v>72.0</v>
      </c>
      <c r="O4" s="59">
        <v>60.0</v>
      </c>
      <c r="P4" s="59">
        <v>74.0</v>
      </c>
      <c r="Q4" s="59">
        <v>76.0</v>
      </c>
      <c r="R4" s="59">
        <v>56.0</v>
      </c>
      <c r="S4" s="59">
        <v>82.0</v>
      </c>
      <c r="T4" s="59">
        <v>82.0</v>
      </c>
      <c r="U4" s="59">
        <v>65.0</v>
      </c>
      <c r="V4" s="59">
        <v>81.0</v>
      </c>
      <c r="W4" s="59">
        <v>87.0</v>
      </c>
      <c r="X4" s="59">
        <v>64.0</v>
      </c>
      <c r="Y4" s="59">
        <v>69.0</v>
      </c>
      <c r="Z4" s="59">
        <v>73.0</v>
      </c>
      <c r="AA4" s="59">
        <v>50.0</v>
      </c>
      <c r="AB4" s="59">
        <v>76.0</v>
      </c>
      <c r="AC4" s="59">
        <v>78.0</v>
      </c>
      <c r="AD4" s="59">
        <v>60.0</v>
      </c>
      <c r="AE4" s="59">
        <v>1.0</v>
      </c>
    </row>
    <row r="5" ht="12.75" customHeight="1">
      <c r="A5" s="59"/>
      <c r="B5" s="59"/>
      <c r="C5" s="59">
        <v>2.0</v>
      </c>
      <c r="D5" s="59">
        <v>77.0</v>
      </c>
      <c r="E5" s="59">
        <v>78.0</v>
      </c>
      <c r="F5" s="59">
        <v>70.0</v>
      </c>
      <c r="G5" s="59">
        <v>76.0</v>
      </c>
      <c r="H5" s="59">
        <v>74.0</v>
      </c>
      <c r="I5" s="59">
        <v>45.0</v>
      </c>
      <c r="J5" s="59">
        <v>83.0</v>
      </c>
      <c r="K5" s="59">
        <v>86.0</v>
      </c>
      <c r="L5" s="59">
        <v>60.0</v>
      </c>
      <c r="M5" s="59">
        <v>82.0</v>
      </c>
      <c r="N5" s="59">
        <v>75.0</v>
      </c>
      <c r="O5" s="59">
        <v>63.0</v>
      </c>
      <c r="P5" s="59">
        <v>76.0</v>
      </c>
      <c r="Q5" s="59">
        <v>78.0</v>
      </c>
      <c r="R5" s="59">
        <v>60.0</v>
      </c>
      <c r="S5" s="59">
        <v>84.0</v>
      </c>
      <c r="T5" s="59">
        <v>84.0</v>
      </c>
      <c r="U5" s="59">
        <v>70.0</v>
      </c>
      <c r="V5" s="59">
        <v>84.0</v>
      </c>
      <c r="W5" s="59">
        <v>89.0</v>
      </c>
      <c r="X5" s="59">
        <v>68.0</v>
      </c>
      <c r="Y5" s="59">
        <v>73.0</v>
      </c>
      <c r="Z5" s="59">
        <v>75.0</v>
      </c>
      <c r="AA5" s="59">
        <v>55.0</v>
      </c>
      <c r="AB5" s="59">
        <v>79.0</v>
      </c>
      <c r="AC5" s="59">
        <v>81.0</v>
      </c>
      <c r="AD5" s="59">
        <v>65.0</v>
      </c>
      <c r="AE5" s="59">
        <v>2.0</v>
      </c>
    </row>
    <row r="6" ht="12.75" customHeight="1">
      <c r="A6" s="59"/>
      <c r="B6" s="59"/>
      <c r="C6" s="59">
        <v>3.0</v>
      </c>
      <c r="D6" s="59">
        <v>82.0</v>
      </c>
      <c r="E6" s="59">
        <v>82.0</v>
      </c>
      <c r="F6" s="59">
        <v>75.0</v>
      </c>
      <c r="G6" s="59">
        <v>80.0</v>
      </c>
      <c r="H6" s="59">
        <v>78.0</v>
      </c>
      <c r="I6" s="59">
        <v>50.0</v>
      </c>
      <c r="J6" s="59">
        <v>87.0</v>
      </c>
      <c r="K6" s="59">
        <v>89.0</v>
      </c>
      <c r="L6" s="59">
        <v>68.0</v>
      </c>
      <c r="M6" s="59">
        <v>84.0</v>
      </c>
      <c r="N6" s="59">
        <v>77.0</v>
      </c>
      <c r="O6" s="59">
        <v>64.0</v>
      </c>
      <c r="P6" s="59">
        <v>78.0</v>
      </c>
      <c r="Q6" s="59">
        <v>80.0</v>
      </c>
      <c r="R6" s="59">
        <v>64.0</v>
      </c>
      <c r="S6" s="59">
        <v>87.0</v>
      </c>
      <c r="T6" s="59">
        <v>87.0</v>
      </c>
      <c r="U6" s="59">
        <v>75.0</v>
      </c>
      <c r="V6" s="59">
        <v>86.0</v>
      </c>
      <c r="W6" s="59">
        <v>91.0</v>
      </c>
      <c r="X6" s="59">
        <v>72.0</v>
      </c>
      <c r="Y6" s="59">
        <v>76.0</v>
      </c>
      <c r="Z6" s="59">
        <v>79.0</v>
      </c>
      <c r="AA6" s="59">
        <v>60.0</v>
      </c>
      <c r="AB6" s="59">
        <v>82.0</v>
      </c>
      <c r="AC6" s="59">
        <v>84.0</v>
      </c>
      <c r="AD6" s="59">
        <v>70.0</v>
      </c>
      <c r="AE6" s="59">
        <v>3.0</v>
      </c>
    </row>
    <row r="7" ht="12.75" customHeight="1">
      <c r="A7" s="61"/>
      <c r="B7" s="61"/>
      <c r="C7" s="59">
        <v>4.0</v>
      </c>
      <c r="D7" s="59">
        <v>86.0</v>
      </c>
      <c r="E7" s="59">
        <v>86.0</v>
      </c>
      <c r="F7" s="59">
        <v>80.0</v>
      </c>
      <c r="G7" s="59">
        <v>84.0</v>
      </c>
      <c r="H7" s="59">
        <v>81.0</v>
      </c>
      <c r="I7" s="59">
        <v>55.0</v>
      </c>
      <c r="J7" s="59">
        <v>90.0</v>
      </c>
      <c r="K7" s="59">
        <v>92.0</v>
      </c>
      <c r="L7" s="59">
        <v>76.0</v>
      </c>
      <c r="M7" s="59">
        <v>86.0</v>
      </c>
      <c r="N7" s="59">
        <v>79.0</v>
      </c>
      <c r="O7" s="59">
        <v>67.0</v>
      </c>
      <c r="P7" s="59">
        <v>81.0</v>
      </c>
      <c r="Q7" s="59">
        <v>82.0</v>
      </c>
      <c r="R7" s="59">
        <v>68.0</v>
      </c>
      <c r="S7" s="59">
        <v>90.0</v>
      </c>
      <c r="T7" s="59">
        <v>89.0</v>
      </c>
      <c r="U7" s="59">
        <v>80.0</v>
      </c>
      <c r="V7" s="59">
        <v>88.0</v>
      </c>
      <c r="W7" s="59">
        <v>93.0</v>
      </c>
      <c r="X7" s="59">
        <v>76.0</v>
      </c>
      <c r="Y7" s="59">
        <v>79.0</v>
      </c>
      <c r="Z7" s="59">
        <v>82.0</v>
      </c>
      <c r="AA7" s="59">
        <v>65.0</v>
      </c>
      <c r="AB7" s="59">
        <v>85.0</v>
      </c>
      <c r="AC7" s="59">
        <v>87.0</v>
      </c>
      <c r="AD7" s="59">
        <v>75.0</v>
      </c>
      <c r="AE7" s="59">
        <v>4.0</v>
      </c>
    </row>
    <row r="8" ht="12.75" customHeight="1">
      <c r="A8" s="62" t="s">
        <v>49</v>
      </c>
      <c r="B8" s="61"/>
      <c r="C8" s="59">
        <v>5.0</v>
      </c>
      <c r="D8" s="59">
        <v>90.0</v>
      </c>
      <c r="E8" s="59">
        <v>90.0</v>
      </c>
      <c r="F8" s="59">
        <v>85.0</v>
      </c>
      <c r="G8" s="59">
        <v>87.0</v>
      </c>
      <c r="H8" s="59">
        <v>84.0</v>
      </c>
      <c r="I8" s="59">
        <v>60.0</v>
      </c>
      <c r="J8" s="59">
        <v>94.0</v>
      </c>
      <c r="K8" s="59">
        <v>96.0</v>
      </c>
      <c r="L8" s="59">
        <v>84.0</v>
      </c>
      <c r="M8" s="59">
        <v>88.0</v>
      </c>
      <c r="N8" s="59">
        <v>81.0</v>
      </c>
      <c r="O8" s="59">
        <v>70.0</v>
      </c>
      <c r="P8" s="59">
        <v>83.0</v>
      </c>
      <c r="Q8" s="59">
        <v>84.0</v>
      </c>
      <c r="R8" s="59">
        <v>72.0</v>
      </c>
      <c r="S8" s="59">
        <v>92.0</v>
      </c>
      <c r="T8" s="59">
        <v>92.0</v>
      </c>
      <c r="U8" s="59">
        <v>85.0</v>
      </c>
      <c r="V8" s="59">
        <v>91.0</v>
      </c>
      <c r="W8" s="59">
        <v>95.0</v>
      </c>
      <c r="X8" s="59">
        <v>80.0</v>
      </c>
      <c r="Y8" s="59">
        <v>82.0</v>
      </c>
      <c r="Z8" s="59">
        <v>85.0</v>
      </c>
      <c r="AA8" s="59">
        <v>70.0</v>
      </c>
      <c r="AB8" s="59">
        <v>88.0</v>
      </c>
      <c r="AC8" s="59">
        <v>90.0</v>
      </c>
      <c r="AD8" s="59">
        <v>80.0</v>
      </c>
      <c r="AE8" s="59">
        <v>5.0</v>
      </c>
    </row>
    <row r="9" ht="12.75" customHeight="1">
      <c r="A9" s="58"/>
      <c r="B9" s="61"/>
      <c r="C9" s="59">
        <v>6.0</v>
      </c>
      <c r="D9" s="59">
        <v>94.0</v>
      </c>
      <c r="E9" s="59">
        <v>93.0</v>
      </c>
      <c r="F9" s="59">
        <v>90.0</v>
      </c>
      <c r="G9" s="59">
        <v>91.0</v>
      </c>
      <c r="H9" s="59">
        <v>88.0</v>
      </c>
      <c r="I9" s="59">
        <v>65.0</v>
      </c>
      <c r="J9" s="59">
        <v>98.0</v>
      </c>
      <c r="K9" s="59">
        <v>99.0</v>
      </c>
      <c r="L9" s="59">
        <v>92.0</v>
      </c>
      <c r="M9" s="59">
        <v>90.0</v>
      </c>
      <c r="N9" s="59">
        <v>84.0</v>
      </c>
      <c r="O9" s="59">
        <v>73.0</v>
      </c>
      <c r="P9" s="59">
        <v>86.0</v>
      </c>
      <c r="Q9" s="59">
        <v>87.0</v>
      </c>
      <c r="R9" s="59">
        <v>76.0</v>
      </c>
      <c r="S9" s="59">
        <v>95.0</v>
      </c>
      <c r="T9" s="59">
        <v>95.0</v>
      </c>
      <c r="U9" s="59">
        <v>90.0</v>
      </c>
      <c r="V9" s="59">
        <v>93.0</v>
      </c>
      <c r="W9" s="59">
        <v>96.0</v>
      </c>
      <c r="X9" s="59">
        <v>84.0</v>
      </c>
      <c r="Y9" s="59">
        <v>86.0</v>
      </c>
      <c r="Z9" s="59">
        <v>88.0</v>
      </c>
      <c r="AA9" s="59">
        <v>75.0</v>
      </c>
      <c r="AB9" s="59">
        <v>91.0</v>
      </c>
      <c r="AC9" s="59">
        <v>93.0</v>
      </c>
      <c r="AD9" s="59">
        <v>85.0</v>
      </c>
      <c r="AE9" s="59">
        <v>6.0</v>
      </c>
    </row>
    <row r="10" ht="12.75" customHeight="1">
      <c r="A10" s="63">
        <f>IF(Output!J9&gt;20,"Salah",IF(Output!$D$29="SLTP",VLOOKUP(Output!J9,Norma!$C$3:$AD$35,2),IF(Output!$D$29="SLTA",(VLOOKUP(Output!J9,Norma!$C$3:$AD$35,3)),(VLOOKUP(Output!J9,Norma!$C$3:$AD$35,4)))))</f>
        <v>60</v>
      </c>
      <c r="B10" s="63"/>
      <c r="C10" s="59">
        <v>7.0</v>
      </c>
      <c r="D10" s="59">
        <v>98.0</v>
      </c>
      <c r="E10" s="59">
        <v>97.0</v>
      </c>
      <c r="F10" s="59">
        <v>95.0</v>
      </c>
      <c r="G10" s="59">
        <v>95.0</v>
      </c>
      <c r="H10" s="59">
        <v>92.0</v>
      </c>
      <c r="I10" s="59">
        <v>70.0</v>
      </c>
      <c r="J10" s="59">
        <v>101.0</v>
      </c>
      <c r="K10" s="59">
        <v>102.0</v>
      </c>
      <c r="L10" s="59">
        <v>100.0</v>
      </c>
      <c r="M10" s="59">
        <v>92.0</v>
      </c>
      <c r="N10" s="59">
        <v>86.0</v>
      </c>
      <c r="O10" s="59">
        <v>76.0</v>
      </c>
      <c r="P10" s="59">
        <v>88.0</v>
      </c>
      <c r="Q10" s="59">
        <v>89.0</v>
      </c>
      <c r="R10" s="59">
        <v>80.0</v>
      </c>
      <c r="S10" s="59">
        <v>98.0</v>
      </c>
      <c r="T10" s="59">
        <v>97.0</v>
      </c>
      <c r="U10" s="59">
        <v>95.0</v>
      </c>
      <c r="V10" s="59">
        <v>95.0</v>
      </c>
      <c r="W10" s="59">
        <v>98.0</v>
      </c>
      <c r="X10" s="59">
        <v>88.0</v>
      </c>
      <c r="Y10" s="59">
        <v>89.0</v>
      </c>
      <c r="Z10" s="59">
        <v>91.0</v>
      </c>
      <c r="AA10" s="59">
        <v>80.0</v>
      </c>
      <c r="AB10" s="59">
        <v>94.0</v>
      </c>
      <c r="AC10" s="59">
        <v>96.0</v>
      </c>
      <c r="AD10" s="59">
        <v>90.0</v>
      </c>
      <c r="AE10" s="59">
        <v>7.0</v>
      </c>
    </row>
    <row r="11" ht="12.75" customHeight="1">
      <c r="A11" s="63">
        <f>IF(Output!J10&gt;20,"Salah",IF(Output!$D$29="SLTP",VLOOKUP(Output!J10,Norma!$C$3:$AD$35,5),IF(Output!$D$29="SLTA",(VLOOKUP(Output!J10,Norma!$C$3:$AD$35,6)),(VLOOKUP(Output!J10,Norma!$C$3:$AD$35,7)))))</f>
        <v>35</v>
      </c>
      <c r="B11" s="63"/>
      <c r="C11" s="59">
        <v>8.0</v>
      </c>
      <c r="D11" s="59">
        <v>102.0</v>
      </c>
      <c r="E11" s="59">
        <v>101.0</v>
      </c>
      <c r="F11" s="59">
        <v>100.0</v>
      </c>
      <c r="G11" s="59">
        <v>99.0</v>
      </c>
      <c r="H11" s="59">
        <v>95.0</v>
      </c>
      <c r="I11" s="59">
        <v>75.0</v>
      </c>
      <c r="J11" s="59">
        <v>105.0</v>
      </c>
      <c r="K11" s="59">
        <v>106.0</v>
      </c>
      <c r="L11" s="59">
        <v>108.0</v>
      </c>
      <c r="M11" s="59">
        <v>94.0</v>
      </c>
      <c r="N11" s="59">
        <v>88.0</v>
      </c>
      <c r="O11" s="59">
        <v>79.0</v>
      </c>
      <c r="P11" s="59">
        <v>91.0</v>
      </c>
      <c r="Q11" s="59">
        <v>91.0</v>
      </c>
      <c r="R11" s="59">
        <v>84.0</v>
      </c>
      <c r="S11" s="59">
        <v>100.0</v>
      </c>
      <c r="T11" s="59">
        <v>100.0</v>
      </c>
      <c r="U11" s="59">
        <v>100.0</v>
      </c>
      <c r="V11" s="59">
        <v>98.0</v>
      </c>
      <c r="W11" s="59">
        <v>100.0</v>
      </c>
      <c r="X11" s="59">
        <v>92.0</v>
      </c>
      <c r="Y11" s="59">
        <v>92.0</v>
      </c>
      <c r="Z11" s="59">
        <v>94.0</v>
      </c>
      <c r="AA11" s="59">
        <v>85.0</v>
      </c>
      <c r="AB11" s="59">
        <v>97.0</v>
      </c>
      <c r="AC11" s="59">
        <v>99.0</v>
      </c>
      <c r="AD11" s="59">
        <v>95.0</v>
      </c>
      <c r="AE11" s="59">
        <v>8.0</v>
      </c>
    </row>
    <row r="12" ht="12.75" customHeight="1">
      <c r="A12" s="63">
        <f>IF(Output!J11&gt;20,"Salah",IF(Output!$D$29="SLTP",VLOOKUP(Output!J11,Norma!$C$3:$AD$35,8),IF(Output!$D$29="SLTA",(VLOOKUP(Output!J11,Norma!$C$3:$AD$35,9)),(VLOOKUP(Output!J11,Norma!$C$3:$AD$35,10)))))</f>
        <v>34</v>
      </c>
      <c r="B12" s="63"/>
      <c r="C12" s="59">
        <v>9.0</v>
      </c>
      <c r="D12" s="59">
        <v>106.0</v>
      </c>
      <c r="E12" s="59">
        <v>105.0</v>
      </c>
      <c r="F12" s="59">
        <v>105.0</v>
      </c>
      <c r="G12" s="59">
        <v>103.0</v>
      </c>
      <c r="H12" s="59">
        <v>98.0</v>
      </c>
      <c r="I12" s="59">
        <v>80.0</v>
      </c>
      <c r="J12" s="59">
        <v>108.0</v>
      </c>
      <c r="K12" s="59">
        <v>109.0</v>
      </c>
      <c r="L12" s="59">
        <v>116.0</v>
      </c>
      <c r="M12" s="59">
        <v>96.0</v>
      </c>
      <c r="N12" s="59">
        <v>90.0</v>
      </c>
      <c r="O12" s="59">
        <v>81.0</v>
      </c>
      <c r="P12" s="59">
        <v>93.0</v>
      </c>
      <c r="Q12" s="59">
        <v>93.0</v>
      </c>
      <c r="R12" s="59">
        <v>88.0</v>
      </c>
      <c r="S12" s="59">
        <v>103.0</v>
      </c>
      <c r="T12" s="59">
        <v>102.0</v>
      </c>
      <c r="U12" s="59">
        <v>105.0</v>
      </c>
      <c r="V12" s="59">
        <v>100.0</v>
      </c>
      <c r="W12" s="59">
        <v>102.0</v>
      </c>
      <c r="X12" s="59">
        <v>96.0</v>
      </c>
      <c r="Y12" s="59">
        <v>95.0</v>
      </c>
      <c r="Z12" s="59">
        <v>97.0</v>
      </c>
      <c r="AA12" s="59">
        <v>90.0</v>
      </c>
      <c r="AB12" s="59">
        <v>100.0</v>
      </c>
      <c r="AC12" s="59">
        <v>102.0</v>
      </c>
      <c r="AD12" s="59">
        <v>100.0</v>
      </c>
      <c r="AE12" s="59">
        <v>9.0</v>
      </c>
    </row>
    <row r="13" ht="12.75" customHeight="1">
      <c r="A13" s="63">
        <f>IF(Output!J12&gt;32,"Salah",IF(Output!$D$29="SLTP",VLOOKUP(Output!J12,Norma!$C$3:$AD$35,11),IF(Output!$D$29="SLTA",(VLOOKUP(Output!J12,Norma!$C$3:$AD$35,12)),(VLOOKUP(Output!J12,Norma!$C$3:$AD$35,13)))))</f>
        <v>57</v>
      </c>
      <c r="B13" s="63"/>
      <c r="C13" s="59">
        <v>10.0</v>
      </c>
      <c r="D13" s="59">
        <v>110.0</v>
      </c>
      <c r="E13" s="59">
        <v>108.0</v>
      </c>
      <c r="F13" s="59">
        <v>110.0</v>
      </c>
      <c r="G13" s="59">
        <v>107.0</v>
      </c>
      <c r="H13" s="59">
        <v>102.0</v>
      </c>
      <c r="I13" s="59">
        <v>85.0</v>
      </c>
      <c r="J13" s="59">
        <v>112.0</v>
      </c>
      <c r="K13" s="59">
        <v>112.0</v>
      </c>
      <c r="L13" s="59">
        <v>124.0</v>
      </c>
      <c r="M13" s="59">
        <v>97.0</v>
      </c>
      <c r="N13" s="59">
        <v>93.0</v>
      </c>
      <c r="O13" s="59">
        <v>84.0</v>
      </c>
      <c r="P13" s="59">
        <v>95.0</v>
      </c>
      <c r="Q13" s="59">
        <v>95.0</v>
      </c>
      <c r="R13" s="59">
        <v>92.0</v>
      </c>
      <c r="S13" s="59">
        <v>106.0</v>
      </c>
      <c r="T13" s="59">
        <v>105.0</v>
      </c>
      <c r="U13" s="59">
        <v>110.0</v>
      </c>
      <c r="V13" s="59">
        <v>102.0</v>
      </c>
      <c r="W13" s="59">
        <v>104.0</v>
      </c>
      <c r="X13" s="59">
        <v>100.0</v>
      </c>
      <c r="Y13" s="59">
        <v>99.0</v>
      </c>
      <c r="Z13" s="59">
        <v>100.0</v>
      </c>
      <c r="AA13" s="59">
        <v>95.0</v>
      </c>
      <c r="AB13" s="59">
        <v>103.0</v>
      </c>
      <c r="AC13" s="59">
        <v>105.0</v>
      </c>
      <c r="AD13" s="59">
        <v>105.0</v>
      </c>
      <c r="AE13" s="59">
        <v>10.0</v>
      </c>
    </row>
    <row r="14" ht="12.75" customHeight="1">
      <c r="A14" s="63">
        <f>IF(Output!J13&gt;20,"Salah",IF(Output!$D$29="SLTP",VLOOKUP(Output!J13,Norma!$C$3:$AD$35,14),IF(Output!$D$29="SLTA",(VLOOKUP(Output!J13,Norma!$C$3:$AD$35,15)),(VLOOKUP(Output!J13,Norma!$C$3:$AD$35,16)))))</f>
        <v>52</v>
      </c>
      <c r="B14" s="63"/>
      <c r="C14" s="59">
        <v>11.0</v>
      </c>
      <c r="D14" s="59">
        <v>114.0</v>
      </c>
      <c r="E14" s="59">
        <v>112.0</v>
      </c>
      <c r="F14" s="59">
        <v>115.0</v>
      </c>
      <c r="G14" s="59">
        <v>111.0</v>
      </c>
      <c r="H14" s="59">
        <v>105.0</v>
      </c>
      <c r="I14" s="59">
        <v>90.0</v>
      </c>
      <c r="J14" s="59">
        <v>115.0</v>
      </c>
      <c r="K14" s="59">
        <v>115.0</v>
      </c>
      <c r="L14" s="59">
        <v>132.0</v>
      </c>
      <c r="M14" s="59">
        <v>99.0</v>
      </c>
      <c r="N14" s="59">
        <v>95.0</v>
      </c>
      <c r="O14" s="59">
        <v>87.0</v>
      </c>
      <c r="P14" s="59">
        <v>98.0</v>
      </c>
      <c r="Q14" s="59">
        <v>97.0</v>
      </c>
      <c r="R14" s="59">
        <v>96.0</v>
      </c>
      <c r="S14" s="59">
        <v>108.0</v>
      </c>
      <c r="T14" s="59">
        <v>107.0</v>
      </c>
      <c r="U14" s="59">
        <v>115.0</v>
      </c>
      <c r="V14" s="59">
        <v>105.0</v>
      </c>
      <c r="W14" s="59">
        <v>106.0</v>
      </c>
      <c r="X14" s="59">
        <v>104.0</v>
      </c>
      <c r="Y14" s="59">
        <v>102.0</v>
      </c>
      <c r="Z14" s="59">
        <v>103.0</v>
      </c>
      <c r="AA14" s="59">
        <v>100.0</v>
      </c>
      <c r="AB14" s="59">
        <v>106.0</v>
      </c>
      <c r="AC14" s="59">
        <v>108.0</v>
      </c>
      <c r="AD14" s="59">
        <v>110.0</v>
      </c>
      <c r="AE14" s="59">
        <v>11.0</v>
      </c>
    </row>
    <row r="15" ht="12.75" customHeight="1">
      <c r="A15" s="63">
        <f>IF(Output!J14&gt;20,"Salah",IF(Output!$D$29="SLTP",VLOOKUP(Output!J14,Norma!$C$3:$AD$35,17),IF(Output!$D$29="SLTA",(VLOOKUP(Output!J14,Norma!$C$3:$AD$35,18)),(VLOOKUP(Output!J14,Norma!$C$3:$AD$35,19)))))</f>
        <v>60</v>
      </c>
      <c r="B15" s="63"/>
      <c r="C15" s="59">
        <v>12.0</v>
      </c>
      <c r="D15" s="59">
        <v>118.0</v>
      </c>
      <c r="E15" s="59">
        <v>116.0</v>
      </c>
      <c r="F15" s="59">
        <v>120.0</v>
      </c>
      <c r="G15" s="59">
        <v>114.0</v>
      </c>
      <c r="H15" s="59">
        <v>109.0</v>
      </c>
      <c r="I15" s="59">
        <v>95.0</v>
      </c>
      <c r="J15" s="59">
        <v>119.0</v>
      </c>
      <c r="K15" s="59">
        <v>119.0</v>
      </c>
      <c r="L15" s="59">
        <v>140.0</v>
      </c>
      <c r="M15" s="59">
        <v>101.0</v>
      </c>
      <c r="N15" s="59">
        <v>97.0</v>
      </c>
      <c r="O15" s="59">
        <v>90.0</v>
      </c>
      <c r="P15" s="59">
        <v>100.0</v>
      </c>
      <c r="Q15" s="59">
        <v>100.0</v>
      </c>
      <c r="R15" s="59">
        <v>100.0</v>
      </c>
      <c r="S15" s="59">
        <v>111.0</v>
      </c>
      <c r="T15" s="59">
        <v>110.0</v>
      </c>
      <c r="U15" s="59">
        <v>120.0</v>
      </c>
      <c r="V15" s="59">
        <v>107.0</v>
      </c>
      <c r="W15" s="59">
        <v>108.0</v>
      </c>
      <c r="X15" s="59">
        <v>108.0</v>
      </c>
      <c r="Y15" s="59">
        <v>105.0</v>
      </c>
      <c r="Z15" s="59">
        <v>106.0</v>
      </c>
      <c r="AA15" s="59">
        <v>105.0</v>
      </c>
      <c r="AB15" s="59">
        <v>109.0</v>
      </c>
      <c r="AC15" s="59">
        <v>111.0</v>
      </c>
      <c r="AD15" s="59">
        <v>115.0</v>
      </c>
      <c r="AE15" s="59">
        <v>12.0</v>
      </c>
    </row>
    <row r="16" ht="12.75" customHeight="1">
      <c r="A16" s="63">
        <f>IF(Output!J15&gt;20,"Salah",IF(Output!$D$29="SLTP",VLOOKUP(Output!J15,Norma!$C$3:$AD$35,20),IF(Output!$D$29="SLTA",(VLOOKUP(Output!J15,Norma!$C$3:$AD$35,21)),(VLOOKUP(Output!J15,Norma!$C$3:$AD$35,22)))))</f>
        <v>60</v>
      </c>
      <c r="B16" s="63"/>
      <c r="C16" s="59">
        <v>13.0</v>
      </c>
      <c r="D16" s="59">
        <v>122.0</v>
      </c>
      <c r="E16" s="59">
        <v>120.0</v>
      </c>
      <c r="F16" s="59">
        <v>125.0</v>
      </c>
      <c r="G16" s="59">
        <v>118.0</v>
      </c>
      <c r="H16" s="59">
        <v>112.0</v>
      </c>
      <c r="I16" s="59">
        <v>100.0</v>
      </c>
      <c r="J16" s="59">
        <v>122.0</v>
      </c>
      <c r="K16" s="59">
        <v>122.0</v>
      </c>
      <c r="L16" s="59">
        <v>148.0</v>
      </c>
      <c r="M16" s="59">
        <v>103.0</v>
      </c>
      <c r="N16" s="59">
        <v>99.0</v>
      </c>
      <c r="O16" s="59">
        <v>93.0</v>
      </c>
      <c r="P16" s="59">
        <v>103.0</v>
      </c>
      <c r="Q16" s="59">
        <v>102.0</v>
      </c>
      <c r="R16" s="59">
        <v>104.0</v>
      </c>
      <c r="S16" s="59">
        <v>114.0</v>
      </c>
      <c r="T16" s="59">
        <v>112.0</v>
      </c>
      <c r="U16" s="59">
        <v>125.0</v>
      </c>
      <c r="V16" s="59">
        <v>109.0</v>
      </c>
      <c r="W16" s="59">
        <v>109.0</v>
      </c>
      <c r="X16" s="59">
        <v>112.0</v>
      </c>
      <c r="Y16" s="59">
        <v>108.0</v>
      </c>
      <c r="Z16" s="59">
        <v>109.0</v>
      </c>
      <c r="AA16" s="59">
        <v>110.0</v>
      </c>
      <c r="AB16" s="59">
        <v>112.0</v>
      </c>
      <c r="AC16" s="59">
        <v>114.0</v>
      </c>
      <c r="AD16" s="59">
        <v>120.0</v>
      </c>
      <c r="AE16" s="59">
        <v>13.0</v>
      </c>
    </row>
    <row r="17" ht="12.75" customHeight="1">
      <c r="A17" s="63">
        <f>IF(Output!J16&gt;20,"Salah",IF(Output!$D$29="SLTP",VLOOKUP(Output!J16,Norma!$C$3:$AD$35,23),IF(Output!$D$29="SLTA",(VLOOKUP(Output!J16,Norma!$C$3:$AD$35,24)),(VLOOKUP(Output!J16,Norma!$C$3:$AD$35,25)))))</f>
        <v>45</v>
      </c>
      <c r="B17" s="63"/>
      <c r="C17" s="59">
        <v>14.0</v>
      </c>
      <c r="D17" s="59">
        <v>126.0</v>
      </c>
      <c r="E17" s="59">
        <v>123.0</v>
      </c>
      <c r="F17" s="59">
        <v>130.0</v>
      </c>
      <c r="G17" s="59">
        <v>122.0</v>
      </c>
      <c r="H17" s="59">
        <v>116.0</v>
      </c>
      <c r="I17" s="59">
        <v>105.0</v>
      </c>
      <c r="J17" s="59">
        <v>126.0</v>
      </c>
      <c r="K17" s="59">
        <v>125.0</v>
      </c>
      <c r="L17" s="59">
        <v>156.0</v>
      </c>
      <c r="M17" s="59">
        <v>105.0</v>
      </c>
      <c r="N17" s="59">
        <v>101.0</v>
      </c>
      <c r="O17" s="59">
        <v>96.0</v>
      </c>
      <c r="P17" s="59">
        <v>105.0</v>
      </c>
      <c r="Q17" s="59">
        <v>104.0</v>
      </c>
      <c r="R17" s="59">
        <v>108.0</v>
      </c>
      <c r="S17" s="59">
        <v>116.0</v>
      </c>
      <c r="T17" s="59">
        <v>115.0</v>
      </c>
      <c r="U17" s="59">
        <v>130.0</v>
      </c>
      <c r="V17" s="59">
        <v>112.0</v>
      </c>
      <c r="W17" s="59">
        <v>111.0</v>
      </c>
      <c r="X17" s="59">
        <v>116.0</v>
      </c>
      <c r="Y17" s="59">
        <v>112.0</v>
      </c>
      <c r="Z17" s="59">
        <v>112.0</v>
      </c>
      <c r="AA17" s="59">
        <v>115.0</v>
      </c>
      <c r="AB17" s="59">
        <v>115.0</v>
      </c>
      <c r="AC17" s="59">
        <v>117.0</v>
      </c>
      <c r="AD17" s="59">
        <v>125.0</v>
      </c>
      <c r="AE17" s="59">
        <v>14.0</v>
      </c>
    </row>
    <row r="18" ht="12.75" customHeight="1">
      <c r="A18" s="63">
        <f>IF(Output!J17&gt;20,"Salah",IF(Output!$D$29="SLTP",VLOOKUP(Output!J17,Norma!$C$3:$AD$35,26),IF(Output!$D$29="SLTA",(VLOOKUP(Output!J17,Norma!$C$3:$AD$35,27)),(VLOOKUP(Output!J17,Norma!$C$3:$AD$35,28)))))</f>
        <v>55</v>
      </c>
      <c r="B18" s="63"/>
      <c r="C18" s="59">
        <v>15.0</v>
      </c>
      <c r="D18" s="59">
        <v>130.0</v>
      </c>
      <c r="E18" s="59">
        <v>127.0</v>
      </c>
      <c r="F18" s="59">
        <v>135.0</v>
      </c>
      <c r="G18" s="59">
        <v>126.0</v>
      </c>
      <c r="H18" s="59">
        <v>119.0</v>
      </c>
      <c r="I18" s="59">
        <v>110.0</v>
      </c>
      <c r="J18" s="59">
        <v>130.0</v>
      </c>
      <c r="K18" s="59">
        <v>129.0</v>
      </c>
      <c r="L18" s="59">
        <v>164.0</v>
      </c>
      <c r="M18" s="59">
        <v>107.0</v>
      </c>
      <c r="N18" s="59">
        <v>104.0</v>
      </c>
      <c r="O18" s="59">
        <v>97.0</v>
      </c>
      <c r="P18" s="59">
        <v>108.0</v>
      </c>
      <c r="Q18" s="59">
        <v>106.0</v>
      </c>
      <c r="R18" s="59">
        <v>112.0</v>
      </c>
      <c r="S18" s="59">
        <v>119.0</v>
      </c>
      <c r="T18" s="59">
        <v>118.0</v>
      </c>
      <c r="U18" s="59">
        <v>135.0</v>
      </c>
      <c r="V18" s="59">
        <v>114.0</v>
      </c>
      <c r="W18" s="59">
        <v>113.0</v>
      </c>
      <c r="X18" s="59">
        <v>120.0</v>
      </c>
      <c r="Y18" s="59">
        <v>115.0</v>
      </c>
      <c r="Z18" s="59">
        <v>115.0</v>
      </c>
      <c r="AA18" s="59">
        <v>120.0</v>
      </c>
      <c r="AB18" s="59">
        <v>118.0</v>
      </c>
      <c r="AC18" s="59">
        <v>120.0</v>
      </c>
      <c r="AD18" s="59">
        <v>130.0</v>
      </c>
      <c r="AE18" s="59">
        <v>15.0</v>
      </c>
    </row>
    <row r="19" ht="12.75" customHeight="1">
      <c r="A19" s="59" t="s">
        <v>50</v>
      </c>
      <c r="B19" s="63"/>
      <c r="C19" s="59">
        <v>16.0</v>
      </c>
      <c r="D19" s="59">
        <v>134.0</v>
      </c>
      <c r="E19" s="59">
        <v>131.0</v>
      </c>
      <c r="F19" s="59">
        <v>140.0</v>
      </c>
      <c r="G19" s="59">
        <v>130.0</v>
      </c>
      <c r="H19" s="59">
        <v>123.0</v>
      </c>
      <c r="I19" s="59">
        <v>115.0</v>
      </c>
      <c r="J19" s="59">
        <v>133.0</v>
      </c>
      <c r="K19" s="59">
        <v>132.0</v>
      </c>
      <c r="L19" s="59">
        <v>172.0</v>
      </c>
      <c r="M19" s="59">
        <v>109.0</v>
      </c>
      <c r="N19" s="59">
        <v>106.0</v>
      </c>
      <c r="O19" s="59">
        <v>100.0</v>
      </c>
      <c r="P19" s="59">
        <v>110.0</v>
      </c>
      <c r="Q19" s="59">
        <v>108.0</v>
      </c>
      <c r="R19" s="59">
        <v>116.0</v>
      </c>
      <c r="S19" s="59">
        <v>122.0</v>
      </c>
      <c r="T19" s="59">
        <v>120.0</v>
      </c>
      <c r="U19" s="59">
        <v>140.0</v>
      </c>
      <c r="V19" s="59">
        <v>116.0</v>
      </c>
      <c r="W19" s="59">
        <v>115.0</v>
      </c>
      <c r="X19" s="59">
        <v>124.0</v>
      </c>
      <c r="Y19" s="59">
        <v>118.0</v>
      </c>
      <c r="Z19" s="59">
        <v>118.0</v>
      </c>
      <c r="AA19" s="59">
        <v>125.0</v>
      </c>
      <c r="AB19" s="59">
        <v>121.0</v>
      </c>
      <c r="AC19" s="59">
        <v>123.0</v>
      </c>
      <c r="AD19" s="59">
        <v>135.0</v>
      </c>
      <c r="AE19" s="59">
        <v>16.0</v>
      </c>
    </row>
    <row r="20" ht="12.75" customHeight="1">
      <c r="A20" s="63" t="str">
        <f>IF(Output!$D$29="sltp",VLOOKUP(Output!$J$19,Norma!$C$38:$D$161,2),VLOOKUP(Output!$J$19,Norma!$E$38:$F$166,2))</f>
        <v>#N/A</v>
      </c>
      <c r="B20" s="63"/>
      <c r="C20" s="59">
        <v>17.0</v>
      </c>
      <c r="D20" s="59">
        <v>139.0</v>
      </c>
      <c r="E20" s="59">
        <v>135.0</v>
      </c>
      <c r="F20" s="59">
        <v>145.0</v>
      </c>
      <c r="G20" s="59">
        <v>134.0</v>
      </c>
      <c r="H20" s="59">
        <v>126.0</v>
      </c>
      <c r="I20" s="59">
        <v>120.0</v>
      </c>
      <c r="J20" s="59">
        <v>137.0</v>
      </c>
      <c r="K20" s="59">
        <v>135.0</v>
      </c>
      <c r="L20" s="59">
        <v>180.0</v>
      </c>
      <c r="M20" s="59">
        <v>111.0</v>
      </c>
      <c r="N20" s="59">
        <v>108.0</v>
      </c>
      <c r="O20" s="59">
        <v>103.0</v>
      </c>
      <c r="P20" s="59">
        <v>113.0</v>
      </c>
      <c r="Q20" s="59">
        <v>110.0</v>
      </c>
      <c r="R20" s="59">
        <v>120.0</v>
      </c>
      <c r="S20" s="59">
        <v>124.0</v>
      </c>
      <c r="T20" s="59">
        <v>123.0</v>
      </c>
      <c r="U20" s="59">
        <v>145.0</v>
      </c>
      <c r="V20" s="59">
        <v>119.0</v>
      </c>
      <c r="W20" s="59">
        <v>117.0</v>
      </c>
      <c r="X20" s="59">
        <v>128.0</v>
      </c>
      <c r="Y20" s="59">
        <v>121.0</v>
      </c>
      <c r="Z20" s="59">
        <v>121.0</v>
      </c>
      <c r="AA20" s="59">
        <v>130.0</v>
      </c>
      <c r="AB20" s="59">
        <v>124.0</v>
      </c>
      <c r="AC20" s="59">
        <v>126.0</v>
      </c>
      <c r="AD20" s="59">
        <v>140.0</v>
      </c>
      <c r="AE20" s="59">
        <v>17.0</v>
      </c>
    </row>
    <row r="21" ht="12.75" customHeight="1">
      <c r="A21" s="59"/>
      <c r="B21" s="59"/>
      <c r="C21" s="59">
        <v>18.0</v>
      </c>
      <c r="D21" s="59">
        <v>143.0</v>
      </c>
      <c r="E21" s="59">
        <v>138.0</v>
      </c>
      <c r="F21" s="59">
        <v>150.0</v>
      </c>
      <c r="G21" s="59">
        <v>138.0</v>
      </c>
      <c r="H21" s="59">
        <v>130.0</v>
      </c>
      <c r="I21" s="59">
        <v>125.0</v>
      </c>
      <c r="J21" s="59">
        <v>140.0</v>
      </c>
      <c r="K21" s="59">
        <v>138.0</v>
      </c>
      <c r="L21" s="59">
        <v>188.0</v>
      </c>
      <c r="M21" s="59">
        <v>113.0</v>
      </c>
      <c r="N21" s="59">
        <v>110.0</v>
      </c>
      <c r="O21" s="59">
        <v>106.0</v>
      </c>
      <c r="P21" s="59">
        <v>115.0</v>
      </c>
      <c r="Q21" s="59">
        <v>112.0</v>
      </c>
      <c r="R21" s="59">
        <v>124.0</v>
      </c>
      <c r="S21" s="59">
        <v>127.0</v>
      </c>
      <c r="T21" s="59">
        <v>125.0</v>
      </c>
      <c r="U21" s="59">
        <v>150.0</v>
      </c>
      <c r="V21" s="59">
        <v>121.0</v>
      </c>
      <c r="W21" s="59">
        <v>119.0</v>
      </c>
      <c r="X21" s="59">
        <v>132.0</v>
      </c>
      <c r="Y21" s="59">
        <v>124.0</v>
      </c>
      <c r="Z21" s="59">
        <v>124.0</v>
      </c>
      <c r="AA21" s="59">
        <v>135.0</v>
      </c>
      <c r="AB21" s="59">
        <v>127.0</v>
      </c>
      <c r="AC21" s="59">
        <v>129.0</v>
      </c>
      <c r="AD21" s="59">
        <v>145.0</v>
      </c>
      <c r="AE21" s="59">
        <v>18.0</v>
      </c>
    </row>
    <row r="22" ht="12.75" customHeight="1">
      <c r="A22" s="59"/>
      <c r="B22" s="59"/>
      <c r="C22" s="59">
        <v>19.0</v>
      </c>
      <c r="D22" s="59">
        <v>147.0</v>
      </c>
      <c r="E22" s="59">
        <v>142.0</v>
      </c>
      <c r="F22" s="59">
        <v>155.0</v>
      </c>
      <c r="G22" s="59">
        <v>141.0</v>
      </c>
      <c r="H22" s="59">
        <v>133.0</v>
      </c>
      <c r="I22" s="59">
        <v>130.0</v>
      </c>
      <c r="J22" s="59">
        <v>144.0</v>
      </c>
      <c r="K22" s="59">
        <v>142.0</v>
      </c>
      <c r="L22" s="59">
        <v>196.0</v>
      </c>
      <c r="M22" s="59">
        <v>115.0</v>
      </c>
      <c r="N22" s="59">
        <v>113.0</v>
      </c>
      <c r="O22" s="59">
        <v>109.0</v>
      </c>
      <c r="P22" s="59">
        <v>117.0</v>
      </c>
      <c r="Q22" s="59">
        <v>115.0</v>
      </c>
      <c r="R22" s="59">
        <v>128.0</v>
      </c>
      <c r="S22" s="59">
        <v>130.0</v>
      </c>
      <c r="T22" s="59">
        <v>128.0</v>
      </c>
      <c r="U22" s="59">
        <v>155.0</v>
      </c>
      <c r="V22" s="59">
        <v>123.0</v>
      </c>
      <c r="W22" s="59">
        <v>121.0</v>
      </c>
      <c r="X22" s="59">
        <v>136.0</v>
      </c>
      <c r="Y22" s="59">
        <v>128.0</v>
      </c>
      <c r="Z22" s="59">
        <v>127.0</v>
      </c>
      <c r="AA22" s="59">
        <v>140.0</v>
      </c>
      <c r="AB22" s="59">
        <v>130.0</v>
      </c>
      <c r="AC22" s="59">
        <v>131.0</v>
      </c>
      <c r="AD22" s="59">
        <v>150.0</v>
      </c>
      <c r="AE22" s="59">
        <v>19.0</v>
      </c>
    </row>
    <row r="23" ht="12.75" customHeight="1">
      <c r="A23" s="59"/>
      <c r="B23" s="59"/>
      <c r="C23" s="59">
        <v>20.0</v>
      </c>
      <c r="D23" s="59">
        <v>151.0</v>
      </c>
      <c r="E23" s="59">
        <v>146.0</v>
      </c>
      <c r="F23" s="59">
        <v>160.0</v>
      </c>
      <c r="G23" s="59">
        <v>145.0</v>
      </c>
      <c r="H23" s="59">
        <v>137.0</v>
      </c>
      <c r="I23" s="59">
        <v>135.0</v>
      </c>
      <c r="J23" s="59">
        <v>147.0</v>
      </c>
      <c r="K23" s="59">
        <v>145.0</v>
      </c>
      <c r="L23" s="59">
        <v>204.0</v>
      </c>
      <c r="M23" s="59">
        <v>117.0</v>
      </c>
      <c r="N23" s="59">
        <v>115.0</v>
      </c>
      <c r="O23" s="59">
        <v>111.0</v>
      </c>
      <c r="P23" s="59">
        <v>120.0</v>
      </c>
      <c r="Q23" s="59">
        <v>117.0</v>
      </c>
      <c r="R23" s="59">
        <v>132.0</v>
      </c>
      <c r="S23" s="59">
        <v>132.0</v>
      </c>
      <c r="T23" s="59">
        <v>130.0</v>
      </c>
      <c r="U23" s="59">
        <v>160.0</v>
      </c>
      <c r="V23" s="59">
        <v>126.0</v>
      </c>
      <c r="W23" s="59">
        <v>122.0</v>
      </c>
      <c r="X23" s="59">
        <v>140.0</v>
      </c>
      <c r="Y23" s="59">
        <v>131.0</v>
      </c>
      <c r="Z23" s="59">
        <v>130.0</v>
      </c>
      <c r="AA23" s="59">
        <v>145.0</v>
      </c>
      <c r="AB23" s="59">
        <v>133.0</v>
      </c>
      <c r="AC23" s="59">
        <v>134.0</v>
      </c>
      <c r="AD23" s="59">
        <v>155.0</v>
      </c>
      <c r="AE23" s="59">
        <v>20.0</v>
      </c>
    </row>
    <row r="24" ht="12.75" customHeight="1">
      <c r="A24" s="59"/>
      <c r="B24" s="59"/>
      <c r="C24" s="59">
        <v>21.0</v>
      </c>
      <c r="D24" s="59"/>
      <c r="E24" s="59"/>
      <c r="F24" s="59"/>
      <c r="G24" s="59"/>
      <c r="H24" s="59"/>
      <c r="I24" s="59"/>
      <c r="J24" s="59"/>
      <c r="K24" s="59"/>
      <c r="L24" s="59"/>
      <c r="M24" s="59">
        <v>119.0</v>
      </c>
      <c r="N24" s="59">
        <v>117.0</v>
      </c>
      <c r="O24" s="59">
        <v>114.0</v>
      </c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>
        <v>21.0</v>
      </c>
    </row>
    <row r="25" ht="12.75" customHeight="1">
      <c r="A25" s="59"/>
      <c r="B25" s="59"/>
      <c r="C25" s="59">
        <v>22.0</v>
      </c>
      <c r="D25" s="59"/>
      <c r="E25" s="59"/>
      <c r="F25" s="59"/>
      <c r="G25" s="59"/>
      <c r="H25" s="59"/>
      <c r="I25" s="59"/>
      <c r="J25" s="59"/>
      <c r="K25" s="59"/>
      <c r="L25" s="59"/>
      <c r="M25" s="59">
        <v>121.0</v>
      </c>
      <c r="N25" s="59">
        <v>119.0</v>
      </c>
      <c r="O25" s="59">
        <v>117.0</v>
      </c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>
        <v>22.0</v>
      </c>
    </row>
    <row r="26" ht="12.75" customHeight="1">
      <c r="A26" s="59"/>
      <c r="B26" s="59"/>
      <c r="C26" s="59">
        <v>23.0</v>
      </c>
      <c r="D26" s="59"/>
      <c r="E26" s="59"/>
      <c r="F26" s="59"/>
      <c r="G26" s="59"/>
      <c r="H26" s="59"/>
      <c r="I26" s="59"/>
      <c r="J26" s="59"/>
      <c r="K26" s="59"/>
      <c r="L26" s="59"/>
      <c r="M26" s="59">
        <v>123.0</v>
      </c>
      <c r="N26" s="59">
        <v>122.0</v>
      </c>
      <c r="O26" s="59">
        <v>120.0</v>
      </c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>
        <v>23.0</v>
      </c>
    </row>
    <row r="27" ht="12.75" customHeight="1">
      <c r="A27" s="59"/>
      <c r="B27" s="59"/>
      <c r="C27" s="59">
        <v>24.0</v>
      </c>
      <c r="D27" s="59"/>
      <c r="E27" s="59"/>
      <c r="F27" s="59"/>
      <c r="G27" s="59"/>
      <c r="H27" s="59"/>
      <c r="I27" s="59"/>
      <c r="J27" s="59"/>
      <c r="K27" s="59"/>
      <c r="L27" s="59"/>
      <c r="M27" s="59">
        <v>125.0</v>
      </c>
      <c r="N27" s="59">
        <v>124.0</v>
      </c>
      <c r="O27" s="59">
        <v>123.0</v>
      </c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>
        <v>24.0</v>
      </c>
    </row>
    <row r="28" ht="12.75" customHeight="1">
      <c r="A28" s="59"/>
      <c r="B28" s="59"/>
      <c r="C28" s="59">
        <v>25.0</v>
      </c>
      <c r="D28" s="59"/>
      <c r="E28" s="59"/>
      <c r="F28" s="59"/>
      <c r="G28" s="59"/>
      <c r="H28" s="59"/>
      <c r="I28" s="59"/>
      <c r="J28" s="59"/>
      <c r="K28" s="59"/>
      <c r="L28" s="59"/>
      <c r="M28" s="59">
        <v>127.0</v>
      </c>
      <c r="N28" s="59">
        <v>126.0</v>
      </c>
      <c r="O28" s="59">
        <v>126.0</v>
      </c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>
        <v>25.0</v>
      </c>
    </row>
    <row r="29" ht="12.75" customHeight="1">
      <c r="A29" s="59"/>
      <c r="B29" s="59"/>
      <c r="C29" s="59">
        <v>26.0</v>
      </c>
      <c r="D29" s="59"/>
      <c r="E29" s="59"/>
      <c r="F29" s="59"/>
      <c r="G29" s="59"/>
      <c r="H29" s="59"/>
      <c r="I29" s="59"/>
      <c r="J29" s="59"/>
      <c r="K29" s="59"/>
      <c r="L29" s="59"/>
      <c r="M29" s="59">
        <v>129.0</v>
      </c>
      <c r="N29" s="59">
        <v>129.0</v>
      </c>
      <c r="O29" s="59">
        <v>129.0</v>
      </c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>
        <v>26.0</v>
      </c>
    </row>
    <row r="30" ht="13.5" customHeight="1">
      <c r="A30" s="64"/>
      <c r="B30" s="64"/>
      <c r="C30" s="59">
        <v>27.0</v>
      </c>
      <c r="D30" s="59"/>
      <c r="E30" s="59"/>
      <c r="F30" s="59"/>
      <c r="G30" s="59"/>
      <c r="H30" s="59"/>
      <c r="I30" s="59"/>
      <c r="J30" s="59"/>
      <c r="K30" s="59"/>
      <c r="L30" s="59"/>
      <c r="M30" s="59">
        <v>131.0</v>
      </c>
      <c r="N30" s="59">
        <v>131.0</v>
      </c>
      <c r="O30" s="59">
        <v>131.0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>
        <v>27.0</v>
      </c>
    </row>
    <row r="31" ht="12.75" customHeight="1">
      <c r="A31" s="59"/>
      <c r="B31" s="59"/>
      <c r="C31" s="59">
        <v>28.0</v>
      </c>
      <c r="D31" s="59"/>
      <c r="E31" s="59"/>
      <c r="F31" s="59"/>
      <c r="G31" s="59"/>
      <c r="H31" s="59"/>
      <c r="I31" s="59"/>
      <c r="J31" s="59"/>
      <c r="K31" s="59"/>
      <c r="L31" s="59"/>
      <c r="M31" s="59">
        <v>133.0</v>
      </c>
      <c r="N31" s="59">
        <v>133.0</v>
      </c>
      <c r="O31" s="59">
        <v>134.0</v>
      </c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>
        <v>28.0</v>
      </c>
    </row>
    <row r="32" ht="12.75" customHeight="1">
      <c r="A32" s="59"/>
      <c r="B32" s="59"/>
      <c r="C32" s="59">
        <v>29.0</v>
      </c>
      <c r="D32" s="59"/>
      <c r="E32" s="59"/>
      <c r="F32" s="59"/>
      <c r="G32" s="59"/>
      <c r="H32" s="59"/>
      <c r="I32" s="59"/>
      <c r="J32" s="59"/>
      <c r="K32" s="59"/>
      <c r="L32" s="59"/>
      <c r="M32" s="59">
        <v>135.0</v>
      </c>
      <c r="N32" s="59">
        <v>135.0</v>
      </c>
      <c r="O32" s="59">
        <v>137.0</v>
      </c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>
        <v>29.0</v>
      </c>
    </row>
    <row r="33" ht="12.75" customHeight="1">
      <c r="A33" s="59"/>
      <c r="B33" s="59"/>
      <c r="C33" s="59">
        <v>30.0</v>
      </c>
      <c r="D33" s="59"/>
      <c r="E33" s="59"/>
      <c r="F33" s="59"/>
      <c r="G33" s="59"/>
      <c r="H33" s="59"/>
      <c r="I33" s="59"/>
      <c r="J33" s="59"/>
      <c r="K33" s="59"/>
      <c r="L33" s="59"/>
      <c r="M33" s="59">
        <v>137.0</v>
      </c>
      <c r="N33" s="59">
        <v>137.0</v>
      </c>
      <c r="O33" s="59">
        <v>140.0</v>
      </c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>
        <v>30.0</v>
      </c>
    </row>
    <row r="34" ht="12.75" customHeight="1">
      <c r="A34" s="59"/>
      <c r="B34" s="59"/>
      <c r="C34" s="59">
        <v>31.0</v>
      </c>
      <c r="D34" s="59"/>
      <c r="E34" s="59"/>
      <c r="F34" s="59"/>
      <c r="G34" s="59"/>
      <c r="H34" s="59"/>
      <c r="I34" s="59"/>
      <c r="J34" s="59"/>
      <c r="K34" s="59"/>
      <c r="L34" s="59"/>
      <c r="M34" s="59">
        <v>139.0</v>
      </c>
      <c r="N34" s="59">
        <v>140.0</v>
      </c>
      <c r="O34" s="59">
        <v>143.0</v>
      </c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>
        <v>31.0</v>
      </c>
    </row>
    <row r="35" ht="12.75" customHeight="1">
      <c r="A35" s="59"/>
      <c r="B35" s="59"/>
      <c r="C35" s="59">
        <v>32.0</v>
      </c>
      <c r="D35" s="59"/>
      <c r="E35" s="59"/>
      <c r="F35" s="59"/>
      <c r="G35" s="59"/>
      <c r="H35" s="59"/>
      <c r="I35" s="59"/>
      <c r="J35" s="59"/>
      <c r="K35" s="59"/>
      <c r="L35" s="59"/>
      <c r="M35" s="59">
        <v>141.0</v>
      </c>
      <c r="N35" s="59">
        <v>142.0</v>
      </c>
      <c r="O35" s="59">
        <v>146.0</v>
      </c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>
        <v>32.0</v>
      </c>
    </row>
    <row r="36" ht="12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 ht="12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 ht="12.75" customHeight="1">
      <c r="A38" s="59"/>
      <c r="B38" s="59"/>
      <c r="C38" s="65" t="s">
        <v>46</v>
      </c>
      <c r="D38" s="65" t="s">
        <v>51</v>
      </c>
      <c r="E38" s="65" t="s">
        <v>52</v>
      </c>
      <c r="F38" s="65" t="s">
        <v>51</v>
      </c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 ht="12.75" customHeight="1">
      <c r="A39" s="59"/>
      <c r="B39" s="59"/>
      <c r="C39" s="61">
        <v>28.0</v>
      </c>
      <c r="D39" s="61">
        <v>77.0</v>
      </c>
      <c r="E39" s="61">
        <v>25.0</v>
      </c>
      <c r="F39" s="61">
        <v>70.0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 ht="12.75" customHeight="1">
      <c r="A40" s="59"/>
      <c r="B40" s="59"/>
      <c r="C40" s="61">
        <v>29.0</v>
      </c>
      <c r="D40" s="61">
        <v>77.0</v>
      </c>
      <c r="E40" s="61">
        <v>26.0</v>
      </c>
      <c r="F40" s="61">
        <v>70.0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 ht="12.75" customHeight="1">
      <c r="A41" s="59"/>
      <c r="B41" s="59"/>
      <c r="C41" s="61">
        <v>30.0</v>
      </c>
      <c r="D41" s="61">
        <v>78.0</v>
      </c>
      <c r="E41" s="61">
        <v>27.0</v>
      </c>
      <c r="F41" s="61">
        <v>71.0</v>
      </c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 ht="12.75" customHeight="1">
      <c r="A42" s="59"/>
      <c r="B42" s="59"/>
      <c r="C42" s="61">
        <v>31.0</v>
      </c>
      <c r="D42" s="61">
        <v>78.0</v>
      </c>
      <c r="E42" s="61">
        <v>28.0</v>
      </c>
      <c r="F42" s="61">
        <v>71.0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</row>
    <row r="43" ht="12.75" customHeight="1">
      <c r="A43" s="59"/>
      <c r="B43" s="59"/>
      <c r="C43" s="61">
        <v>32.0</v>
      </c>
      <c r="D43" s="61">
        <v>78.0</v>
      </c>
      <c r="E43" s="61">
        <v>29.0</v>
      </c>
      <c r="F43" s="61">
        <v>72.0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</row>
    <row r="44" ht="12.75" customHeight="1">
      <c r="A44" s="59"/>
      <c r="B44" s="59"/>
      <c r="C44" s="61">
        <v>33.0</v>
      </c>
      <c r="D44" s="61">
        <v>79.0</v>
      </c>
      <c r="E44" s="61">
        <v>30.0</v>
      </c>
      <c r="F44" s="61">
        <v>72.0</v>
      </c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 ht="12.75" customHeight="1">
      <c r="A45" s="59"/>
      <c r="B45" s="59"/>
      <c r="C45" s="61">
        <v>34.0</v>
      </c>
      <c r="D45" s="61">
        <v>79.0</v>
      </c>
      <c r="E45" s="61">
        <v>31.0</v>
      </c>
      <c r="F45" s="61">
        <v>73.0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</row>
    <row r="46" ht="12.75" customHeight="1">
      <c r="A46" s="59"/>
      <c r="B46" s="59"/>
      <c r="C46" s="61">
        <v>35.0</v>
      </c>
      <c r="D46" s="61">
        <v>80.0</v>
      </c>
      <c r="E46" s="61">
        <v>32.0</v>
      </c>
      <c r="F46" s="61">
        <v>73.0</v>
      </c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 ht="12.75" customHeight="1">
      <c r="A47" s="59"/>
      <c r="B47" s="59"/>
      <c r="C47" s="61">
        <v>36.0</v>
      </c>
      <c r="D47" s="61">
        <v>80.0</v>
      </c>
      <c r="E47" s="61">
        <v>33.0</v>
      </c>
      <c r="F47" s="61">
        <v>74.0</v>
      </c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 ht="12.75" customHeight="1">
      <c r="A48" s="59"/>
      <c r="B48" s="59"/>
      <c r="C48" s="61">
        <v>37.0</v>
      </c>
      <c r="D48" s="61">
        <v>81.0</v>
      </c>
      <c r="E48" s="61">
        <v>34.0</v>
      </c>
      <c r="F48" s="61">
        <v>74.0</v>
      </c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 ht="12.75" customHeight="1">
      <c r="A49" s="59"/>
      <c r="B49" s="59"/>
      <c r="C49" s="61">
        <v>38.0</v>
      </c>
      <c r="D49" s="61">
        <v>81.0</v>
      </c>
      <c r="E49" s="61">
        <v>35.0</v>
      </c>
      <c r="F49" s="61">
        <v>75.0</v>
      </c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 ht="12.75" customHeight="1">
      <c r="A50" s="59"/>
      <c r="B50" s="59"/>
      <c r="C50" s="61">
        <v>39.0</v>
      </c>
      <c r="D50" s="61">
        <v>82.0</v>
      </c>
      <c r="E50" s="61">
        <v>36.0</v>
      </c>
      <c r="F50" s="61">
        <v>75.0</v>
      </c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 ht="12.75" customHeight="1">
      <c r="A51" s="59"/>
      <c r="B51" s="59"/>
      <c r="C51" s="61">
        <v>40.0</v>
      </c>
      <c r="D51" s="61">
        <v>82.0</v>
      </c>
      <c r="E51" s="61">
        <v>37.0</v>
      </c>
      <c r="F51" s="61">
        <v>76.0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 ht="12.75" customHeight="1">
      <c r="A52" s="59"/>
      <c r="B52" s="59"/>
      <c r="C52" s="61">
        <v>41.0</v>
      </c>
      <c r="D52" s="61">
        <v>82.0</v>
      </c>
      <c r="E52" s="61">
        <v>38.0</v>
      </c>
      <c r="F52" s="61">
        <v>76.0</v>
      </c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 ht="12.75" customHeight="1">
      <c r="A53" s="59"/>
      <c r="B53" s="59"/>
      <c r="C53" s="61">
        <v>42.0</v>
      </c>
      <c r="D53" s="61">
        <v>83.0</v>
      </c>
      <c r="E53" s="61">
        <v>39.0</v>
      </c>
      <c r="F53" s="61">
        <v>77.0</v>
      </c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 ht="12.75" customHeight="1">
      <c r="A54" s="59"/>
      <c r="B54" s="59"/>
      <c r="C54" s="61">
        <v>43.0</v>
      </c>
      <c r="D54" s="61">
        <v>83.0</v>
      </c>
      <c r="E54" s="61">
        <v>40.0</v>
      </c>
      <c r="F54" s="61">
        <v>77.0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 ht="12.75" customHeight="1">
      <c r="A55" s="59"/>
      <c r="B55" s="59"/>
      <c r="C55" s="61">
        <v>44.0</v>
      </c>
      <c r="D55" s="61">
        <v>84.0</v>
      </c>
      <c r="E55" s="61">
        <v>41.0</v>
      </c>
      <c r="F55" s="61">
        <v>78.0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 ht="12.75" customHeight="1">
      <c r="A56" s="59"/>
      <c r="B56" s="59"/>
      <c r="C56" s="61">
        <v>45.0</v>
      </c>
      <c r="D56" s="61">
        <v>84.0</v>
      </c>
      <c r="E56" s="61">
        <v>42.0</v>
      </c>
      <c r="F56" s="61">
        <v>78.0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 ht="12.75" customHeight="1">
      <c r="A57" s="59"/>
      <c r="B57" s="59"/>
      <c r="C57" s="61">
        <v>46.0</v>
      </c>
      <c r="D57" s="61">
        <v>85.0</v>
      </c>
      <c r="E57" s="61">
        <v>43.0</v>
      </c>
      <c r="F57" s="61">
        <v>79.0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 ht="12.75" customHeight="1">
      <c r="A58" s="59"/>
      <c r="B58" s="59"/>
      <c r="C58" s="61">
        <v>47.0</v>
      </c>
      <c r="D58" s="61">
        <v>85.0</v>
      </c>
      <c r="E58" s="61">
        <v>44.0</v>
      </c>
      <c r="F58" s="61">
        <v>79.0</v>
      </c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 ht="12.75" customHeight="1">
      <c r="A59" s="59"/>
      <c r="B59" s="59"/>
      <c r="C59" s="61">
        <v>48.0</v>
      </c>
      <c r="D59" s="61">
        <v>86.0</v>
      </c>
      <c r="E59" s="61">
        <v>45.0</v>
      </c>
      <c r="F59" s="61">
        <v>80.0</v>
      </c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 ht="12.75" customHeight="1">
      <c r="A60" s="59"/>
      <c r="B60" s="59"/>
      <c r="C60" s="61">
        <v>49.0</v>
      </c>
      <c r="D60" s="61">
        <v>86.0</v>
      </c>
      <c r="E60" s="61">
        <v>46.0</v>
      </c>
      <c r="F60" s="61">
        <v>80.0</v>
      </c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 ht="12.75" customHeight="1">
      <c r="A61" s="59"/>
      <c r="B61" s="59"/>
      <c r="C61" s="61">
        <v>50.0</v>
      </c>
      <c r="D61" s="61">
        <v>87.0</v>
      </c>
      <c r="E61" s="61">
        <v>47.0</v>
      </c>
      <c r="F61" s="61">
        <v>81.0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 ht="12.75" customHeight="1">
      <c r="A62" s="59"/>
      <c r="B62" s="59"/>
      <c r="C62" s="61">
        <v>51.0</v>
      </c>
      <c r="D62" s="61">
        <v>87.0</v>
      </c>
      <c r="E62" s="61">
        <v>48.0</v>
      </c>
      <c r="F62" s="61">
        <v>81.0</v>
      </c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 ht="12.75" customHeight="1">
      <c r="A63" s="59"/>
      <c r="B63" s="59"/>
      <c r="C63" s="61">
        <v>52.0</v>
      </c>
      <c r="D63" s="61">
        <v>87.0</v>
      </c>
      <c r="E63" s="61">
        <v>49.0</v>
      </c>
      <c r="F63" s="61">
        <v>82.0</v>
      </c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 ht="12.75" customHeight="1">
      <c r="A64" s="59"/>
      <c r="B64" s="59"/>
      <c r="C64" s="61">
        <v>53.0</v>
      </c>
      <c r="D64" s="61">
        <v>88.0</v>
      </c>
      <c r="E64" s="61">
        <v>50.0</v>
      </c>
      <c r="F64" s="61">
        <v>82.0</v>
      </c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 ht="12.75" customHeight="1">
      <c r="A65" s="59"/>
      <c r="B65" s="59"/>
      <c r="C65" s="61">
        <v>54.0</v>
      </c>
      <c r="D65" s="61">
        <v>88.0</v>
      </c>
      <c r="E65" s="61">
        <v>51.0</v>
      </c>
      <c r="F65" s="61">
        <v>83.0</v>
      </c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 ht="12.75" customHeight="1">
      <c r="A66" s="59"/>
      <c r="B66" s="59"/>
      <c r="C66" s="61">
        <v>55.0</v>
      </c>
      <c r="D66" s="61">
        <v>89.0</v>
      </c>
      <c r="E66" s="61">
        <v>52.0</v>
      </c>
      <c r="F66" s="61">
        <v>83.0</v>
      </c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 ht="12.75" customHeight="1">
      <c r="A67" s="59"/>
      <c r="B67" s="59"/>
      <c r="C67" s="61">
        <v>56.0</v>
      </c>
      <c r="D67" s="61">
        <v>89.0</v>
      </c>
      <c r="E67" s="61">
        <v>53.0</v>
      </c>
      <c r="F67" s="61">
        <v>84.0</v>
      </c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 ht="12.75" customHeight="1">
      <c r="A68" s="59"/>
      <c r="B68" s="59"/>
      <c r="C68" s="61">
        <v>57.0</v>
      </c>
      <c r="D68" s="61">
        <v>90.0</v>
      </c>
      <c r="E68" s="61">
        <v>54.0</v>
      </c>
      <c r="F68" s="61">
        <v>84.0</v>
      </c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 ht="12.75" customHeight="1">
      <c r="A69" s="59"/>
      <c r="B69" s="59"/>
      <c r="C69" s="61">
        <v>58.0</v>
      </c>
      <c r="D69" s="61">
        <v>90.0</v>
      </c>
      <c r="E69" s="61">
        <v>55.0</v>
      </c>
      <c r="F69" s="61">
        <v>85.0</v>
      </c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 ht="12.75" customHeight="1">
      <c r="A70" s="59"/>
      <c r="B70" s="59"/>
      <c r="C70" s="61">
        <v>59.0</v>
      </c>
      <c r="D70" s="61">
        <v>91.0</v>
      </c>
      <c r="E70" s="61">
        <v>56.0</v>
      </c>
      <c r="F70" s="61">
        <v>85.0</v>
      </c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 ht="12.75" customHeight="1">
      <c r="A71" s="59"/>
      <c r="B71" s="59"/>
      <c r="C71" s="61">
        <v>60.0</v>
      </c>
      <c r="D71" s="61">
        <v>91.0</v>
      </c>
      <c r="E71" s="61">
        <v>57.0</v>
      </c>
      <c r="F71" s="61">
        <v>85.0</v>
      </c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ht="12.75" customHeight="1">
      <c r="A72" s="59"/>
      <c r="B72" s="59"/>
      <c r="C72" s="61">
        <v>61.0</v>
      </c>
      <c r="D72" s="61">
        <v>91.0</v>
      </c>
      <c r="E72" s="61">
        <v>58.0</v>
      </c>
      <c r="F72" s="61">
        <v>86.0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 ht="12.75" customHeight="1">
      <c r="A73" s="59"/>
      <c r="B73" s="59"/>
      <c r="C73" s="61">
        <v>62.0</v>
      </c>
      <c r="D73" s="61">
        <v>92.0</v>
      </c>
      <c r="E73" s="61">
        <v>59.0</v>
      </c>
      <c r="F73" s="61">
        <v>86.0</v>
      </c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 ht="12.75" customHeight="1">
      <c r="A74" s="59"/>
      <c r="B74" s="59"/>
      <c r="C74" s="61">
        <v>63.0</v>
      </c>
      <c r="D74" s="61">
        <v>92.0</v>
      </c>
      <c r="E74" s="61">
        <v>60.0</v>
      </c>
      <c r="F74" s="61">
        <v>87.0</v>
      </c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 ht="12.75" customHeight="1">
      <c r="A75" s="59"/>
      <c r="B75" s="59"/>
      <c r="C75" s="61">
        <v>64.0</v>
      </c>
      <c r="D75" s="61">
        <v>93.0</v>
      </c>
      <c r="E75" s="61">
        <v>61.0</v>
      </c>
      <c r="F75" s="61">
        <v>87.0</v>
      </c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 ht="12.75" customHeight="1">
      <c r="A76" s="59"/>
      <c r="B76" s="59"/>
      <c r="C76" s="61">
        <v>65.0</v>
      </c>
      <c r="D76" s="61">
        <v>93.0</v>
      </c>
      <c r="E76" s="61">
        <v>62.0</v>
      </c>
      <c r="F76" s="61">
        <v>88.0</v>
      </c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 ht="12.75" customHeight="1">
      <c r="A77" s="59"/>
      <c r="B77" s="59"/>
      <c r="C77" s="61">
        <v>66.0</v>
      </c>
      <c r="D77" s="61">
        <v>94.0</v>
      </c>
      <c r="E77" s="61">
        <v>63.0</v>
      </c>
      <c r="F77" s="61">
        <v>88.0</v>
      </c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ht="12.75" customHeight="1">
      <c r="A78" s="59"/>
      <c r="B78" s="59"/>
      <c r="C78" s="61">
        <v>67.0</v>
      </c>
      <c r="D78" s="61">
        <v>94.0</v>
      </c>
      <c r="E78" s="61">
        <v>64.0</v>
      </c>
      <c r="F78" s="61">
        <v>89.0</v>
      </c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 ht="12.75" customHeight="1">
      <c r="A79" s="59"/>
      <c r="B79" s="59"/>
      <c r="C79" s="61">
        <v>68.0</v>
      </c>
      <c r="D79" s="61">
        <v>95.0</v>
      </c>
      <c r="E79" s="61">
        <v>65.0</v>
      </c>
      <c r="F79" s="61">
        <v>89.0</v>
      </c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 ht="12.75" customHeight="1">
      <c r="A80" s="59"/>
      <c r="B80" s="59"/>
      <c r="C80" s="61">
        <v>69.0</v>
      </c>
      <c r="D80" s="61">
        <v>95.0</v>
      </c>
      <c r="E80" s="61">
        <v>66.0</v>
      </c>
      <c r="F80" s="61">
        <v>90.0</v>
      </c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 ht="12.75" customHeight="1">
      <c r="A81" s="59"/>
      <c r="B81" s="59"/>
      <c r="C81" s="61">
        <v>70.0</v>
      </c>
      <c r="D81" s="61">
        <v>96.0</v>
      </c>
      <c r="E81" s="61">
        <v>67.0</v>
      </c>
      <c r="F81" s="61">
        <v>90.0</v>
      </c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 ht="12.75" customHeight="1">
      <c r="A82" s="59"/>
      <c r="B82" s="59"/>
      <c r="C82" s="61">
        <v>71.0</v>
      </c>
      <c r="D82" s="61">
        <v>96.0</v>
      </c>
      <c r="E82" s="61">
        <v>68.0</v>
      </c>
      <c r="F82" s="61">
        <v>91.0</v>
      </c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 ht="12.75" customHeight="1">
      <c r="A83" s="59"/>
      <c r="B83" s="59"/>
      <c r="C83" s="61">
        <v>72.0</v>
      </c>
      <c r="D83" s="61">
        <v>96.0</v>
      </c>
      <c r="E83" s="61">
        <v>69.0</v>
      </c>
      <c r="F83" s="61">
        <v>91.0</v>
      </c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 ht="12.75" customHeight="1">
      <c r="A84" s="59"/>
      <c r="B84" s="59"/>
      <c r="C84" s="61">
        <v>73.0</v>
      </c>
      <c r="D84" s="61">
        <v>97.0</v>
      </c>
      <c r="E84" s="61">
        <v>70.0</v>
      </c>
      <c r="F84" s="61">
        <v>92.0</v>
      </c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 ht="12.75" customHeight="1">
      <c r="A85" s="59"/>
      <c r="B85" s="59"/>
      <c r="C85" s="61">
        <v>74.0</v>
      </c>
      <c r="D85" s="61">
        <v>97.0</v>
      </c>
      <c r="E85" s="61">
        <v>71.0</v>
      </c>
      <c r="F85" s="61">
        <v>92.0</v>
      </c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 ht="12.75" customHeight="1">
      <c r="A86" s="59"/>
      <c r="B86" s="59"/>
      <c r="C86" s="61">
        <v>75.0</v>
      </c>
      <c r="D86" s="61">
        <v>98.0</v>
      </c>
      <c r="E86" s="61">
        <v>72.0</v>
      </c>
      <c r="F86" s="61">
        <v>93.0</v>
      </c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 ht="12.75" customHeight="1">
      <c r="A87" s="59"/>
      <c r="B87" s="59"/>
      <c r="C87" s="61">
        <v>76.0</v>
      </c>
      <c r="D87" s="61">
        <v>98.0</v>
      </c>
      <c r="E87" s="61">
        <v>73.0</v>
      </c>
      <c r="F87" s="61">
        <v>93.0</v>
      </c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 ht="12.75" customHeight="1">
      <c r="A88" s="59"/>
      <c r="B88" s="59"/>
      <c r="C88" s="61">
        <v>77.0</v>
      </c>
      <c r="D88" s="61">
        <v>99.0</v>
      </c>
      <c r="E88" s="61">
        <v>74.0</v>
      </c>
      <c r="F88" s="61">
        <v>94.0</v>
      </c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 ht="12.75" customHeight="1">
      <c r="A89" s="59"/>
      <c r="B89" s="59"/>
      <c r="C89" s="61">
        <v>78.0</v>
      </c>
      <c r="D89" s="61">
        <v>99.0</v>
      </c>
      <c r="E89" s="61">
        <v>75.0</v>
      </c>
      <c r="F89" s="61">
        <v>94.0</v>
      </c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 ht="12.75" customHeight="1">
      <c r="A90" s="59"/>
      <c r="B90" s="59"/>
      <c r="C90" s="61">
        <v>79.0</v>
      </c>
      <c r="D90" s="61">
        <v>100.0</v>
      </c>
      <c r="E90" s="61">
        <v>76.0</v>
      </c>
      <c r="F90" s="61">
        <v>95.0</v>
      </c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 ht="12.75" customHeight="1">
      <c r="A91" s="59"/>
      <c r="B91" s="59"/>
      <c r="C91" s="61">
        <v>80.0</v>
      </c>
      <c r="D91" s="61">
        <v>100.0</v>
      </c>
      <c r="E91" s="61">
        <v>77.0</v>
      </c>
      <c r="F91" s="61">
        <v>95.0</v>
      </c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 ht="12.75" customHeight="1">
      <c r="A92" s="59"/>
      <c r="B92" s="59"/>
      <c r="C92" s="61">
        <v>81.0</v>
      </c>
      <c r="D92" s="61">
        <v>100.0</v>
      </c>
      <c r="E92" s="61">
        <v>78.0</v>
      </c>
      <c r="F92" s="61">
        <v>96.0</v>
      </c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 ht="12.75" customHeight="1">
      <c r="A93" s="59"/>
      <c r="B93" s="59"/>
      <c r="C93" s="61">
        <v>82.0</v>
      </c>
      <c r="D93" s="61">
        <v>101.0</v>
      </c>
      <c r="E93" s="61">
        <v>79.0</v>
      </c>
      <c r="F93" s="61">
        <v>96.0</v>
      </c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 ht="12.75" customHeight="1">
      <c r="A94" s="59"/>
      <c r="B94" s="59"/>
      <c r="C94" s="61">
        <v>83.0</v>
      </c>
      <c r="D94" s="61">
        <v>101.0</v>
      </c>
      <c r="E94" s="61">
        <v>80.0</v>
      </c>
      <c r="F94" s="61">
        <v>97.0</v>
      </c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 ht="12.75" customHeight="1">
      <c r="A95" s="59"/>
      <c r="B95" s="59"/>
      <c r="C95" s="61">
        <v>84.0</v>
      </c>
      <c r="D95" s="61">
        <v>102.0</v>
      </c>
      <c r="E95" s="61">
        <v>81.0</v>
      </c>
      <c r="F95" s="61">
        <v>98.0</v>
      </c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 ht="12.75" customHeight="1">
      <c r="A96" s="59"/>
      <c r="B96" s="59"/>
      <c r="C96" s="61">
        <v>85.0</v>
      </c>
      <c r="D96" s="61">
        <v>102.0</v>
      </c>
      <c r="E96" s="61">
        <v>82.0</v>
      </c>
      <c r="F96" s="61">
        <v>98.0</v>
      </c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 ht="12.75" customHeight="1">
      <c r="A97" s="59"/>
      <c r="B97" s="59"/>
      <c r="C97" s="61">
        <v>86.0</v>
      </c>
      <c r="D97" s="61">
        <v>103.0</v>
      </c>
      <c r="E97" s="61">
        <v>83.0</v>
      </c>
      <c r="F97" s="61">
        <v>98.0</v>
      </c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 ht="12.75" customHeight="1">
      <c r="A98" s="59"/>
      <c r="B98" s="59"/>
      <c r="C98" s="61">
        <v>87.0</v>
      </c>
      <c r="D98" s="61">
        <v>103.0</v>
      </c>
      <c r="E98" s="61">
        <v>84.0</v>
      </c>
      <c r="F98" s="61">
        <v>99.0</v>
      </c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 ht="12.75" customHeight="1">
      <c r="A99" s="59"/>
      <c r="B99" s="59"/>
      <c r="C99" s="61">
        <v>88.0</v>
      </c>
      <c r="D99" s="61">
        <v>104.0</v>
      </c>
      <c r="E99" s="61">
        <v>85.0</v>
      </c>
      <c r="F99" s="61">
        <v>99.0</v>
      </c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 ht="12.75" customHeight="1">
      <c r="A100" s="59"/>
      <c r="B100" s="59"/>
      <c r="C100" s="61">
        <v>89.0</v>
      </c>
      <c r="D100" s="61">
        <v>104.0</v>
      </c>
      <c r="E100" s="61">
        <v>86.0</v>
      </c>
      <c r="F100" s="61">
        <v>100.0</v>
      </c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 ht="12.75" customHeight="1">
      <c r="A101" s="59"/>
      <c r="B101" s="59"/>
      <c r="C101" s="61">
        <v>90.0</v>
      </c>
      <c r="D101" s="61">
        <v>105.0</v>
      </c>
      <c r="E101" s="61">
        <v>87.0</v>
      </c>
      <c r="F101" s="61">
        <v>100.0</v>
      </c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 ht="12.75" customHeight="1">
      <c r="A102" s="59"/>
      <c r="B102" s="59"/>
      <c r="C102" s="61">
        <v>91.0</v>
      </c>
      <c r="D102" s="61">
        <v>105.0</v>
      </c>
      <c r="E102" s="61">
        <v>88.0</v>
      </c>
      <c r="F102" s="61">
        <v>101.0</v>
      </c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 ht="12.75" customHeight="1">
      <c r="A103" s="59"/>
      <c r="B103" s="59"/>
      <c r="C103" s="61">
        <v>92.0</v>
      </c>
      <c r="D103" s="61">
        <v>105.0</v>
      </c>
      <c r="E103" s="61">
        <v>89.0</v>
      </c>
      <c r="F103" s="61">
        <v>101.0</v>
      </c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 ht="12.75" customHeight="1">
      <c r="A104" s="59"/>
      <c r="B104" s="59"/>
      <c r="C104" s="61">
        <v>93.0</v>
      </c>
      <c r="D104" s="61">
        <v>106.0</v>
      </c>
      <c r="E104" s="61">
        <v>90.0</v>
      </c>
      <c r="F104" s="61">
        <v>102.0</v>
      </c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ht="12.75" customHeight="1">
      <c r="A105" s="59"/>
      <c r="B105" s="59"/>
      <c r="C105" s="61">
        <v>94.0</v>
      </c>
      <c r="D105" s="61">
        <v>106.0</v>
      </c>
      <c r="E105" s="61">
        <v>91.0</v>
      </c>
      <c r="F105" s="61">
        <v>102.0</v>
      </c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 ht="12.75" customHeight="1">
      <c r="A106" s="59"/>
      <c r="B106" s="59"/>
      <c r="C106" s="61">
        <v>95.0</v>
      </c>
      <c r="D106" s="61">
        <v>107.0</v>
      </c>
      <c r="E106" s="61">
        <v>92.0</v>
      </c>
      <c r="F106" s="61">
        <v>103.0</v>
      </c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 ht="12.75" customHeight="1">
      <c r="A107" s="59"/>
      <c r="B107" s="59"/>
      <c r="C107" s="61">
        <v>96.0</v>
      </c>
      <c r="D107" s="61">
        <v>107.0</v>
      </c>
      <c r="E107" s="61">
        <v>93.0</v>
      </c>
      <c r="F107" s="61">
        <v>103.0</v>
      </c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 ht="12.75" customHeight="1">
      <c r="A108" s="59"/>
      <c r="B108" s="59"/>
      <c r="C108" s="61">
        <v>97.0</v>
      </c>
      <c r="D108" s="61">
        <v>108.0</v>
      </c>
      <c r="E108" s="61">
        <v>94.0</v>
      </c>
      <c r="F108" s="61">
        <v>104.0</v>
      </c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 ht="12.75" customHeight="1">
      <c r="A109" s="59"/>
      <c r="B109" s="59"/>
      <c r="C109" s="61">
        <v>98.0</v>
      </c>
      <c r="D109" s="61">
        <v>108.0</v>
      </c>
      <c r="E109" s="61">
        <v>95.0</v>
      </c>
      <c r="F109" s="61">
        <v>104.0</v>
      </c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 ht="12.75" customHeight="1">
      <c r="A110" s="59"/>
      <c r="B110" s="59"/>
      <c r="C110" s="61">
        <v>99.0</v>
      </c>
      <c r="D110" s="61">
        <v>109.0</v>
      </c>
      <c r="E110" s="61">
        <v>96.0</v>
      </c>
      <c r="F110" s="61">
        <v>105.0</v>
      </c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 ht="12.75" customHeight="1">
      <c r="A111" s="59"/>
      <c r="B111" s="59"/>
      <c r="C111" s="61">
        <v>100.0</v>
      </c>
      <c r="D111" s="61">
        <v>109.0</v>
      </c>
      <c r="E111" s="61">
        <v>97.0</v>
      </c>
      <c r="F111" s="61">
        <v>105.0</v>
      </c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ht="12.75" customHeight="1">
      <c r="A112" s="59"/>
      <c r="B112" s="59"/>
      <c r="C112" s="61">
        <v>101.0</v>
      </c>
      <c r="D112" s="61">
        <v>109.0</v>
      </c>
      <c r="E112" s="61">
        <v>98.0</v>
      </c>
      <c r="F112" s="61">
        <v>106.0</v>
      </c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 ht="12.75" customHeight="1">
      <c r="A113" s="59"/>
      <c r="B113" s="59"/>
      <c r="C113" s="61">
        <v>102.0</v>
      </c>
      <c r="D113" s="61">
        <v>110.0</v>
      </c>
      <c r="E113" s="61">
        <v>99.0</v>
      </c>
      <c r="F113" s="61">
        <v>106.0</v>
      </c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 ht="12.75" customHeight="1">
      <c r="A114" s="59"/>
      <c r="B114" s="59"/>
      <c r="C114" s="61">
        <v>103.0</v>
      </c>
      <c r="D114" s="61">
        <v>110.0</v>
      </c>
      <c r="E114" s="61">
        <v>100.0</v>
      </c>
      <c r="F114" s="61">
        <v>107.0</v>
      </c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 ht="12.75" customHeight="1">
      <c r="A115" s="59"/>
      <c r="B115" s="59"/>
      <c r="C115" s="61">
        <v>104.0</v>
      </c>
      <c r="D115" s="61">
        <v>111.0</v>
      </c>
      <c r="E115" s="61">
        <v>101.0</v>
      </c>
      <c r="F115" s="61">
        <v>107.0</v>
      </c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 ht="12.75" customHeight="1">
      <c r="A116" s="59"/>
      <c r="B116" s="59"/>
      <c r="C116" s="61">
        <v>105.0</v>
      </c>
      <c r="D116" s="61">
        <v>111.0</v>
      </c>
      <c r="E116" s="61">
        <v>102.0</v>
      </c>
      <c r="F116" s="61">
        <v>108.0</v>
      </c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 ht="12.75" customHeight="1">
      <c r="A117" s="59"/>
      <c r="B117" s="59"/>
      <c r="C117" s="61">
        <v>106.0</v>
      </c>
      <c r="D117" s="61">
        <v>112.0</v>
      </c>
      <c r="E117" s="61">
        <v>103.0</v>
      </c>
      <c r="F117" s="61">
        <v>108.0</v>
      </c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 ht="12.75" customHeight="1">
      <c r="A118" s="59"/>
      <c r="B118" s="59"/>
      <c r="C118" s="61">
        <v>107.0</v>
      </c>
      <c r="D118" s="61">
        <v>112.0</v>
      </c>
      <c r="E118" s="61">
        <v>104.0</v>
      </c>
      <c r="F118" s="61">
        <v>109.0</v>
      </c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 ht="12.75" customHeight="1">
      <c r="A119" s="59"/>
      <c r="B119" s="59"/>
      <c r="C119" s="61">
        <v>108.0</v>
      </c>
      <c r="D119" s="61">
        <v>113.0</v>
      </c>
      <c r="E119" s="61">
        <v>105.0</v>
      </c>
      <c r="F119" s="61">
        <v>109.0</v>
      </c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 ht="12.75" customHeight="1">
      <c r="A120" s="59"/>
      <c r="B120" s="59"/>
      <c r="C120" s="61">
        <v>109.0</v>
      </c>
      <c r="D120" s="61">
        <v>113.0</v>
      </c>
      <c r="E120" s="61">
        <v>106.0</v>
      </c>
      <c r="F120" s="61">
        <v>110.0</v>
      </c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 ht="12.75" customHeight="1">
      <c r="A121" s="59"/>
      <c r="B121" s="59"/>
      <c r="C121" s="61">
        <v>110.0</v>
      </c>
      <c r="D121" s="61">
        <v>114.0</v>
      </c>
      <c r="E121" s="61">
        <v>107.0</v>
      </c>
      <c r="F121" s="61">
        <v>110.0</v>
      </c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 ht="12.75" customHeight="1">
      <c r="A122" s="59"/>
      <c r="B122" s="59"/>
      <c r="C122" s="61">
        <v>111.0</v>
      </c>
      <c r="D122" s="61">
        <v>114.0</v>
      </c>
      <c r="E122" s="61">
        <v>108.0</v>
      </c>
      <c r="F122" s="61">
        <v>111.0</v>
      </c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 ht="12.75" customHeight="1">
      <c r="A123" s="59"/>
      <c r="B123" s="59"/>
      <c r="C123" s="61">
        <v>112.0</v>
      </c>
      <c r="D123" s="61">
        <v>114.0</v>
      </c>
      <c r="E123" s="61">
        <v>109.0</v>
      </c>
      <c r="F123" s="61">
        <v>111.0</v>
      </c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 ht="12.75" customHeight="1">
      <c r="A124" s="59"/>
      <c r="B124" s="59"/>
      <c r="C124" s="61">
        <v>113.0</v>
      </c>
      <c r="D124" s="61">
        <v>115.0</v>
      </c>
      <c r="E124" s="61">
        <v>110.0</v>
      </c>
      <c r="F124" s="61">
        <v>112.0</v>
      </c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 ht="12.75" customHeight="1">
      <c r="A125" s="59"/>
      <c r="B125" s="59"/>
      <c r="C125" s="61">
        <v>114.0</v>
      </c>
      <c r="D125" s="61">
        <v>115.0</v>
      </c>
      <c r="E125" s="61">
        <v>111.0</v>
      </c>
      <c r="F125" s="61">
        <v>112.0</v>
      </c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 ht="12.75" customHeight="1">
      <c r="A126" s="59"/>
      <c r="B126" s="59"/>
      <c r="C126" s="61">
        <v>115.0</v>
      </c>
      <c r="D126" s="61">
        <v>116.0</v>
      </c>
      <c r="E126" s="61">
        <v>112.0</v>
      </c>
      <c r="F126" s="61">
        <v>113.0</v>
      </c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 ht="12.75" customHeight="1">
      <c r="A127" s="59"/>
      <c r="B127" s="59"/>
      <c r="C127" s="61">
        <v>116.0</v>
      </c>
      <c r="D127" s="61">
        <v>116.0</v>
      </c>
      <c r="E127" s="61">
        <v>113.0</v>
      </c>
      <c r="F127" s="61">
        <v>113.0</v>
      </c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 ht="12.75" customHeight="1">
      <c r="A128" s="59"/>
      <c r="B128" s="59"/>
      <c r="C128" s="61">
        <v>117.0</v>
      </c>
      <c r="D128" s="61">
        <v>117.0</v>
      </c>
      <c r="E128" s="61">
        <v>114.0</v>
      </c>
      <c r="F128" s="61">
        <v>114.0</v>
      </c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 ht="12.75" customHeight="1">
      <c r="A129" s="59"/>
      <c r="B129" s="59"/>
      <c r="C129" s="61">
        <v>118.0</v>
      </c>
      <c r="D129" s="61">
        <v>117.0</v>
      </c>
      <c r="E129" s="61">
        <v>115.0</v>
      </c>
      <c r="F129" s="61">
        <v>114.0</v>
      </c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 ht="12.75" customHeight="1">
      <c r="A130" s="59"/>
      <c r="B130" s="59"/>
      <c r="C130" s="61">
        <v>119.0</v>
      </c>
      <c r="D130" s="61">
        <v>118.0</v>
      </c>
      <c r="E130" s="61">
        <v>116.0</v>
      </c>
      <c r="F130" s="61">
        <v>115.0</v>
      </c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 ht="12.75" customHeight="1">
      <c r="A131" s="59"/>
      <c r="B131" s="59"/>
      <c r="C131" s="61">
        <v>120.0</v>
      </c>
      <c r="D131" s="61">
        <v>118.0</v>
      </c>
      <c r="E131" s="61">
        <v>117.0</v>
      </c>
      <c r="F131" s="61">
        <v>115.0</v>
      </c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 ht="12.75" customHeight="1">
      <c r="A132" s="59"/>
      <c r="B132" s="59"/>
      <c r="C132" s="61">
        <v>121.0</v>
      </c>
      <c r="D132" s="61">
        <v>118.0</v>
      </c>
      <c r="E132" s="61">
        <v>118.0</v>
      </c>
      <c r="F132" s="61">
        <v>116.0</v>
      </c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 ht="12.75" customHeight="1">
      <c r="A133" s="59"/>
      <c r="B133" s="59"/>
      <c r="C133" s="61">
        <v>122.0</v>
      </c>
      <c r="D133" s="61">
        <v>119.0</v>
      </c>
      <c r="E133" s="61">
        <v>119.0</v>
      </c>
      <c r="F133" s="61">
        <v>116.0</v>
      </c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 ht="12.75" customHeight="1">
      <c r="A134" s="59"/>
      <c r="B134" s="59"/>
      <c r="C134" s="61">
        <v>123.0</v>
      </c>
      <c r="D134" s="61">
        <v>119.0</v>
      </c>
      <c r="E134" s="61">
        <v>120.0</v>
      </c>
      <c r="F134" s="61">
        <v>117.0</v>
      </c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 ht="12.75" customHeight="1">
      <c r="A135" s="59"/>
      <c r="B135" s="59"/>
      <c r="C135" s="61">
        <v>124.0</v>
      </c>
      <c r="D135" s="61">
        <v>120.0</v>
      </c>
      <c r="E135" s="61">
        <v>121.0</v>
      </c>
      <c r="F135" s="61">
        <v>117.0</v>
      </c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 ht="12.75" customHeight="1">
      <c r="A136" s="59"/>
      <c r="B136" s="59"/>
      <c r="C136" s="61">
        <v>125.0</v>
      </c>
      <c r="D136" s="61">
        <v>120.0</v>
      </c>
      <c r="E136" s="61">
        <v>122.0</v>
      </c>
      <c r="F136" s="61">
        <v>118.0</v>
      </c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 ht="12.75" customHeight="1">
      <c r="A137" s="59"/>
      <c r="B137" s="59"/>
      <c r="C137" s="61">
        <v>126.0</v>
      </c>
      <c r="D137" s="61">
        <v>121.0</v>
      </c>
      <c r="E137" s="61">
        <v>123.0</v>
      </c>
      <c r="F137" s="61">
        <v>118.0</v>
      </c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 ht="12.75" customHeight="1">
      <c r="A138" s="59"/>
      <c r="B138" s="59"/>
      <c r="C138" s="61">
        <v>127.0</v>
      </c>
      <c r="D138" s="61">
        <v>121.0</v>
      </c>
      <c r="E138" s="61">
        <v>124.0</v>
      </c>
      <c r="F138" s="61">
        <v>118.0</v>
      </c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 ht="12.75" customHeight="1">
      <c r="A139" s="59"/>
      <c r="B139" s="59"/>
      <c r="C139" s="61">
        <v>128.0</v>
      </c>
      <c r="D139" s="61">
        <v>122.0</v>
      </c>
      <c r="E139" s="61">
        <v>125.0</v>
      </c>
      <c r="F139" s="61">
        <v>119.0</v>
      </c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 ht="12.75" customHeight="1">
      <c r="A140" s="59"/>
      <c r="B140" s="59"/>
      <c r="C140" s="61">
        <v>129.0</v>
      </c>
      <c r="D140" s="61">
        <v>122.0</v>
      </c>
      <c r="E140" s="61">
        <v>126.0</v>
      </c>
      <c r="F140" s="61">
        <v>119.0</v>
      </c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 ht="12.75" customHeight="1">
      <c r="A141" s="59"/>
      <c r="B141" s="59"/>
      <c r="C141" s="61">
        <v>130.0</v>
      </c>
      <c r="D141" s="61">
        <v>123.0</v>
      </c>
      <c r="E141" s="61">
        <v>127.0</v>
      </c>
      <c r="F141" s="61">
        <v>120.0</v>
      </c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 ht="12.75" customHeight="1">
      <c r="A142" s="59"/>
      <c r="B142" s="59"/>
      <c r="C142" s="61">
        <v>131.0</v>
      </c>
      <c r="D142" s="61">
        <v>123.0</v>
      </c>
      <c r="E142" s="61">
        <v>128.0</v>
      </c>
      <c r="F142" s="61">
        <v>120.0</v>
      </c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 ht="12.75" customHeight="1">
      <c r="A143" s="59"/>
      <c r="B143" s="59"/>
      <c r="C143" s="61">
        <v>132.0</v>
      </c>
      <c r="D143" s="61">
        <v>123.0</v>
      </c>
      <c r="E143" s="61">
        <v>129.0</v>
      </c>
      <c r="F143" s="61">
        <v>121.0</v>
      </c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 ht="12.75" customHeight="1">
      <c r="A144" s="59"/>
      <c r="B144" s="59"/>
      <c r="C144" s="61">
        <v>133.0</v>
      </c>
      <c r="D144" s="61">
        <v>124.0</v>
      </c>
      <c r="E144" s="61">
        <v>130.0</v>
      </c>
      <c r="F144" s="61">
        <v>121.0</v>
      </c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 ht="12.75" customHeight="1">
      <c r="A145" s="59"/>
      <c r="B145" s="59"/>
      <c r="C145" s="61">
        <v>134.0</v>
      </c>
      <c r="D145" s="61">
        <v>124.0</v>
      </c>
      <c r="E145" s="61">
        <v>131.0</v>
      </c>
      <c r="F145" s="61">
        <v>122.0</v>
      </c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 ht="12.75" customHeight="1">
      <c r="A146" s="59"/>
      <c r="B146" s="59"/>
      <c r="C146" s="61">
        <v>135.0</v>
      </c>
      <c r="D146" s="61">
        <v>125.0</v>
      </c>
      <c r="E146" s="61">
        <v>132.0</v>
      </c>
      <c r="F146" s="61">
        <v>122.0</v>
      </c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 ht="12.75" customHeight="1">
      <c r="A147" s="59"/>
      <c r="B147" s="59"/>
      <c r="C147" s="61">
        <v>136.0</v>
      </c>
      <c r="D147" s="61">
        <v>125.0</v>
      </c>
      <c r="E147" s="61">
        <v>133.0</v>
      </c>
      <c r="F147" s="61">
        <v>123.0</v>
      </c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ht="12.75" customHeight="1">
      <c r="A148" s="59"/>
      <c r="B148" s="59"/>
      <c r="C148" s="61">
        <v>137.0</v>
      </c>
      <c r="D148" s="61">
        <v>126.0</v>
      </c>
      <c r="E148" s="61">
        <v>134.0</v>
      </c>
      <c r="F148" s="61">
        <v>123.0</v>
      </c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 ht="12.75" customHeight="1">
      <c r="A149" s="59"/>
      <c r="B149" s="59"/>
      <c r="C149" s="61">
        <v>138.0</v>
      </c>
      <c r="D149" s="61">
        <v>126.0</v>
      </c>
      <c r="E149" s="61">
        <v>135.0</v>
      </c>
      <c r="F149" s="61">
        <v>124.0</v>
      </c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 ht="12.75" customHeight="1">
      <c r="A150" s="59"/>
      <c r="B150" s="59"/>
      <c r="C150" s="61">
        <v>139.0</v>
      </c>
      <c r="D150" s="61">
        <v>127.0</v>
      </c>
      <c r="E150" s="61">
        <v>136.0</v>
      </c>
      <c r="F150" s="61">
        <v>124.0</v>
      </c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 ht="12.75" customHeight="1">
      <c r="A151" s="59"/>
      <c r="B151" s="59"/>
      <c r="C151" s="61">
        <v>140.0</v>
      </c>
      <c r="D151" s="61">
        <v>127.0</v>
      </c>
      <c r="E151" s="61">
        <v>137.0</v>
      </c>
      <c r="F151" s="61">
        <v>125.0</v>
      </c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 ht="12.75" customHeight="1">
      <c r="A152" s="59"/>
      <c r="B152" s="59"/>
      <c r="C152" s="61">
        <v>141.0</v>
      </c>
      <c r="D152" s="61">
        <v>127.0</v>
      </c>
      <c r="E152" s="61">
        <v>138.0</v>
      </c>
      <c r="F152" s="61">
        <v>125.0</v>
      </c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 ht="12.75" customHeight="1">
      <c r="A153" s="59"/>
      <c r="B153" s="59"/>
      <c r="C153" s="61">
        <v>142.0</v>
      </c>
      <c r="D153" s="61">
        <v>128.0</v>
      </c>
      <c r="E153" s="61">
        <v>139.0</v>
      </c>
      <c r="F153" s="61">
        <v>126.0</v>
      </c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 ht="12.75" customHeight="1">
      <c r="A154" s="59"/>
      <c r="B154" s="59"/>
      <c r="C154" s="61">
        <v>143.0</v>
      </c>
      <c r="D154" s="61">
        <v>128.0</v>
      </c>
      <c r="E154" s="61">
        <v>140.0</v>
      </c>
      <c r="F154" s="61">
        <v>126.0</v>
      </c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ht="12.75" customHeight="1">
      <c r="A155" s="59"/>
      <c r="B155" s="59"/>
      <c r="C155" s="61">
        <v>144.0</v>
      </c>
      <c r="D155" s="61">
        <v>129.0</v>
      </c>
      <c r="E155" s="61">
        <v>141.0</v>
      </c>
      <c r="F155" s="61">
        <v>127.0</v>
      </c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 ht="12.75" customHeight="1">
      <c r="A156" s="59"/>
      <c r="B156" s="59"/>
      <c r="C156" s="61">
        <v>145.0</v>
      </c>
      <c r="D156" s="61">
        <v>129.0</v>
      </c>
      <c r="E156" s="61">
        <v>142.0</v>
      </c>
      <c r="F156" s="61">
        <v>127.0</v>
      </c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 ht="12.75" customHeight="1">
      <c r="A157" s="59"/>
      <c r="B157" s="59"/>
      <c r="C157" s="61">
        <v>146.0</v>
      </c>
      <c r="D157" s="61">
        <v>130.0</v>
      </c>
      <c r="E157" s="61">
        <v>143.0</v>
      </c>
      <c r="F157" s="61">
        <v>128.0</v>
      </c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 ht="12.75" customHeight="1">
      <c r="A158" s="59"/>
      <c r="B158" s="59"/>
      <c r="C158" s="61">
        <v>147.0</v>
      </c>
      <c r="D158" s="61">
        <v>130.0</v>
      </c>
      <c r="E158" s="61">
        <v>144.0</v>
      </c>
      <c r="F158" s="61">
        <v>128.0</v>
      </c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 ht="12.75" customHeight="1">
      <c r="A159" s="59"/>
      <c r="B159" s="59"/>
      <c r="C159" s="61">
        <v>148.0</v>
      </c>
      <c r="D159" s="61">
        <v>131.0</v>
      </c>
      <c r="E159" s="61">
        <v>145.0</v>
      </c>
      <c r="F159" s="61">
        <v>129.0</v>
      </c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 ht="12.75" customHeight="1">
      <c r="A160" s="59"/>
      <c r="B160" s="59"/>
      <c r="C160" s="61">
        <v>149.0</v>
      </c>
      <c r="D160" s="61">
        <v>131.0</v>
      </c>
      <c r="E160" s="61">
        <v>146.0</v>
      </c>
      <c r="F160" s="61">
        <v>129.0</v>
      </c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 ht="12.75" customHeight="1">
      <c r="A161" s="59"/>
      <c r="B161" s="59"/>
      <c r="C161" s="61">
        <v>150.0</v>
      </c>
      <c r="D161" s="61">
        <v>132.0</v>
      </c>
      <c r="E161" s="61">
        <v>147.0</v>
      </c>
      <c r="F161" s="61">
        <v>130.0</v>
      </c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ht="12.75" customHeight="1">
      <c r="A162" s="59"/>
      <c r="B162" s="59"/>
      <c r="C162" s="61"/>
      <c r="D162" s="61"/>
      <c r="E162" s="61">
        <v>148.0</v>
      </c>
      <c r="F162" s="61">
        <v>130.0</v>
      </c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 ht="12.75" customHeight="1">
      <c r="A163" s="59"/>
      <c r="B163" s="59"/>
      <c r="C163" s="61"/>
      <c r="D163" s="61"/>
      <c r="E163" s="61">
        <v>149.0</v>
      </c>
      <c r="F163" s="61">
        <v>131.0</v>
      </c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 ht="12.75" customHeight="1">
      <c r="A164" s="59"/>
      <c r="B164" s="59"/>
      <c r="C164" s="61"/>
      <c r="D164" s="61"/>
      <c r="E164" s="61">
        <v>150.0</v>
      </c>
      <c r="F164" s="61">
        <v>131.0</v>
      </c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 ht="12.75" customHeight="1">
      <c r="A165" s="59"/>
      <c r="B165" s="59"/>
      <c r="C165" s="61"/>
      <c r="D165" s="61"/>
      <c r="E165" s="61">
        <v>151.0</v>
      </c>
      <c r="F165" s="61">
        <v>132.0</v>
      </c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 ht="12.75" customHeight="1">
      <c r="A166" s="59"/>
      <c r="B166" s="59"/>
      <c r="C166" s="61"/>
      <c r="D166" s="61"/>
      <c r="E166" s="61">
        <v>152.0</v>
      </c>
      <c r="F166" s="61">
        <v>132.0</v>
      </c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 ht="12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 ht="12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ht="12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 ht="12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 ht="12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 ht="12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 ht="12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 ht="12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 ht="12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ht="12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 ht="12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 ht="12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 ht="12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 ht="12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 ht="12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 ht="12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ht="12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 ht="12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 ht="12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 ht="12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 ht="12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 ht="12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 ht="12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 ht="12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 ht="12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 ht="12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 ht="12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 ht="12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 ht="12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 ht="12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 ht="12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 ht="12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 ht="12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 ht="12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 ht="12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 ht="12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 ht="12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 ht="12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 ht="12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 ht="12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 ht="12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 ht="12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 ht="12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 ht="12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 ht="12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 ht="12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 ht="12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 ht="12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 ht="12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 ht="12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 ht="12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 ht="12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 ht="12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 ht="12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 ht="12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 ht="12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 ht="12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 ht="12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 ht="12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 ht="12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 ht="12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 ht="12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 ht="12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 ht="12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 ht="12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 ht="12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 ht="12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 ht="12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 ht="12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 ht="12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 ht="12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 ht="12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 ht="12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 ht="12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 ht="12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 ht="12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 ht="12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 ht="12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 ht="12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 ht="12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 ht="12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 ht="12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 ht="12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 ht="12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 ht="12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 ht="12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 ht="12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 ht="12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 ht="12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 ht="12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 ht="12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 ht="12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 ht="12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 ht="12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 ht="12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 ht="12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 ht="12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 ht="12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 ht="12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 ht="12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 ht="12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 ht="12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 ht="12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 ht="12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 ht="12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 ht="12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 ht="12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 ht="12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 ht="12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 ht="12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 ht="12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 ht="12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 ht="12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 ht="12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 ht="12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 ht="12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 ht="12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 ht="12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 ht="12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 ht="12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 ht="12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 ht="12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 ht="12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 ht="12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 ht="12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 ht="12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 ht="12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 ht="12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 ht="12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 ht="12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 ht="12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 ht="12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 ht="12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 ht="12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 ht="12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 ht="12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 ht="12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 ht="12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 ht="12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 ht="12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 ht="12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 ht="12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 ht="12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 ht="12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 ht="12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 ht="12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 ht="12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 ht="12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 ht="12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 ht="12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 ht="12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 ht="12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 ht="12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 ht="12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 ht="12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 ht="12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 ht="12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 ht="12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 ht="12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 ht="12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 ht="12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 ht="12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 ht="12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 ht="12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 ht="12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 ht="12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 ht="12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 ht="12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 ht="12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 ht="12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 ht="12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 ht="12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 ht="12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 ht="12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 ht="12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 ht="12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 ht="12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 ht="12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 ht="12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 ht="12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 ht="12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 ht="12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 ht="12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 ht="12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 ht="12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 ht="12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 ht="12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 ht="12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 ht="12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 ht="12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 ht="12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 ht="12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 ht="12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 ht="12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 ht="12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 ht="12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 ht="12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 ht="12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 ht="12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 ht="12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 ht="12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 ht="12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 ht="12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 ht="12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 ht="12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 ht="12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 ht="12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 ht="12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 ht="12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 ht="12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 ht="12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 ht="12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 ht="12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 ht="12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 ht="12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 ht="12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 ht="12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 ht="12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 ht="12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 ht="12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 ht="12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 ht="12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 ht="12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 ht="12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 ht="12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 ht="12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 ht="12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 ht="12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 ht="12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 ht="12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 ht="12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 ht="12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 ht="12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 ht="12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 ht="12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 ht="12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 ht="12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 ht="12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 ht="12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 ht="12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 ht="12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 ht="12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 ht="12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 ht="12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 ht="12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 ht="12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 ht="12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 ht="12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 ht="12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 ht="12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 ht="12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 ht="12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 ht="12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 ht="12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 ht="12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 ht="12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 ht="12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 ht="12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 ht="12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 ht="12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 ht="12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 ht="12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 ht="12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 ht="12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 ht="12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 ht="12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 ht="12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 ht="12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 ht="12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 ht="12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 ht="12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 ht="12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 ht="12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 ht="12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 ht="12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 ht="12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 ht="12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 ht="12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 ht="12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 ht="12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 ht="12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 ht="12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 ht="12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 ht="12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 ht="12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 ht="12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 ht="12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 ht="12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 ht="12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 ht="12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 ht="12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 ht="12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 ht="12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 ht="12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 ht="12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 ht="12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 ht="12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 ht="12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 ht="12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 ht="12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 ht="12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 ht="12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 ht="12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 ht="12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 ht="12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 ht="12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 ht="12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 ht="12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 ht="12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 ht="12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 ht="12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 ht="12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 ht="12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 ht="12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 ht="12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 ht="12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 ht="12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 ht="12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 ht="12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 ht="12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 ht="12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 ht="12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 ht="12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 ht="12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 ht="12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 ht="12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 ht="12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 ht="12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 ht="12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 ht="12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 ht="12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 ht="12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 ht="12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 ht="12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 ht="12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 ht="12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 ht="12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 ht="12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 ht="12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 ht="12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 ht="12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 ht="12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 ht="12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 ht="12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 ht="12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 ht="12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 ht="12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 ht="12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 ht="12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 ht="12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 ht="12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 ht="12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 ht="12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 ht="12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 ht="12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 ht="12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 ht="12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 ht="12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 ht="12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 ht="12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 ht="12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 ht="12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 ht="12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 ht="12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 ht="12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 ht="12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 ht="12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 ht="12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 ht="12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 ht="12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 ht="12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 ht="12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 ht="12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 ht="12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 ht="12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 ht="12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 ht="12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 ht="12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 ht="12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 ht="12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 ht="12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 ht="12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 ht="12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 ht="12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 ht="12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 ht="12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 ht="12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 ht="12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 ht="12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 ht="12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 ht="12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 ht="12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 ht="12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 ht="12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 ht="12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 ht="12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 ht="12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 ht="12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 ht="12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 ht="12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 ht="12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 ht="12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 ht="12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 ht="12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 ht="12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 ht="12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 ht="12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 ht="12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 ht="12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 ht="12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 ht="12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 ht="12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 ht="12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 ht="12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 ht="12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 ht="12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 ht="12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 ht="12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 ht="12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 ht="12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 ht="12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 ht="12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 ht="12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 ht="12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 ht="12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 ht="12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 ht="12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 ht="12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 ht="12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 ht="12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 ht="12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 ht="12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 ht="12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 ht="12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 ht="12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 ht="12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 ht="12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 ht="12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 ht="12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 ht="12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 ht="12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 ht="12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 ht="12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 ht="12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 ht="12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 ht="12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 ht="12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 ht="12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 ht="12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 ht="12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 ht="12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 ht="12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 ht="12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 ht="12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 ht="12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 ht="12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 ht="12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 ht="12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 ht="12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 ht="12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 ht="12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 ht="12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 ht="12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 ht="12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 ht="12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 ht="12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 ht="12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 ht="12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 ht="12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 ht="12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 ht="12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 ht="12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 ht="12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 ht="12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 ht="12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 ht="12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 ht="12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 ht="12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 ht="12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 ht="12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 ht="12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 ht="12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 ht="12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 ht="12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 ht="12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 ht="12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 ht="12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 ht="12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 ht="12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 ht="12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 ht="12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 ht="12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 ht="12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 ht="12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 ht="12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 ht="12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 ht="12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 ht="12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 ht="12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 ht="12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 ht="12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 ht="12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 ht="12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 ht="12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 ht="12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 ht="12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 ht="12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 ht="12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 ht="12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 ht="12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 ht="12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 ht="12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 ht="12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 ht="12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 ht="12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 ht="12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 ht="12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 ht="12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 ht="12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 ht="12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 ht="12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 ht="12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 ht="12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 ht="12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 ht="12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 ht="12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 ht="12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 ht="12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 ht="12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 ht="12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 ht="12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 ht="12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 ht="12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 ht="12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 ht="12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 ht="12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 ht="12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 ht="12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 ht="12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 ht="12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 ht="12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 ht="12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 ht="12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 ht="12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 ht="12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 ht="12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 ht="12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 ht="12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 ht="12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 ht="12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 ht="12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 ht="12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 ht="12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 ht="12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 ht="12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 ht="12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 ht="12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 ht="12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 ht="12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 ht="12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 ht="12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 ht="12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 ht="12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 ht="12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 ht="12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 ht="12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 ht="12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 ht="12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 ht="12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 ht="12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 ht="12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 ht="12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 ht="12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 ht="12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 ht="12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 ht="12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 ht="12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 ht="12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 ht="12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 ht="12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 ht="12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 ht="12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 ht="12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 ht="12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 ht="12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 ht="12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 ht="12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 ht="12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 ht="12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 ht="12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 ht="12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 ht="12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 ht="12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 ht="12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 ht="12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 ht="12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 ht="12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 ht="12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 ht="12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 ht="12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 ht="12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 ht="12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 ht="12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 ht="12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 ht="12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 ht="12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 ht="12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 ht="12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 ht="12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 ht="12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 ht="12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 ht="12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 ht="12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 ht="12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 ht="12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 ht="12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 ht="12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 ht="12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 ht="12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 ht="12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 ht="12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 ht="12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 ht="12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 ht="12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 ht="12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 ht="12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 ht="12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 ht="12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 ht="12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 ht="12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 ht="12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 ht="12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 ht="12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 ht="12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 ht="12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 ht="12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 ht="12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 ht="12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 ht="12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 ht="12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 ht="12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 ht="12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 ht="12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 ht="12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 ht="12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 ht="12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 ht="12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 ht="12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 ht="12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 ht="12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 ht="12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 ht="12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 ht="12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 ht="12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 ht="12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 ht="12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 ht="12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 ht="12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 ht="12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 ht="12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 ht="12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 ht="12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 ht="12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 ht="12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 ht="12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 ht="12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 ht="12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 ht="12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 ht="12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 ht="12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 ht="12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 ht="12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 ht="12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 ht="12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 ht="12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 ht="12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 ht="12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 ht="12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 ht="12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 ht="12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 ht="12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 ht="12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 ht="12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 ht="12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 ht="12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 ht="12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 ht="12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 ht="12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 ht="12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 ht="12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 ht="12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 ht="12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 ht="12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 ht="12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 ht="12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 ht="12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 ht="12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 ht="12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 ht="12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 ht="12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 ht="12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 ht="12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 ht="12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 ht="12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 ht="12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 ht="12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 ht="12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 ht="12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 ht="12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 ht="12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 ht="12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 ht="12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 ht="12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 ht="12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 ht="12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 ht="12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 ht="12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 ht="12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 ht="12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 ht="12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 ht="12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 ht="12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 ht="12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 ht="12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 ht="12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 ht="12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 ht="12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 ht="12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 ht="12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 ht="12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 ht="12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 ht="12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 ht="12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 ht="12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 ht="12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 ht="12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 ht="12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 ht="12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 ht="12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 ht="12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 ht="12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 ht="12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 ht="12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 ht="12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 ht="12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 ht="12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 ht="12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 ht="12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 ht="12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 ht="12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 ht="12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 ht="12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 ht="12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 ht="12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 ht="12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 ht="12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 ht="12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 ht="12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 ht="12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 ht="12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 ht="12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 ht="12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 ht="12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 ht="12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 ht="12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 ht="12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 ht="12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 ht="12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 ht="12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 ht="12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 ht="12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 ht="12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 ht="12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 ht="12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 ht="12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 ht="12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 ht="12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 ht="12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 ht="12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 ht="12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 ht="12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 ht="12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 ht="12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 ht="12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 ht="12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 ht="12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 ht="12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 ht="12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 ht="12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 ht="12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 ht="12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 ht="12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 ht="12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 ht="12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 ht="12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 ht="12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 ht="12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 ht="12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 ht="12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 ht="12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 ht="12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 ht="12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 ht="12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 ht="12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 ht="12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 ht="12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 ht="12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 ht="12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 ht="12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 ht="12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 ht="12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 ht="12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 ht="12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 ht="12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 ht="12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 ht="12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 ht="12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 ht="12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 ht="12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 ht="12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 ht="12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  <row r="988" ht="12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</row>
    <row r="989" ht="12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</row>
    <row r="990" ht="12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</row>
    <row r="991" ht="12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</row>
    <row r="992" ht="12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</row>
    <row r="993" ht="12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</row>
    <row r="994" ht="12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</row>
    <row r="995" ht="12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</row>
    <row r="996" ht="12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</row>
    <row r="997" ht="12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</row>
    <row r="998" ht="12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</row>
    <row r="999" ht="12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</row>
    <row r="1000" ht="12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</row>
  </sheetData>
  <mergeCells count="10">
    <mergeCell ref="Y1:AA1"/>
    <mergeCell ref="AB1:AD1"/>
    <mergeCell ref="D1:F1"/>
    <mergeCell ref="G1:I1"/>
    <mergeCell ref="J1:L1"/>
    <mergeCell ref="M1:O1"/>
    <mergeCell ref="P1:R1"/>
    <mergeCell ref="S1:U1"/>
    <mergeCell ref="V1:X1"/>
    <mergeCell ref="A8:A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2012-11-25T02:36:25Z</dcterms:created>
  <dc:creator>Lukman Firdaus</dc:creator>
</cp:coreProperties>
</file>