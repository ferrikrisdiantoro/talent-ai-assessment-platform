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g Five\"/>
    </mc:Choice>
  </mc:AlternateContent>
  <xr:revisionPtr revIDLastSave="0" documentId="13_ncr:1_{7B900417-941F-4EB3-A7D7-A8FF99992C35}" xr6:coauthVersionLast="34" xr6:coauthVersionMax="34" xr10:uidLastSave="{00000000-0000-0000-0000-000000000000}"/>
  <bookViews>
    <workbookView xWindow="0" yWindow="0" windowWidth="20490" windowHeight="7545" activeTab="1" xr2:uid="{00000000-000D-0000-FFFF-FFFF00000000}"/>
  </bookViews>
  <sheets>
    <sheet name="Skoring" sheetId="1" r:id="rId1"/>
    <sheet name="Interpretasi Skor" sheetId="2" r:id="rId2"/>
  </sheets>
  <calcPr calcId="179021"/>
</workbook>
</file>

<file path=xl/calcChain.xml><?xml version="1.0" encoding="utf-8"?>
<calcChain xmlns="http://schemas.openxmlformats.org/spreadsheetml/2006/main">
  <c r="A38" i="2" l="1"/>
  <c r="F17" i="2"/>
  <c r="A40" i="2" s="1"/>
  <c r="F15" i="2"/>
  <c r="F13" i="2"/>
  <c r="A36" i="2" s="1"/>
  <c r="F11" i="2"/>
  <c r="A34" i="2" s="1"/>
  <c r="F9" i="2"/>
  <c r="A32" i="2" s="1"/>
  <c r="D5" i="2"/>
  <c r="D4" i="2"/>
  <c r="D3" i="2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62" i="1" l="1"/>
  <c r="H62" i="1" s="1"/>
  <c r="C13" i="2" s="1"/>
  <c r="D13" i="2" s="1"/>
  <c r="G59" i="1"/>
  <c r="B10" i="2" s="1"/>
  <c r="G58" i="1"/>
  <c r="H58" i="1" s="1"/>
  <c r="C9" i="2" s="1"/>
  <c r="D9" i="2" s="1"/>
  <c r="G60" i="1"/>
  <c r="H60" i="1" s="1"/>
  <c r="C11" i="2" s="1"/>
  <c r="D11" i="2" s="1"/>
  <c r="G61" i="1"/>
  <c r="B12" i="2" s="1"/>
  <c r="B9" i="2" l="1"/>
  <c r="B13" i="2"/>
  <c r="H59" i="1"/>
  <c r="C10" i="2" s="1"/>
  <c r="D10" i="2" s="1"/>
  <c r="A22" i="2" s="1"/>
  <c r="B11" i="2"/>
  <c r="H61" i="1"/>
  <c r="C12" i="2" s="1"/>
  <c r="D12" i="2" s="1"/>
  <c r="A24" i="2" s="1"/>
  <c r="A21" i="2"/>
  <c r="H17" i="2"/>
  <c r="E40" i="2" s="1"/>
  <c r="F40" i="2" s="1"/>
  <c r="H13" i="2"/>
  <c r="E36" i="2" s="1"/>
  <c r="F36" i="2" s="1"/>
  <c r="A23" i="2"/>
  <c r="A25" i="2"/>
  <c r="H9" i="2"/>
  <c r="E32" i="2" s="1"/>
  <c r="F32" i="2" s="1"/>
  <c r="H15" i="2" l="1"/>
  <c r="E38" i="2" s="1"/>
  <c r="F38" i="2" s="1"/>
  <c r="H11" i="2"/>
  <c r="E34" i="2" s="1"/>
  <c r="F34" i="2" s="1"/>
</calcChain>
</file>

<file path=xl/sharedStrings.xml><?xml version="1.0" encoding="utf-8"?>
<sst xmlns="http://schemas.openxmlformats.org/spreadsheetml/2006/main" count="112" uniqueCount="32">
  <si>
    <t>SKORING BIG FIVE INVENTORY</t>
  </si>
  <si>
    <t>Nama Lengkap</t>
  </si>
  <si>
    <t>:</t>
  </si>
  <si>
    <t>Jabatan</t>
  </si>
  <si>
    <t>Usia</t>
  </si>
  <si>
    <t>tahun</t>
  </si>
  <si>
    <t>No.</t>
  </si>
  <si>
    <t>Sangat Sesuai</t>
  </si>
  <si>
    <t>Sesuai</t>
  </si>
  <si>
    <t>Netral</t>
  </si>
  <si>
    <t>Tidak Sesuai</t>
  </si>
  <si>
    <t>Sangat Tidak Sesuai</t>
  </si>
  <si>
    <t>R</t>
  </si>
  <si>
    <t>Interpretasi Skor BFI</t>
  </si>
  <si>
    <t>Fak. / Jur.</t>
  </si>
  <si>
    <t>Trait</t>
  </si>
  <si>
    <t>Skor</t>
  </si>
  <si>
    <t>Tingkat Skor</t>
  </si>
  <si>
    <t>Ekstraversion</t>
  </si>
  <si>
    <t>Agreeableness</t>
  </si>
  <si>
    <t>Conscientiousness</t>
  </si>
  <si>
    <t>Neuroticism</t>
  </si>
  <si>
    <t>Openness</t>
  </si>
  <si>
    <t>Interpretasi :</t>
  </si>
  <si>
    <t>Standar Kompetensi Psikologis :</t>
  </si>
  <si>
    <t>Ekspektasi</t>
  </si>
  <si>
    <t>Skoring</t>
  </si>
  <si>
    <t>Tinggi</t>
  </si>
  <si>
    <t>Sedang</t>
  </si>
  <si>
    <t>DWI AGUNG PRASETYO</t>
  </si>
  <si>
    <t>SPV GA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</si>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</sst>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  <fill>
      <patternFill patternType="solid">
        <fgColor rgb="FF1F497D"/>
        <bgColor rgb="FF1F497D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right"/>
    </xf>
    <xf numFmtId="0" fontId="0" fillId="0" borderId="6" xfId="0" applyFont="1" applyBorder="1"/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/>
    <xf numFmtId="0" fontId="0" fillId="5" borderId="7" xfId="0" applyFont="1" applyFill="1" applyBorder="1"/>
    <xf numFmtId="0" fontId="0" fillId="6" borderId="7" xfId="0" applyFont="1" applyFill="1" applyBorder="1"/>
    <xf numFmtId="0" fontId="0" fillId="7" borderId="7" xfId="0" applyFont="1" applyFill="1" applyBorder="1"/>
    <xf numFmtId="0" fontId="4" fillId="0" borderId="0" xfId="0" applyFont="1"/>
    <xf numFmtId="0" fontId="0" fillId="0" borderId="0" xfId="0" applyFont="1"/>
    <xf numFmtId="0" fontId="0" fillId="0" borderId="8" xfId="0" applyFont="1" applyBorder="1" applyAlignment="1">
      <alignment horizontal="left"/>
    </xf>
    <xf numFmtId="0" fontId="0" fillId="0" borderId="8" xfId="0" applyFont="1" applyBorder="1"/>
    <xf numFmtId="0" fontId="0" fillId="0" borderId="9" xfId="0" applyFont="1" applyBorder="1" applyAlignment="1">
      <alignment horizontal="left"/>
    </xf>
    <xf numFmtId="0" fontId="0" fillId="0" borderId="9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2" fontId="5" fillId="0" borderId="0" xfId="0" applyNumberFormat="1" applyFont="1"/>
    <xf numFmtId="0" fontId="2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/>
    </xf>
    <xf numFmtId="0" fontId="5" fillId="8" borderId="7" xfId="0" applyFont="1" applyFill="1" applyBorder="1"/>
    <xf numFmtId="0" fontId="6" fillId="8" borderId="7" xfId="0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</c:spPr>
          <c:invertIfNegative val="1"/>
          <c:cat>
            <c:strRef>
              <c:f>'Interpretasi Skor'!$A$9:$A$13</c:f>
              <c:strCache>
                <c:ptCount val="5"/>
                <c:pt idx="0">
                  <c:v>Ekstraversion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'Interpretasi Skor'!$B$9:$B$13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C0C-4844-B09A-3DF745A37514}"/>
            </c:ext>
          </c:extLst>
        </c:ser>
        <c:ser>
          <c:idx val="1"/>
          <c:order val="1"/>
          <c:spPr>
            <a:solidFill>
              <a:srgbClr val="C0504D"/>
            </a:solidFill>
          </c:spPr>
          <c:invertIfNegative val="1"/>
          <c:cat>
            <c:strRef>
              <c:f>'Interpretasi Skor'!$A$9:$A$13</c:f>
              <c:strCache>
                <c:ptCount val="5"/>
                <c:pt idx="0">
                  <c:v>Ekstraversion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'Interpretasi Skor'!$C$9:$C$13</c:f>
              <c:numCache>
                <c:formatCode>0.00</c:formatCode>
                <c:ptCount val="5"/>
                <c:pt idx="0">
                  <c:v>80</c:v>
                </c:pt>
                <c:pt idx="1">
                  <c:v>91.111111111111114</c:v>
                </c:pt>
                <c:pt idx="2">
                  <c:v>86.666666666666671</c:v>
                </c:pt>
                <c:pt idx="3">
                  <c:v>50</c:v>
                </c:pt>
                <c:pt idx="4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3C0C-4844-B09A-3DF745A3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3609455"/>
        <c:axId val="952888606"/>
      </c:barChart>
      <c:catAx>
        <c:axId val="1143609455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952888606"/>
        <c:crosses val="autoZero"/>
        <c:auto val="1"/>
        <c:lblAlgn val="ctr"/>
        <c:lblOffset val="100"/>
        <c:noMultiLvlLbl val="1"/>
      </c:catAx>
      <c:valAx>
        <c:axId val="952888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143609455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9525</xdr:rowOff>
    </xdr:from>
    <xdr:ext cx="2790825" cy="2171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36" workbookViewId="0">
      <selection activeCell="D56" sqref="D56"/>
    </sheetView>
  </sheetViews>
  <sheetFormatPr defaultColWidth="14.42578125" defaultRowHeight="15" customHeight="1" x14ac:dyDescent="0.25"/>
  <cols>
    <col min="1" max="1" width="4.140625" customWidth="1"/>
    <col min="2" max="6" width="8.7109375" customWidth="1"/>
    <col min="7" max="7" width="3" hidden="1" customWidth="1"/>
    <col min="8" max="8" width="12" hidden="1" customWidth="1"/>
    <col min="9" max="9" width="17.7109375" hidden="1" customWidth="1"/>
    <col min="10" max="26" width="8.7109375" customWidth="1"/>
  </cols>
  <sheetData>
    <row r="1" spans="1:9" ht="18.75" x14ac:dyDescent="0.3">
      <c r="A1" s="28" t="s">
        <v>0</v>
      </c>
      <c r="B1" s="29"/>
      <c r="C1" s="29"/>
      <c r="D1" s="29"/>
      <c r="E1" s="29"/>
      <c r="F1" s="29"/>
    </row>
    <row r="4" spans="1:9" x14ac:dyDescent="0.25">
      <c r="A4" t="s">
        <v>1</v>
      </c>
      <c r="C4" s="1" t="s">
        <v>2</v>
      </c>
      <c r="D4" s="2" t="s">
        <v>29</v>
      </c>
      <c r="E4" s="2"/>
      <c r="F4" s="2"/>
    </row>
    <row r="5" spans="1:9" x14ac:dyDescent="0.25">
      <c r="A5" t="s">
        <v>3</v>
      </c>
      <c r="C5" s="1" t="s">
        <v>2</v>
      </c>
      <c r="D5" s="3" t="s">
        <v>30</v>
      </c>
      <c r="E5" s="3"/>
      <c r="F5" s="3"/>
    </row>
    <row r="6" spans="1:9" x14ac:dyDescent="0.25">
      <c r="A6" t="s">
        <v>4</v>
      </c>
      <c r="C6" s="1" t="s">
        <v>2</v>
      </c>
      <c r="D6" s="4">
        <v>35</v>
      </c>
      <c r="E6" t="s">
        <v>5</v>
      </c>
    </row>
    <row r="9" spans="1:9" x14ac:dyDescent="0.25">
      <c r="A9" s="33" t="s">
        <v>6</v>
      </c>
      <c r="B9" s="30" t="s">
        <v>7</v>
      </c>
      <c r="C9" s="33" t="s">
        <v>8</v>
      </c>
      <c r="D9" s="33" t="s">
        <v>9</v>
      </c>
      <c r="E9" s="30" t="s">
        <v>10</v>
      </c>
      <c r="F9" s="30" t="s">
        <v>11</v>
      </c>
    </row>
    <row r="10" spans="1:9" x14ac:dyDescent="0.25">
      <c r="A10" s="31"/>
      <c r="B10" s="31"/>
      <c r="C10" s="31"/>
      <c r="D10" s="31"/>
      <c r="E10" s="31"/>
      <c r="F10" s="31"/>
    </row>
    <row r="11" spans="1:9" x14ac:dyDescent="0.25">
      <c r="A11" s="32"/>
      <c r="B11" s="32"/>
      <c r="C11" s="32"/>
      <c r="D11" s="32"/>
      <c r="E11" s="32"/>
      <c r="F11" s="32"/>
    </row>
    <row r="12" spans="1:9" x14ac:dyDescent="0.25">
      <c r="A12" s="5">
        <v>1</v>
      </c>
      <c r="B12" s="6"/>
      <c r="C12" s="6" t="s">
        <v>31</v>
      </c>
      <c r="D12" s="6"/>
      <c r="E12" s="6"/>
      <c r="F12" s="6"/>
      <c r="G12">
        <f>IF(B12="x",5,IF(C12="x",4,IF(D12="x",3,IF(E12="x",2,IF(F12="x",1,0)))))</f>
        <v>4</v>
      </c>
      <c r="I12" s="7">
        <v>1</v>
      </c>
    </row>
    <row r="13" spans="1:9" x14ac:dyDescent="0.25">
      <c r="A13" s="5">
        <v>2</v>
      </c>
      <c r="B13" s="6"/>
      <c r="C13" s="6"/>
      <c r="D13" s="6"/>
      <c r="E13" s="6" t="s">
        <v>31</v>
      </c>
      <c r="F13" s="6"/>
      <c r="G13">
        <f>IF(B13="x",1,IF(C13="x",2,IF(D13="x",3,IF(E13="x",4,IF(F13="x",5,0)))))</f>
        <v>4</v>
      </c>
      <c r="H13" t="s">
        <v>12</v>
      </c>
      <c r="I13" s="8">
        <v>2</v>
      </c>
    </row>
    <row r="14" spans="1:9" x14ac:dyDescent="0.25">
      <c r="A14" s="5">
        <v>3</v>
      </c>
      <c r="B14" s="6" t="s">
        <v>31</v>
      </c>
      <c r="C14" s="6"/>
      <c r="D14" s="6"/>
      <c r="E14" s="6"/>
      <c r="F14" s="6"/>
      <c r="G14">
        <f t="shared" ref="G14:G16" si="0">IF(B14="x",5,IF(C14="x",4,IF(D14="x",3,IF(E14="x",2,IF(F14="x",1,0)))))</f>
        <v>5</v>
      </c>
      <c r="I14" s="9">
        <v>3</v>
      </c>
    </row>
    <row r="15" spans="1:9" x14ac:dyDescent="0.25">
      <c r="A15" s="5">
        <v>4</v>
      </c>
      <c r="B15" s="6"/>
      <c r="C15" s="6"/>
      <c r="D15" s="6" t="s">
        <v>31</v>
      </c>
      <c r="E15" s="6"/>
      <c r="F15" s="6"/>
      <c r="G15">
        <f t="shared" si="0"/>
        <v>3</v>
      </c>
      <c r="I15" s="10">
        <v>4</v>
      </c>
    </row>
    <row r="16" spans="1:9" x14ac:dyDescent="0.25">
      <c r="A16" s="5">
        <v>5</v>
      </c>
      <c r="B16" s="6"/>
      <c r="C16" s="6" t="s">
        <v>31</v>
      </c>
      <c r="D16" s="6"/>
      <c r="E16" s="6"/>
      <c r="F16" s="6"/>
      <c r="G16">
        <f t="shared" si="0"/>
        <v>4</v>
      </c>
      <c r="I16">
        <v>5</v>
      </c>
    </row>
    <row r="17" spans="1:9" x14ac:dyDescent="0.25">
      <c r="A17" s="5">
        <v>6</v>
      </c>
      <c r="B17" s="6"/>
      <c r="C17" s="6"/>
      <c r="D17" s="6" t="s">
        <v>31</v>
      </c>
      <c r="E17" s="6"/>
      <c r="F17" s="6"/>
      <c r="G17">
        <f>IF(B17="x",1,IF(C17="x",2,IF(D17="x",3,IF(E17="x",4,IF(F17="x",5,0)))))</f>
        <v>3</v>
      </c>
      <c r="H17" t="s">
        <v>12</v>
      </c>
      <c r="I17" s="7">
        <v>6</v>
      </c>
    </row>
    <row r="18" spans="1:9" x14ac:dyDescent="0.25">
      <c r="A18" s="5">
        <v>7</v>
      </c>
      <c r="B18" s="6" t="s">
        <v>31</v>
      </c>
      <c r="C18" s="6"/>
      <c r="D18" s="6"/>
      <c r="E18" s="6"/>
      <c r="F18" s="6"/>
      <c r="G18">
        <f>IF(B18="x",5,IF(C18="x",4,IF(D18="x",3,IF(E18="x",2,IF(F18="x",1,0)))))</f>
        <v>5</v>
      </c>
      <c r="I18" s="8">
        <v>7</v>
      </c>
    </row>
    <row r="19" spans="1:9" x14ac:dyDescent="0.25">
      <c r="A19" s="5">
        <v>8</v>
      </c>
      <c r="B19" s="6"/>
      <c r="C19" s="6"/>
      <c r="D19" s="6"/>
      <c r="E19" s="6" t="s">
        <v>31</v>
      </c>
      <c r="F19" s="6"/>
      <c r="G19">
        <f t="shared" ref="G19:G20" si="1">IF(B19="x",1,IF(C19="x",2,IF(D19="x",3,IF(E19="x",4,IF(F19="x",5,0)))))</f>
        <v>4</v>
      </c>
      <c r="H19" t="s">
        <v>12</v>
      </c>
      <c r="I19" s="9">
        <v>8</v>
      </c>
    </row>
    <row r="20" spans="1:9" x14ac:dyDescent="0.25">
      <c r="A20" s="5">
        <v>9</v>
      </c>
      <c r="B20" s="6"/>
      <c r="C20" s="6" t="s">
        <v>31</v>
      </c>
      <c r="D20" s="6"/>
      <c r="E20" s="6"/>
      <c r="F20" s="6"/>
      <c r="G20">
        <f t="shared" si="1"/>
        <v>2</v>
      </c>
      <c r="H20" t="s">
        <v>12</v>
      </c>
      <c r="I20" s="10">
        <v>9</v>
      </c>
    </row>
    <row r="21" spans="1:9" ht="15.75" customHeight="1" x14ac:dyDescent="0.25">
      <c r="A21" s="5">
        <v>10</v>
      </c>
      <c r="B21" s="6"/>
      <c r="C21" s="6" t="s">
        <v>31</v>
      </c>
      <c r="D21" s="6"/>
      <c r="E21" s="6"/>
      <c r="F21" s="6"/>
      <c r="G21">
        <f t="shared" ref="G21:G22" si="2">IF(B21="x",5,IF(C21="x",4,IF(D21="x",3,IF(E21="x",2,IF(F21="x",1,0)))))</f>
        <v>4</v>
      </c>
      <c r="I21">
        <v>10</v>
      </c>
    </row>
    <row r="22" spans="1:9" ht="15.75" customHeight="1" x14ac:dyDescent="0.25">
      <c r="A22" s="5">
        <v>11</v>
      </c>
      <c r="B22" s="6"/>
      <c r="C22" s="6" t="s">
        <v>31</v>
      </c>
      <c r="D22" s="6"/>
      <c r="E22" s="6"/>
      <c r="F22" s="6"/>
      <c r="G22">
        <f t="shared" si="2"/>
        <v>4</v>
      </c>
      <c r="I22" s="7">
        <v>11</v>
      </c>
    </row>
    <row r="23" spans="1:9" ht="15.75" customHeight="1" x14ac:dyDescent="0.25">
      <c r="A23" s="5">
        <v>12</v>
      </c>
      <c r="B23" s="6"/>
      <c r="C23" s="6"/>
      <c r="D23" s="6"/>
      <c r="E23" s="6" t="s">
        <v>31</v>
      </c>
      <c r="F23" s="6"/>
      <c r="G23">
        <f>IF(B23="x",1,IF(C23="x",2,IF(D23="x",3,IF(E23="x",4,IF(F23="x",5,0)))))</f>
        <v>4</v>
      </c>
      <c r="H23" t="s">
        <v>12</v>
      </c>
      <c r="I23" s="8">
        <v>12</v>
      </c>
    </row>
    <row r="24" spans="1:9" ht="15.75" customHeight="1" x14ac:dyDescent="0.25">
      <c r="A24" s="5">
        <v>13</v>
      </c>
      <c r="B24" s="6" t="s">
        <v>31</v>
      </c>
      <c r="C24" s="6"/>
      <c r="D24" s="6"/>
      <c r="E24" s="6"/>
      <c r="F24" s="6"/>
      <c r="G24">
        <f t="shared" ref="G24:G28" si="3">IF(B24="x",5,IF(C24="x",4,IF(D24="x",3,IF(E24="x",2,IF(F24="x",1,0)))))</f>
        <v>5</v>
      </c>
      <c r="I24" s="9">
        <v>13</v>
      </c>
    </row>
    <row r="25" spans="1:9" ht="15.75" customHeight="1" x14ac:dyDescent="0.25">
      <c r="A25" s="5">
        <v>14</v>
      </c>
      <c r="B25" s="6"/>
      <c r="C25" s="6"/>
      <c r="D25" s="6" t="s">
        <v>31</v>
      </c>
      <c r="E25" s="6"/>
      <c r="F25" s="6"/>
      <c r="G25">
        <f t="shared" si="3"/>
        <v>3</v>
      </c>
      <c r="I25" s="10">
        <v>14</v>
      </c>
    </row>
    <row r="26" spans="1:9" ht="15.75" customHeight="1" x14ac:dyDescent="0.25">
      <c r="A26" s="5">
        <v>15</v>
      </c>
      <c r="B26" s="6"/>
      <c r="C26" s="6" t="s">
        <v>31</v>
      </c>
      <c r="D26" s="6"/>
      <c r="E26" s="6"/>
      <c r="F26" s="6"/>
      <c r="G26">
        <f t="shared" si="3"/>
        <v>4</v>
      </c>
      <c r="I26">
        <v>15</v>
      </c>
    </row>
    <row r="27" spans="1:9" ht="15.75" customHeight="1" x14ac:dyDescent="0.25">
      <c r="A27" s="5">
        <v>16</v>
      </c>
      <c r="B27" s="6"/>
      <c r="C27" s="6" t="s">
        <v>31</v>
      </c>
      <c r="D27" s="6"/>
      <c r="E27" s="6"/>
      <c r="F27" s="6"/>
      <c r="G27">
        <f t="shared" si="3"/>
        <v>4</v>
      </c>
      <c r="I27" s="7">
        <v>16</v>
      </c>
    </row>
    <row r="28" spans="1:9" ht="15.75" customHeight="1" x14ac:dyDescent="0.25">
      <c r="A28" s="5">
        <v>17</v>
      </c>
      <c r="B28" s="6" t="s">
        <v>31</v>
      </c>
      <c r="C28" s="6"/>
      <c r="D28" s="6"/>
      <c r="E28" s="6"/>
      <c r="F28" s="6"/>
      <c r="G28">
        <f t="shared" si="3"/>
        <v>5</v>
      </c>
      <c r="I28" s="8">
        <v>17</v>
      </c>
    </row>
    <row r="29" spans="1:9" ht="15.75" customHeight="1" x14ac:dyDescent="0.25">
      <c r="A29" s="5">
        <v>18</v>
      </c>
      <c r="B29" s="6"/>
      <c r="C29" s="6"/>
      <c r="D29" s="6"/>
      <c r="E29" s="6" t="s">
        <v>31</v>
      </c>
      <c r="F29" s="6"/>
      <c r="G29">
        <f>IF(B29="x",1,IF(C29="x",2,IF(D29="x",3,IF(E29="x",4,IF(F29="x",5,0)))))</f>
        <v>4</v>
      </c>
      <c r="H29" t="s">
        <v>12</v>
      </c>
      <c r="I29" s="9">
        <v>18</v>
      </c>
    </row>
    <row r="30" spans="1:9" ht="15.75" customHeight="1" x14ac:dyDescent="0.25">
      <c r="A30" s="5">
        <v>19</v>
      </c>
      <c r="B30" s="6"/>
      <c r="C30" s="6"/>
      <c r="D30" s="6" t="s">
        <v>31</v>
      </c>
      <c r="E30" s="6"/>
      <c r="F30" s="6"/>
      <c r="G30">
        <f t="shared" ref="G30:G31" si="4">IF(B30="x",5,IF(C30="x",4,IF(D30="x",3,IF(E30="x",2,IF(F30="x",1,0)))))</f>
        <v>3</v>
      </c>
      <c r="I30" s="10">
        <v>19</v>
      </c>
    </row>
    <row r="31" spans="1:9" ht="15.75" customHeight="1" x14ac:dyDescent="0.25">
      <c r="A31" s="5">
        <v>20</v>
      </c>
      <c r="B31" s="6"/>
      <c r="C31" s="6" t="s">
        <v>31</v>
      </c>
      <c r="D31" s="6"/>
      <c r="E31" s="6"/>
      <c r="F31" s="6"/>
      <c r="G31">
        <f t="shared" si="4"/>
        <v>4</v>
      </c>
      <c r="I31">
        <v>20</v>
      </c>
    </row>
    <row r="32" spans="1:9" ht="15.75" customHeight="1" x14ac:dyDescent="0.25">
      <c r="A32" s="5">
        <v>21</v>
      </c>
      <c r="B32" s="6"/>
      <c r="C32" s="6"/>
      <c r="D32" s="6"/>
      <c r="E32" s="6" t="s">
        <v>31</v>
      </c>
      <c r="F32" s="6"/>
      <c r="G32">
        <f>IF(B32="x",1,IF(C32="x",2,IF(D32="x",3,IF(E32="x",4,IF(F32="x",5,0)))))</f>
        <v>4</v>
      </c>
      <c r="H32" t="s">
        <v>12</v>
      </c>
      <c r="I32" s="7">
        <v>21</v>
      </c>
    </row>
    <row r="33" spans="1:9" ht="15.75" customHeight="1" x14ac:dyDescent="0.25">
      <c r="A33" s="5">
        <v>22</v>
      </c>
      <c r="B33" s="6" t="s">
        <v>31</v>
      </c>
      <c r="C33" s="6"/>
      <c r="D33" s="6"/>
      <c r="E33" s="6"/>
      <c r="F33" s="6"/>
      <c r="G33">
        <f>IF(B33="x",5,IF(C33="x",4,IF(D33="x",3,IF(E33="x",2,IF(F33="x",1,0)))))</f>
        <v>5</v>
      </c>
      <c r="I33" s="8">
        <v>22</v>
      </c>
    </row>
    <row r="34" spans="1:9" ht="15.75" customHeight="1" x14ac:dyDescent="0.25">
      <c r="A34" s="5">
        <v>23</v>
      </c>
      <c r="B34" s="6"/>
      <c r="C34" s="6"/>
      <c r="D34" s="6"/>
      <c r="E34" s="6" t="s">
        <v>31</v>
      </c>
      <c r="F34" s="6"/>
      <c r="G34">
        <f t="shared" ref="G34:G35" si="5">IF(B34="x",1,IF(C34="x",2,IF(D34="x",3,IF(E34="x",4,IF(F34="x",5,0)))))</f>
        <v>4</v>
      </c>
      <c r="H34" t="s">
        <v>12</v>
      </c>
      <c r="I34" s="9">
        <v>23</v>
      </c>
    </row>
    <row r="35" spans="1:9" ht="15.75" customHeight="1" x14ac:dyDescent="0.25">
      <c r="A35" s="5">
        <v>24</v>
      </c>
      <c r="B35" s="6"/>
      <c r="C35" s="6" t="s">
        <v>31</v>
      </c>
      <c r="D35" s="6"/>
      <c r="E35" s="6"/>
      <c r="F35" s="6"/>
      <c r="G35">
        <f t="shared" si="5"/>
        <v>2</v>
      </c>
      <c r="H35" t="s">
        <v>12</v>
      </c>
      <c r="I35" s="10">
        <v>24</v>
      </c>
    </row>
    <row r="36" spans="1:9" ht="15.75" customHeight="1" x14ac:dyDescent="0.25">
      <c r="A36" s="5">
        <v>25</v>
      </c>
      <c r="B36" s="6"/>
      <c r="C36" s="6" t="s">
        <v>31</v>
      </c>
      <c r="D36" s="6"/>
      <c r="E36" s="6"/>
      <c r="F36" s="6"/>
      <c r="G36">
        <f t="shared" ref="G36:G37" si="6">IF(B36="x",5,IF(C36="x",4,IF(D36="x",3,IF(E36="x",2,IF(F36="x",1,0)))))</f>
        <v>4</v>
      </c>
      <c r="I36">
        <v>25</v>
      </c>
    </row>
    <row r="37" spans="1:9" ht="15.75" customHeight="1" x14ac:dyDescent="0.25">
      <c r="A37" s="5">
        <v>26</v>
      </c>
      <c r="B37" s="6" t="s">
        <v>31</v>
      </c>
      <c r="C37" s="6"/>
      <c r="D37" s="6"/>
      <c r="E37" s="6"/>
      <c r="F37" s="6"/>
      <c r="G37">
        <f t="shared" si="6"/>
        <v>5</v>
      </c>
      <c r="I37" s="7">
        <v>26</v>
      </c>
    </row>
    <row r="38" spans="1:9" ht="15.75" customHeight="1" x14ac:dyDescent="0.25">
      <c r="A38" s="5">
        <v>27</v>
      </c>
      <c r="B38" s="6"/>
      <c r="C38" s="6"/>
      <c r="D38" s="6"/>
      <c r="E38" s="6" t="s">
        <v>31</v>
      </c>
      <c r="F38" s="6"/>
      <c r="G38">
        <f>IF(B38="x",1,IF(C38="x",2,IF(D38="x",3,IF(E38="x",4,IF(F38="x",5,0)))))</f>
        <v>4</v>
      </c>
      <c r="H38" t="s">
        <v>12</v>
      </c>
      <c r="I38" s="8">
        <v>27</v>
      </c>
    </row>
    <row r="39" spans="1:9" ht="15.75" customHeight="1" x14ac:dyDescent="0.25">
      <c r="A39" s="5">
        <v>28</v>
      </c>
      <c r="B39" s="6" t="s">
        <v>31</v>
      </c>
      <c r="C39" s="6"/>
      <c r="D39" s="6"/>
      <c r="E39" s="6"/>
      <c r="F39" s="6"/>
      <c r="G39">
        <f t="shared" ref="G39:G41" si="7">IF(B39="x",5,IF(C39="x",4,IF(D39="x",3,IF(E39="x",2,IF(F39="x",1,0)))))</f>
        <v>5</v>
      </c>
      <c r="I39" s="9">
        <v>28</v>
      </c>
    </row>
    <row r="40" spans="1:9" ht="15.75" customHeight="1" x14ac:dyDescent="0.25">
      <c r="A40" s="5">
        <v>29</v>
      </c>
      <c r="B40" s="6"/>
      <c r="C40" s="6"/>
      <c r="D40" s="6"/>
      <c r="E40" s="6" t="s">
        <v>31</v>
      </c>
      <c r="F40" s="6"/>
      <c r="G40">
        <f t="shared" si="7"/>
        <v>2</v>
      </c>
      <c r="I40" s="10">
        <v>29</v>
      </c>
    </row>
    <row r="41" spans="1:9" ht="15.75" customHeight="1" x14ac:dyDescent="0.25">
      <c r="A41" s="5">
        <v>30</v>
      </c>
      <c r="B41" s="6"/>
      <c r="C41" s="6" t="s">
        <v>31</v>
      </c>
      <c r="D41" s="6"/>
      <c r="E41" s="6"/>
      <c r="F41" s="6"/>
      <c r="G41">
        <f t="shared" si="7"/>
        <v>4</v>
      </c>
      <c r="I41">
        <v>30</v>
      </c>
    </row>
    <row r="42" spans="1:9" ht="15.75" customHeight="1" x14ac:dyDescent="0.25">
      <c r="A42" s="5">
        <v>31</v>
      </c>
      <c r="B42" s="6"/>
      <c r="C42" s="6"/>
      <c r="D42" s="6" t="s">
        <v>31</v>
      </c>
      <c r="E42" s="6"/>
      <c r="F42" s="6"/>
      <c r="G42">
        <f>IF(B42="x",1,IF(C42="x",2,IF(D42="x",3,IF(E42="x",4,IF(F42="x",5,0)))))</f>
        <v>3</v>
      </c>
      <c r="H42" t="s">
        <v>12</v>
      </c>
      <c r="I42" s="7">
        <v>31</v>
      </c>
    </row>
    <row r="43" spans="1:9" ht="15.75" customHeight="1" x14ac:dyDescent="0.25">
      <c r="A43" s="5">
        <v>32</v>
      </c>
      <c r="B43" s="6" t="s">
        <v>31</v>
      </c>
      <c r="C43" s="6"/>
      <c r="D43" s="6"/>
      <c r="E43" s="6"/>
      <c r="F43" s="6"/>
      <c r="G43">
        <f t="shared" ref="G43:G44" si="8">IF(B43="x",5,IF(C43="x",4,IF(D43="x",3,IF(E43="x",2,IF(F43="x",1,0)))))</f>
        <v>5</v>
      </c>
      <c r="I43" s="8">
        <v>32</v>
      </c>
    </row>
    <row r="44" spans="1:9" ht="15.75" customHeight="1" x14ac:dyDescent="0.25">
      <c r="A44" s="5">
        <v>33</v>
      </c>
      <c r="B44" s="6" t="s">
        <v>31</v>
      </c>
      <c r="C44" s="6"/>
      <c r="D44" s="6"/>
      <c r="E44" s="6"/>
      <c r="F44" s="6"/>
      <c r="G44">
        <f t="shared" si="8"/>
        <v>5</v>
      </c>
      <c r="I44" s="9">
        <v>33</v>
      </c>
    </row>
    <row r="45" spans="1:9" ht="15.75" customHeight="1" x14ac:dyDescent="0.25">
      <c r="A45" s="5">
        <v>34</v>
      </c>
      <c r="B45" s="6"/>
      <c r="C45" s="6" t="s">
        <v>31</v>
      </c>
      <c r="D45" s="6"/>
      <c r="E45" s="6"/>
      <c r="F45" s="6"/>
      <c r="G45">
        <f t="shared" ref="G45:G46" si="9">IF(B45="x",1,IF(C45="x",2,IF(D45="x",3,IF(E45="x",4,IF(F45="x",5,0)))))</f>
        <v>2</v>
      </c>
      <c r="H45" t="s">
        <v>12</v>
      </c>
      <c r="I45" s="10">
        <v>34</v>
      </c>
    </row>
    <row r="46" spans="1:9" ht="15.75" customHeight="1" x14ac:dyDescent="0.25">
      <c r="A46" s="5">
        <v>35</v>
      </c>
      <c r="B46" s="6"/>
      <c r="C46" s="6"/>
      <c r="D46" s="6" t="s">
        <v>31</v>
      </c>
      <c r="E46" s="6"/>
      <c r="F46" s="6"/>
      <c r="G46">
        <f t="shared" si="9"/>
        <v>3</v>
      </c>
      <c r="H46" t="s">
        <v>12</v>
      </c>
      <c r="I46">
        <v>35</v>
      </c>
    </row>
    <row r="47" spans="1:9" ht="15.75" customHeight="1" x14ac:dyDescent="0.25">
      <c r="A47" s="5">
        <v>36</v>
      </c>
      <c r="B47" s="6" t="s">
        <v>31</v>
      </c>
      <c r="C47" s="6"/>
      <c r="D47" s="6"/>
      <c r="E47" s="6"/>
      <c r="F47" s="6"/>
      <c r="G47">
        <f>IF(B47="x",5,IF(C47="x",4,IF(D47="x",3,IF(E47="x",2,IF(F47="x",1,0)))))</f>
        <v>5</v>
      </c>
      <c r="I47" s="7">
        <v>36</v>
      </c>
    </row>
    <row r="48" spans="1:9" ht="15.75" customHeight="1" x14ac:dyDescent="0.25">
      <c r="A48" s="5">
        <v>37</v>
      </c>
      <c r="B48" s="6"/>
      <c r="C48" s="6"/>
      <c r="D48" s="6"/>
      <c r="E48" s="6" t="s">
        <v>31</v>
      </c>
      <c r="F48" s="6"/>
      <c r="G48">
        <f>IF(B48="x",1,IF(C48="x",2,IF(D48="x",3,IF(E48="x",4,IF(F48="x",5,0)))))</f>
        <v>4</v>
      </c>
      <c r="H48" t="s">
        <v>12</v>
      </c>
      <c r="I48" s="8">
        <v>37</v>
      </c>
    </row>
    <row r="49" spans="1:9" ht="15.75" customHeight="1" x14ac:dyDescent="0.25">
      <c r="A49" s="5">
        <v>38</v>
      </c>
      <c r="B49" s="6"/>
      <c r="C49" s="6" t="s">
        <v>31</v>
      </c>
      <c r="D49" s="6"/>
      <c r="E49" s="6"/>
      <c r="F49" s="6"/>
      <c r="G49">
        <f t="shared" ref="G49:G51" si="10">IF(B49="x",5,IF(C49="x",4,IF(D49="x",3,IF(E49="x",2,IF(F49="x",1,0)))))</f>
        <v>4</v>
      </c>
      <c r="I49" s="9">
        <v>38</v>
      </c>
    </row>
    <row r="50" spans="1:9" ht="15.75" customHeight="1" x14ac:dyDescent="0.25">
      <c r="A50" s="5">
        <v>39</v>
      </c>
      <c r="B50" s="6"/>
      <c r="C50" s="6"/>
      <c r="D50" s="6" t="s">
        <v>31</v>
      </c>
      <c r="E50" s="6"/>
      <c r="F50" s="6"/>
      <c r="G50">
        <f t="shared" si="10"/>
        <v>3</v>
      </c>
      <c r="I50" s="10">
        <v>39</v>
      </c>
    </row>
    <row r="51" spans="1:9" ht="15.75" customHeight="1" x14ac:dyDescent="0.25">
      <c r="A51" s="5">
        <v>40</v>
      </c>
      <c r="B51" s="6"/>
      <c r="C51" s="6" t="s">
        <v>31</v>
      </c>
      <c r="D51" s="6"/>
      <c r="E51" s="6"/>
      <c r="F51" s="6"/>
      <c r="G51">
        <f t="shared" si="10"/>
        <v>4</v>
      </c>
      <c r="I51">
        <v>40</v>
      </c>
    </row>
    <row r="52" spans="1:9" ht="15.75" customHeight="1" x14ac:dyDescent="0.25">
      <c r="A52" s="5">
        <v>41</v>
      </c>
      <c r="B52" s="6"/>
      <c r="C52" s="6"/>
      <c r="D52" s="6" t="s">
        <v>31</v>
      </c>
      <c r="E52" s="6"/>
      <c r="F52" s="6"/>
      <c r="G52">
        <f>IF(B52="x",1,IF(C52="x",2,IF(D52="x",3,IF(E52="x",4,IF(F52="x",5,0)))))</f>
        <v>3</v>
      </c>
      <c r="H52" t="s">
        <v>12</v>
      </c>
      <c r="I52">
        <v>41</v>
      </c>
    </row>
    <row r="53" spans="1:9" ht="15.75" customHeight="1" x14ac:dyDescent="0.25">
      <c r="A53" s="5">
        <v>42</v>
      </c>
      <c r="B53" s="6" t="s">
        <v>31</v>
      </c>
      <c r="C53" s="6"/>
      <c r="D53" s="6"/>
      <c r="E53" s="6"/>
      <c r="F53" s="6"/>
      <c r="G53">
        <f>IF(B53="x",5,IF(C53="x",4,IF(D53="x",3,IF(E53="x",2,IF(F53="x",1,0)))))</f>
        <v>5</v>
      </c>
      <c r="I53" s="8">
        <v>42</v>
      </c>
    </row>
    <row r="54" spans="1:9" ht="15.75" customHeight="1" x14ac:dyDescent="0.25">
      <c r="A54" s="5">
        <v>43</v>
      </c>
      <c r="B54" s="6"/>
      <c r="C54" s="6"/>
      <c r="D54" s="6" t="s">
        <v>31</v>
      </c>
      <c r="E54" s="6"/>
      <c r="F54" s="6"/>
      <c r="G54">
        <f>IF(B54="x",1,IF(C54="x",2,IF(D54="x",3,IF(E54="x",4,IF(F54="x",5,0)))))</f>
        <v>3</v>
      </c>
      <c r="H54" t="s">
        <v>12</v>
      </c>
      <c r="I54" s="9">
        <v>43</v>
      </c>
    </row>
    <row r="55" spans="1:9" ht="15.75" customHeight="1" x14ac:dyDescent="0.25">
      <c r="A55" s="5">
        <v>44</v>
      </c>
      <c r="B55" s="6"/>
      <c r="C55" s="6"/>
      <c r="D55" s="6" t="s">
        <v>31</v>
      </c>
      <c r="E55" s="6"/>
      <c r="F55" s="6"/>
      <c r="G55">
        <f>IF(B55="x",5,IF(C55="x",4,IF(D55="x",3,IF(E55="x",2,IF(F55="x",1,0)))))</f>
        <v>3</v>
      </c>
      <c r="I55">
        <v>44</v>
      </c>
    </row>
    <row r="56" spans="1:9" ht="15.75" customHeight="1" x14ac:dyDescent="0.25"/>
    <row r="57" spans="1:9" ht="15.75" customHeight="1" x14ac:dyDescent="0.25"/>
    <row r="58" spans="1:9" ht="15.75" customHeight="1" x14ac:dyDescent="0.25">
      <c r="G58">
        <f>G12+G17+G22+G27+G32+G37+G42+G47</f>
        <v>32</v>
      </c>
      <c r="H58">
        <f>G58/40*100</f>
        <v>80</v>
      </c>
      <c r="I58" s="12" t="s">
        <v>18</v>
      </c>
    </row>
    <row r="59" spans="1:9" ht="15.75" customHeight="1" x14ac:dyDescent="0.25">
      <c r="G59">
        <f t="shared" ref="G59:G60" si="11">G13+G18+G23+G28+G33+G38+G43+G48+G53</f>
        <v>41</v>
      </c>
      <c r="H59">
        <f t="shared" ref="H59:H60" si="12">G59/45*100</f>
        <v>91.111111111111114</v>
      </c>
      <c r="I59" s="12" t="s">
        <v>19</v>
      </c>
    </row>
    <row r="60" spans="1:9" ht="15.75" customHeight="1" x14ac:dyDescent="0.25">
      <c r="G60">
        <f t="shared" si="11"/>
        <v>39</v>
      </c>
      <c r="H60">
        <f t="shared" si="12"/>
        <v>86.666666666666671</v>
      </c>
      <c r="I60" s="12" t="s">
        <v>20</v>
      </c>
    </row>
    <row r="61" spans="1:9" ht="15.75" customHeight="1" x14ac:dyDescent="0.25">
      <c r="G61">
        <f>G15+G20+G25+G30+G35+G40+G45+G50</f>
        <v>20</v>
      </c>
      <c r="H61">
        <f>G61/40*100</f>
        <v>50</v>
      </c>
      <c r="I61" s="12" t="s">
        <v>21</v>
      </c>
    </row>
    <row r="62" spans="1:9" ht="15.75" customHeight="1" x14ac:dyDescent="0.25">
      <c r="G62">
        <f>G16+G21+G26+G31+G36+G41+G46+G51+G52+G55</f>
        <v>37</v>
      </c>
      <c r="H62">
        <f>G62/50*100</f>
        <v>74</v>
      </c>
      <c r="I62" s="12" t="s">
        <v>22</v>
      </c>
    </row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F1"/>
    <mergeCell ref="B9:B11"/>
    <mergeCell ref="C9:C11"/>
    <mergeCell ref="D9:D11"/>
    <mergeCell ref="E9:E11"/>
    <mergeCell ref="F9:F11"/>
    <mergeCell ref="A9:A1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5" workbookViewId="0">
      <selection activeCell="A43" sqref="A43"/>
    </sheetView>
  </sheetViews>
  <sheetFormatPr defaultColWidth="14.42578125" defaultRowHeight="15" customHeight="1" x14ac:dyDescent="0.25"/>
  <cols>
    <col min="1" max="1" width="19.140625" customWidth="1"/>
    <col min="2" max="2" width="3" hidden="1" customWidth="1"/>
    <col min="3" max="3" width="5.5703125" customWidth="1"/>
    <col min="4" max="4" width="11.7109375" customWidth="1"/>
    <col min="5" max="5" width="8.7109375" customWidth="1"/>
    <col min="6" max="6" width="17.7109375" customWidth="1"/>
    <col min="7" max="7" width="2.85546875" customWidth="1"/>
    <col min="8" max="9" width="8.7109375" customWidth="1"/>
    <col min="10" max="10" width="7" customWidth="1"/>
    <col min="11" max="26" width="8.7109375" customWidth="1"/>
  </cols>
  <sheetData>
    <row r="1" spans="1:10" ht="21" x14ac:dyDescent="0.35">
      <c r="A1" s="35" t="s">
        <v>13</v>
      </c>
      <c r="B1" s="29"/>
      <c r="C1" s="29"/>
      <c r="D1" s="29"/>
      <c r="E1" s="29"/>
      <c r="F1" s="29"/>
      <c r="G1" s="29"/>
      <c r="H1" s="29"/>
      <c r="I1" s="29"/>
      <c r="J1" s="11"/>
    </row>
    <row r="2" spans="1:1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 t="s">
        <v>1</v>
      </c>
      <c r="B3" s="12"/>
      <c r="C3" s="1" t="s">
        <v>2</v>
      </c>
      <c r="D3" s="13" t="str">
        <f>Skoring!D4</f>
        <v>DWI AGUNG PRASETYO</v>
      </c>
      <c r="E3" s="14"/>
      <c r="F3" s="14"/>
      <c r="G3" s="12"/>
      <c r="H3" s="12"/>
      <c r="I3" s="12"/>
      <c r="J3" s="12"/>
    </row>
    <row r="4" spans="1:10" x14ac:dyDescent="0.25">
      <c r="A4" s="12" t="s">
        <v>14</v>
      </c>
      <c r="B4" s="12"/>
      <c r="C4" s="1" t="s">
        <v>2</v>
      </c>
      <c r="D4" s="15" t="str">
        <f>Skoring!D5</f>
        <v>SPV GA</v>
      </c>
      <c r="E4" s="16"/>
      <c r="F4" s="16"/>
      <c r="G4" s="12"/>
      <c r="H4" s="12"/>
      <c r="I4" s="12"/>
      <c r="J4" s="12"/>
    </row>
    <row r="5" spans="1:10" x14ac:dyDescent="0.25">
      <c r="A5" s="12" t="s">
        <v>4</v>
      </c>
      <c r="B5" s="12"/>
      <c r="C5" s="1" t="s">
        <v>2</v>
      </c>
      <c r="D5" s="15">
        <f>Skoring!D6</f>
        <v>35</v>
      </c>
      <c r="E5" s="12" t="s">
        <v>5</v>
      </c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7" t="s">
        <v>15</v>
      </c>
      <c r="B8" s="17"/>
      <c r="C8" s="17" t="s">
        <v>16</v>
      </c>
      <c r="D8" s="18" t="s">
        <v>17</v>
      </c>
      <c r="E8" s="12"/>
      <c r="F8" s="12"/>
      <c r="G8" s="12"/>
      <c r="H8" s="12"/>
      <c r="I8" s="12"/>
      <c r="J8" s="12"/>
    </row>
    <row r="9" spans="1:10" x14ac:dyDescent="0.25">
      <c r="A9" s="17" t="s">
        <v>18</v>
      </c>
      <c r="B9" s="17">
        <f>Skoring!G58</f>
        <v>32</v>
      </c>
      <c r="C9" s="19">
        <f>Skoring!H58</f>
        <v>80</v>
      </c>
      <c r="D9" s="17" t="str">
        <f t="shared" ref="D9:D13" si="0">IF(C9&lt;=33,"Rendah",IF(C9&lt;=66,"Sedang","Tinggi"))</f>
        <v>Tinggi</v>
      </c>
      <c r="E9" s="12"/>
      <c r="F9" s="20" t="str">
        <f>A13</f>
        <v>Openness</v>
      </c>
      <c r="G9" s="12" t="s">
        <v>2</v>
      </c>
      <c r="H9" s="12" t="str">
        <f>D13</f>
        <v>Tinggi</v>
      </c>
      <c r="I9" s="12"/>
      <c r="J9" s="12"/>
    </row>
    <row r="10" spans="1:10" x14ac:dyDescent="0.25">
      <c r="A10" s="17" t="s">
        <v>19</v>
      </c>
      <c r="B10" s="17">
        <f>Skoring!G59</f>
        <v>41</v>
      </c>
      <c r="C10" s="19">
        <f>Skoring!H59</f>
        <v>91.111111111111114</v>
      </c>
      <c r="D10" s="17" t="str">
        <f t="shared" si="0"/>
        <v>Tinggi</v>
      </c>
      <c r="E10" s="12"/>
      <c r="F10" s="20"/>
      <c r="G10" s="12"/>
      <c r="H10" s="12"/>
      <c r="I10" s="12"/>
      <c r="J10" s="12"/>
    </row>
    <row r="11" spans="1:10" x14ac:dyDescent="0.25">
      <c r="A11" s="17" t="s">
        <v>20</v>
      </c>
      <c r="B11" s="17">
        <f>Skoring!G60</f>
        <v>39</v>
      </c>
      <c r="C11" s="19">
        <f>Skoring!H60</f>
        <v>86.666666666666671</v>
      </c>
      <c r="D11" s="17" t="str">
        <f t="shared" si="0"/>
        <v>Tinggi</v>
      </c>
      <c r="E11" s="12"/>
      <c r="F11" s="20" t="str">
        <f>A12</f>
        <v>Neuroticism</v>
      </c>
      <c r="G11" s="12" t="s">
        <v>2</v>
      </c>
      <c r="H11" s="12" t="str">
        <f>D12</f>
        <v>Sedang</v>
      </c>
      <c r="I11" s="12"/>
      <c r="J11" s="12"/>
    </row>
    <row r="12" spans="1:10" x14ac:dyDescent="0.25">
      <c r="A12" s="17" t="s">
        <v>21</v>
      </c>
      <c r="B12" s="17">
        <f>Skoring!G61</f>
        <v>20</v>
      </c>
      <c r="C12" s="19">
        <f>Skoring!H61</f>
        <v>50</v>
      </c>
      <c r="D12" s="17" t="str">
        <f t="shared" si="0"/>
        <v>Sedang</v>
      </c>
      <c r="E12" s="12"/>
      <c r="F12" s="20"/>
      <c r="G12" s="12"/>
      <c r="H12" s="12"/>
      <c r="I12" s="12"/>
      <c r="J12" s="12"/>
    </row>
    <row r="13" spans="1:10" x14ac:dyDescent="0.25">
      <c r="A13" s="17" t="s">
        <v>22</v>
      </c>
      <c r="B13" s="17">
        <f>Skoring!G62</f>
        <v>37</v>
      </c>
      <c r="C13" s="19">
        <f>Skoring!H62</f>
        <v>74</v>
      </c>
      <c r="D13" s="17" t="str">
        <f t="shared" si="0"/>
        <v>Tinggi</v>
      </c>
      <c r="E13" s="12"/>
      <c r="F13" s="20" t="str">
        <f>A11</f>
        <v>Conscientiousness</v>
      </c>
      <c r="G13" s="12" t="s">
        <v>2</v>
      </c>
      <c r="H13" s="12" t="str">
        <f>D11</f>
        <v>Tinggi</v>
      </c>
      <c r="I13" s="12"/>
      <c r="J13" s="12"/>
    </row>
    <row r="14" spans="1:10" x14ac:dyDescent="0.25">
      <c r="A14" s="12"/>
      <c r="B14" s="12"/>
      <c r="C14" s="12"/>
      <c r="D14" s="12"/>
      <c r="E14" s="12"/>
      <c r="F14" s="20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20" t="str">
        <f>A10</f>
        <v>Agreeableness</v>
      </c>
      <c r="G15" s="12" t="s">
        <v>2</v>
      </c>
      <c r="H15" s="12" t="str">
        <f>D10</f>
        <v>Tinggi</v>
      </c>
      <c r="I15" s="12"/>
      <c r="J15" s="12"/>
    </row>
    <row r="16" spans="1:10" x14ac:dyDescent="0.25">
      <c r="A16" s="12"/>
      <c r="B16" s="12"/>
      <c r="C16" s="12"/>
      <c r="D16" s="12"/>
      <c r="E16" s="12"/>
      <c r="F16" s="20"/>
      <c r="G16" s="12"/>
      <c r="H16" s="12"/>
      <c r="I16" s="12"/>
      <c r="J16" s="12"/>
    </row>
    <row r="17" spans="1:26" x14ac:dyDescent="0.25">
      <c r="A17" s="12"/>
      <c r="B17" s="12"/>
      <c r="C17" s="12"/>
      <c r="D17" s="12"/>
      <c r="E17" s="12"/>
      <c r="F17" s="20" t="str">
        <f>A9</f>
        <v>Ekstraversion</v>
      </c>
      <c r="G17" s="12" t="s">
        <v>2</v>
      </c>
      <c r="H17" s="12" t="str">
        <f>D9</f>
        <v>Tinggi</v>
      </c>
      <c r="I17" s="12"/>
      <c r="J17" s="12"/>
    </row>
    <row r="18" spans="1:26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26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26" x14ac:dyDescent="0.25">
      <c r="A20" s="20" t="s">
        <v>23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26" ht="34.5" customHeight="1" x14ac:dyDescent="0.25">
      <c r="A21" s="34" t="str">
        <f>IF(D9="Tinggi","- Memiliki tingkat motivasi yang tinggi dalam bergaul, menjalin hubungan dengan sesama dan dominan dalam lingkungannya .",IF(D9="Rendah","- Cenderung bersikap tenang dan menarik diri dari lingkungannya.","- Tidak terlalu menonjol dalam menjalin hubungan dengan sesama meskipun tidak menarik diri dari lingkungannya."))</f>
        <v>- Memiliki tingkat motivasi yang tinggi dalam bergaul, menjalin hubungan dengan sesama dan dominan dalam lingkungannya .</v>
      </c>
      <c r="B21" s="29"/>
      <c r="C21" s="29"/>
      <c r="D21" s="29"/>
      <c r="E21" s="29"/>
      <c r="F21" s="29"/>
      <c r="G21" s="29"/>
      <c r="H21" s="29"/>
      <c r="I21" s="29"/>
      <c r="J21" s="21"/>
    </row>
    <row r="22" spans="1:26" ht="30" customHeight="1" x14ac:dyDescent="0.25">
      <c r="A22" s="34" t="str">
        <f>IF(D10="Tinggi","- Ramah, memiliki kepribadian yang selalu mengalah, menghindari konflik dan memiliki kecenderungan untuk mengikuti orang lain.",IF(D10="Rendah","- Cenderung untuk lebih agresif dan kurang kooperatif.","- Tidak terlalu agresif meskipun tidak selalu mengalah pada orang lain."))</f>
        <v>- Ramah, memiliki kepribadian yang selalu mengalah, menghindari konflik dan memiliki kecenderungan untuk mengikuti orang lain.</v>
      </c>
      <c r="B22" s="29"/>
      <c r="C22" s="29"/>
      <c r="D22" s="29"/>
      <c r="E22" s="29"/>
      <c r="F22" s="29"/>
      <c r="G22" s="29"/>
      <c r="H22" s="29"/>
      <c r="I22" s="29"/>
      <c r="J22" s="22"/>
    </row>
    <row r="23" spans="1:26" ht="45" customHeight="1" x14ac:dyDescent="0.25">
      <c r="A23" s="34" t="str">
        <f>IF(D11="Tinggi","- Memiliki kontrol terhadap lingkungan sosial, berpikir sebelum bertindak, menunda kepuasan, mengikuti peraturan dan norma, terencana, terorganisir, dan memprioritaskan tugas.",IF(D11="Rendah","- Ceroboh, tidak terarah serta mudah teralih perhatiannya.","- Terkadang ceroboh, namun dapat mengikuti peraturan dan norma."))</f>
        <v>- Memiliki kontrol terhadap lingkungan sosial, berpikir sebelum bertindak, menunda kepuasan, mengikuti peraturan dan norma, terencana, terorganisir, dan memprioritaskan tugas.</v>
      </c>
      <c r="B23" s="29"/>
      <c r="C23" s="29"/>
      <c r="D23" s="29"/>
      <c r="E23" s="29"/>
      <c r="F23" s="29"/>
      <c r="G23" s="29"/>
      <c r="H23" s="29"/>
      <c r="I23" s="29"/>
      <c r="J23" s="22"/>
    </row>
    <row r="24" spans="1:26" ht="30" customHeight="1" x14ac:dyDescent="0.25">
      <c r="A24" s="34" t="str">
        <f>IF(D12="Tinggi","- Memiliki kesulitan dalam menjalin hubungan dan berkomitmen, juga memiliki tingkat self esteem yang rendah.",IF(D12="Rendah","- Cenderung lebih gembira dan puas terhadap hidup.","- Dapat mengendalikan diri meskipun pada saat cemas."))</f>
        <v>- Dapat mengendalikan diri meskipun pada saat cemas.</v>
      </c>
      <c r="B24" s="29"/>
      <c r="C24" s="29"/>
      <c r="D24" s="29"/>
      <c r="E24" s="29"/>
      <c r="F24" s="29"/>
      <c r="G24" s="29"/>
      <c r="H24" s="29"/>
      <c r="I24" s="29"/>
      <c r="J24" s="23"/>
    </row>
    <row r="25" spans="1:26" ht="30" customHeight="1" x14ac:dyDescent="0.25">
      <c r="A25" s="34" t="str">
        <f>IF(D13="Tinggi","- Mudah bertoleransi, memiliki kapasitas untuk menyerap informasi, menjadi sangat fokus dan mampu untuk waspada pada berbagai perasaan, pemikiran dan impulsivitas.",IF(D13="Rendah","- Mempunyai pemikiran yang sempit, konservatif dan tidak menyukai adanya perubahan.","- Memiliki pemikiran yang cukup terbuka dan tidak bermasalah terhadap perubahan."))</f>
        <v>- Mudah bertoleransi, memiliki kapasitas untuk menyerap informasi, menjadi sangat fokus dan mampu untuk waspada pada berbagai perasaan, pemikiran dan impulsivitas.</v>
      </c>
      <c r="B25" s="29"/>
      <c r="C25" s="29"/>
      <c r="D25" s="29"/>
      <c r="E25" s="29"/>
      <c r="F25" s="29"/>
      <c r="G25" s="29"/>
      <c r="H25" s="29"/>
      <c r="I25" s="29"/>
      <c r="J25" s="21"/>
    </row>
    <row r="26" spans="1:26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26" ht="15.75" customHeight="1" x14ac:dyDescent="0.25">
      <c r="B27" s="12"/>
      <c r="C27" s="12"/>
      <c r="D27" s="12"/>
      <c r="E27" s="12"/>
      <c r="F27" s="12"/>
      <c r="G27" s="12"/>
      <c r="H27" s="12"/>
      <c r="I27" s="12"/>
      <c r="J27" s="12"/>
    </row>
    <row r="28" spans="1:26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24"/>
    </row>
    <row r="29" spans="1:26" ht="15.75" customHeight="1" x14ac:dyDescent="0.25">
      <c r="A29" s="25" t="s">
        <v>24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6" t="s">
        <v>15</v>
      </c>
      <c r="B31" s="25"/>
      <c r="C31" s="25"/>
      <c r="D31" s="26" t="s">
        <v>25</v>
      </c>
      <c r="E31" s="26" t="s">
        <v>26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 t="str">
        <f>F9</f>
        <v>Openness</v>
      </c>
      <c r="B32" s="25"/>
      <c r="C32" s="25"/>
      <c r="D32" s="25" t="s">
        <v>27</v>
      </c>
      <c r="E32" s="25" t="str">
        <f>H9</f>
        <v>Tinggi</v>
      </c>
      <c r="F32" s="25" t="str">
        <f>IF(AND(D32="Tinggi",E32="Tinggi"),"Oke","-")</f>
        <v>Oke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5" t="str">
        <f>F11</f>
        <v>Neuroticism</v>
      </c>
      <c r="B34" s="25"/>
      <c r="C34" s="25"/>
      <c r="D34" s="25" t="s">
        <v>28</v>
      </c>
      <c r="E34" s="25" t="str">
        <f>H11</f>
        <v>Sedang</v>
      </c>
      <c r="F34" s="25" t="str">
        <f>IF(AND(D34="Sedang",E34="Sedang"),"Oke",IF(AND(D34="Sedang",E34="Rendah"),"Oke","-"))</f>
        <v>Oke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25" t="str">
        <f>F13</f>
        <v>Conscientiousness</v>
      </c>
      <c r="B36" s="25"/>
      <c r="C36" s="25"/>
      <c r="D36" s="25" t="s">
        <v>28</v>
      </c>
      <c r="E36" s="25" t="str">
        <f>H13</f>
        <v>Tinggi</v>
      </c>
      <c r="F36" s="25" t="str">
        <f>IF(AND(D36="Sedang",E36="Sedang"),"Oke",IF(AND(D36="Sedang",E36="Tinggi"),"Oke","-"))</f>
        <v>Oke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25" t="str">
        <f>F15</f>
        <v>Agreeableness</v>
      </c>
      <c r="B38" s="25"/>
      <c r="C38" s="25"/>
      <c r="D38" s="25" t="s">
        <v>27</v>
      </c>
      <c r="E38" s="25" t="str">
        <f>H15</f>
        <v>Tinggi</v>
      </c>
      <c r="F38" s="25" t="str">
        <f>IF(AND(D38="Tinggi",E38="Tinggi"),"Oke","-")</f>
        <v>Oke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 t="str">
        <f>F17</f>
        <v>Ekstraversion</v>
      </c>
      <c r="B40" s="25"/>
      <c r="C40" s="25"/>
      <c r="D40" s="25" t="s">
        <v>28</v>
      </c>
      <c r="E40" s="25" t="str">
        <f>H17</f>
        <v>Tinggi</v>
      </c>
      <c r="F40" s="25" t="str">
        <f>IF(AND(D40="Sedang",E40="Sedang"),"Oke",IF(AND(D40="Sedang",E40="Tinggi"),"Oke","-"))</f>
        <v>Oke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B41" s="12"/>
      <c r="C41" s="12"/>
      <c r="D41" s="12"/>
      <c r="E41" s="12"/>
      <c r="F41" s="12"/>
      <c r="G41" s="12"/>
      <c r="H41" s="12"/>
      <c r="I41" s="12"/>
      <c r="J41" s="12"/>
    </row>
    <row r="42" spans="1:26" ht="15.75" customHeight="1" x14ac:dyDescent="0.25"/>
    <row r="43" spans="1:26" ht="15.75" customHeight="1" x14ac:dyDescent="0.25">
      <c r="A43" s="27"/>
    </row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25:I25"/>
    <mergeCell ref="A1:I1"/>
    <mergeCell ref="A21:I21"/>
    <mergeCell ref="A22:I22"/>
    <mergeCell ref="A23:I23"/>
    <mergeCell ref="A24:I24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Skoring</vt:lpstr>
      <vt:lpstr>Interpretasi Skor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LDASDM-FERRY</dc:creator>
  <cp:lastModifiedBy>LDASDM-FERRY</cp:lastModifiedBy>
  <cp:lastPrinted>2018-09-04T05:07:21Z</cp:lastPrinted>
  <dcterms:created xsi:type="dcterms:W3CDTF">2018-08-15T09:58:29Z</dcterms:created>
  <dcterms:modified xsi:type="dcterms:W3CDTF">2018-09-04T07:10:51Z</dcterms:modified>
</cp:coreProperties>
</file>