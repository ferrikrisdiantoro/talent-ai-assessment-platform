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paket jualan\RIASEC\"/>
    </mc:Choice>
  </mc:AlternateContent>
  <xr:revisionPtr revIDLastSave="0" documentId="8_{55F1BC5D-F12A-4E3F-82BF-3CA9C98DEBD2}" xr6:coauthVersionLast="47" xr6:coauthVersionMax="47" xr10:uidLastSave="{00000000-0000-0000-0000-000000000000}"/>
  <bookViews>
    <workbookView xWindow="-120" yWindow="-120" windowWidth="20730" windowHeight="11160" xr2:uid="{00000000-000D-0000-FFFF-FFFF00000000}"/>
  </bookViews>
  <sheets>
    <sheet name="Soal" sheetId="4" r:id="rId1"/>
    <sheet name="Hasil" sheetId="5" r:id="rId2"/>
    <sheet name="referensi" sheetId="7" state="hidden" r:id="rId3"/>
  </sheets>
  <definedNames>
    <definedName name="_xlnm._FilterDatabase" localSheetId="0" hidden="1">Soal!$A$9:$P$117</definedName>
    <definedName name="_xlnm.Print_Area" localSheetId="1">Hasil!$B$2:$M$54</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7" i="4" l="1"/>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H118" i="4"/>
  <c r="G118" i="4"/>
  <c r="J7" i="5"/>
  <c r="J6" i="5"/>
  <c r="E7" i="5"/>
  <c r="E6" i="5"/>
  <c r="G119" i="4" l="1"/>
  <c r="P118" i="4"/>
  <c r="O117" i="4"/>
  <c r="N117" i="4"/>
  <c r="M117" i="4"/>
  <c r="L117" i="4"/>
  <c r="J117" i="4"/>
  <c r="O116" i="4"/>
  <c r="N116" i="4"/>
  <c r="M116" i="4"/>
  <c r="L116" i="4"/>
  <c r="J116" i="4"/>
  <c r="O115" i="4"/>
  <c r="N115" i="4"/>
  <c r="M115" i="4"/>
  <c r="L115" i="4"/>
  <c r="J115" i="4"/>
  <c r="O114" i="4"/>
  <c r="N114" i="4"/>
  <c r="M114" i="4"/>
  <c r="L114" i="4"/>
  <c r="J114" i="4"/>
  <c r="O113" i="4"/>
  <c r="N113" i="4"/>
  <c r="M113" i="4"/>
  <c r="L113" i="4"/>
  <c r="J113" i="4"/>
  <c r="O112" i="4"/>
  <c r="N112" i="4"/>
  <c r="M112" i="4"/>
  <c r="L112" i="4"/>
  <c r="J112" i="4"/>
  <c r="O111" i="4"/>
  <c r="N111" i="4"/>
  <c r="M111" i="4"/>
  <c r="L111" i="4"/>
  <c r="J111" i="4"/>
  <c r="O110" i="4"/>
  <c r="N110" i="4"/>
  <c r="M110" i="4"/>
  <c r="L110" i="4"/>
  <c r="J110" i="4"/>
  <c r="O109" i="4"/>
  <c r="N109" i="4"/>
  <c r="M109" i="4"/>
  <c r="L109" i="4"/>
  <c r="J109" i="4"/>
  <c r="O108" i="4"/>
  <c r="N108" i="4"/>
  <c r="M108" i="4"/>
  <c r="L108" i="4"/>
  <c r="J108" i="4"/>
  <c r="O107" i="4"/>
  <c r="N107" i="4"/>
  <c r="M107" i="4"/>
  <c r="L107" i="4"/>
  <c r="J107" i="4"/>
  <c r="O106" i="4"/>
  <c r="N106" i="4"/>
  <c r="M106" i="4"/>
  <c r="L106" i="4"/>
  <c r="J106" i="4"/>
  <c r="O105" i="4"/>
  <c r="N105" i="4"/>
  <c r="M105" i="4"/>
  <c r="L105" i="4"/>
  <c r="J105" i="4"/>
  <c r="O104" i="4"/>
  <c r="N104" i="4"/>
  <c r="M104" i="4"/>
  <c r="L104" i="4"/>
  <c r="J104" i="4"/>
  <c r="O103" i="4"/>
  <c r="N103" i="4"/>
  <c r="M103" i="4"/>
  <c r="L103" i="4"/>
  <c r="J103" i="4"/>
  <c r="O102" i="4"/>
  <c r="N102" i="4"/>
  <c r="M102" i="4"/>
  <c r="L102" i="4"/>
  <c r="J102" i="4"/>
  <c r="O101" i="4"/>
  <c r="N101" i="4"/>
  <c r="M101" i="4"/>
  <c r="L101" i="4"/>
  <c r="J101" i="4"/>
  <c r="O100" i="4"/>
  <c r="N100" i="4"/>
  <c r="M100" i="4"/>
  <c r="L100" i="4"/>
  <c r="J100" i="4"/>
  <c r="O99" i="4"/>
  <c r="N99" i="4"/>
  <c r="M99" i="4"/>
  <c r="L99" i="4"/>
  <c r="J99" i="4"/>
  <c r="O98" i="4"/>
  <c r="N98" i="4"/>
  <c r="M98" i="4"/>
  <c r="L98" i="4"/>
  <c r="J98" i="4"/>
  <c r="O97" i="4"/>
  <c r="N97" i="4"/>
  <c r="M97" i="4"/>
  <c r="L97" i="4"/>
  <c r="J97" i="4"/>
  <c r="O96" i="4"/>
  <c r="N96" i="4"/>
  <c r="M96" i="4"/>
  <c r="L96" i="4"/>
  <c r="J96" i="4"/>
  <c r="O95" i="4"/>
  <c r="N95" i="4"/>
  <c r="M95" i="4"/>
  <c r="L95" i="4"/>
  <c r="J95" i="4"/>
  <c r="O94" i="4"/>
  <c r="N94" i="4"/>
  <c r="M94" i="4"/>
  <c r="L94" i="4"/>
  <c r="J94" i="4"/>
  <c r="O93" i="4"/>
  <c r="N93" i="4"/>
  <c r="M93" i="4"/>
  <c r="L93" i="4"/>
  <c r="J93" i="4"/>
  <c r="O92" i="4"/>
  <c r="N92" i="4"/>
  <c r="M92" i="4"/>
  <c r="L92" i="4"/>
  <c r="J92" i="4"/>
  <c r="O91" i="4"/>
  <c r="N91" i="4"/>
  <c r="M91" i="4"/>
  <c r="L91" i="4"/>
  <c r="J91" i="4"/>
  <c r="O90" i="4"/>
  <c r="N90" i="4"/>
  <c r="M90" i="4"/>
  <c r="L90" i="4"/>
  <c r="J90" i="4"/>
  <c r="O89" i="4"/>
  <c r="N89" i="4"/>
  <c r="M89" i="4"/>
  <c r="L89" i="4"/>
  <c r="J89" i="4"/>
  <c r="O88" i="4"/>
  <c r="N88" i="4"/>
  <c r="M88" i="4"/>
  <c r="L88" i="4"/>
  <c r="J88" i="4"/>
  <c r="O87" i="4"/>
  <c r="N87" i="4"/>
  <c r="M87" i="4"/>
  <c r="L87" i="4"/>
  <c r="J87" i="4"/>
  <c r="O86" i="4"/>
  <c r="N86" i="4"/>
  <c r="M86" i="4"/>
  <c r="L86" i="4"/>
  <c r="J86" i="4"/>
  <c r="O85" i="4"/>
  <c r="N85" i="4"/>
  <c r="M85" i="4"/>
  <c r="L85" i="4"/>
  <c r="J85" i="4"/>
  <c r="O84" i="4"/>
  <c r="N84" i="4"/>
  <c r="M84" i="4"/>
  <c r="L84" i="4"/>
  <c r="J84" i="4"/>
  <c r="O83" i="4"/>
  <c r="N83" i="4"/>
  <c r="M83" i="4"/>
  <c r="L83" i="4"/>
  <c r="J83" i="4"/>
  <c r="O82" i="4"/>
  <c r="N82" i="4"/>
  <c r="M82" i="4"/>
  <c r="L82" i="4"/>
  <c r="J82" i="4"/>
  <c r="O81" i="4"/>
  <c r="N81" i="4"/>
  <c r="M81" i="4"/>
  <c r="L81" i="4"/>
  <c r="J81" i="4"/>
  <c r="O80" i="4"/>
  <c r="N80" i="4"/>
  <c r="M80" i="4"/>
  <c r="L80" i="4"/>
  <c r="J80" i="4"/>
  <c r="O79" i="4"/>
  <c r="N79" i="4"/>
  <c r="M79" i="4"/>
  <c r="L79" i="4"/>
  <c r="J79" i="4"/>
  <c r="O78" i="4"/>
  <c r="N78" i="4"/>
  <c r="M78" i="4"/>
  <c r="L78" i="4"/>
  <c r="J78" i="4"/>
  <c r="O77" i="4"/>
  <c r="N77" i="4"/>
  <c r="M77" i="4"/>
  <c r="L77" i="4"/>
  <c r="J77" i="4"/>
  <c r="O76" i="4"/>
  <c r="N76" i="4"/>
  <c r="M76" i="4"/>
  <c r="L76" i="4"/>
  <c r="J76" i="4"/>
  <c r="O75" i="4"/>
  <c r="N75" i="4"/>
  <c r="M75" i="4"/>
  <c r="L75" i="4"/>
  <c r="J75" i="4"/>
  <c r="O74" i="4"/>
  <c r="N74" i="4"/>
  <c r="M74" i="4"/>
  <c r="L74" i="4"/>
  <c r="J74" i="4"/>
  <c r="O73" i="4"/>
  <c r="N73" i="4"/>
  <c r="M73" i="4"/>
  <c r="L73" i="4"/>
  <c r="J73" i="4"/>
  <c r="O72" i="4"/>
  <c r="N72" i="4"/>
  <c r="M72" i="4"/>
  <c r="L72" i="4"/>
  <c r="J72" i="4"/>
  <c r="O71" i="4"/>
  <c r="N71" i="4"/>
  <c r="M71" i="4"/>
  <c r="L71" i="4"/>
  <c r="J71" i="4"/>
  <c r="O70" i="4"/>
  <c r="N70" i="4"/>
  <c r="M70" i="4"/>
  <c r="L70" i="4"/>
  <c r="J70" i="4"/>
  <c r="O69" i="4"/>
  <c r="N69" i="4"/>
  <c r="M69" i="4"/>
  <c r="L69" i="4"/>
  <c r="J69" i="4"/>
  <c r="O68" i="4"/>
  <c r="N68" i="4"/>
  <c r="M68" i="4"/>
  <c r="L68" i="4"/>
  <c r="J68" i="4"/>
  <c r="O67" i="4"/>
  <c r="N67" i="4"/>
  <c r="M67" i="4"/>
  <c r="L67" i="4"/>
  <c r="J67" i="4"/>
  <c r="O66" i="4"/>
  <c r="N66" i="4"/>
  <c r="M66" i="4"/>
  <c r="L66" i="4"/>
  <c r="J66" i="4"/>
  <c r="O65" i="4"/>
  <c r="N65" i="4"/>
  <c r="M65" i="4"/>
  <c r="L65" i="4"/>
  <c r="J65" i="4"/>
  <c r="O64" i="4"/>
  <c r="N64" i="4"/>
  <c r="M64" i="4"/>
  <c r="L64" i="4"/>
  <c r="J64" i="4"/>
  <c r="O63" i="4"/>
  <c r="N63" i="4"/>
  <c r="M63" i="4"/>
  <c r="L63" i="4"/>
  <c r="J63" i="4"/>
  <c r="O62" i="4"/>
  <c r="N62" i="4"/>
  <c r="M62" i="4"/>
  <c r="L62" i="4"/>
  <c r="J62" i="4"/>
  <c r="O61" i="4"/>
  <c r="N61" i="4"/>
  <c r="M61" i="4"/>
  <c r="L61" i="4"/>
  <c r="J61" i="4"/>
  <c r="O60" i="4"/>
  <c r="N60" i="4"/>
  <c r="M60" i="4"/>
  <c r="L60" i="4"/>
  <c r="J60" i="4"/>
  <c r="O59" i="4"/>
  <c r="N59" i="4"/>
  <c r="M59" i="4"/>
  <c r="L59" i="4"/>
  <c r="J59" i="4"/>
  <c r="O58" i="4"/>
  <c r="N58" i="4"/>
  <c r="M58" i="4"/>
  <c r="L58" i="4"/>
  <c r="J58" i="4"/>
  <c r="O57" i="4"/>
  <c r="N57" i="4"/>
  <c r="M57" i="4"/>
  <c r="L57" i="4"/>
  <c r="J57" i="4"/>
  <c r="O56" i="4"/>
  <c r="N56" i="4"/>
  <c r="M56" i="4"/>
  <c r="L56" i="4"/>
  <c r="J56" i="4"/>
  <c r="O55" i="4"/>
  <c r="N55" i="4"/>
  <c r="M55" i="4"/>
  <c r="L55" i="4"/>
  <c r="J55" i="4"/>
  <c r="O54" i="4"/>
  <c r="N54" i="4"/>
  <c r="M54" i="4"/>
  <c r="L54" i="4"/>
  <c r="J54" i="4"/>
  <c r="O53" i="4"/>
  <c r="N53" i="4"/>
  <c r="M53" i="4"/>
  <c r="L53" i="4"/>
  <c r="J53" i="4"/>
  <c r="O52" i="4"/>
  <c r="N52" i="4"/>
  <c r="M52" i="4"/>
  <c r="L52" i="4"/>
  <c r="J52" i="4"/>
  <c r="O51" i="4"/>
  <c r="N51" i="4"/>
  <c r="M51" i="4"/>
  <c r="L51" i="4"/>
  <c r="J51" i="4"/>
  <c r="O50" i="4"/>
  <c r="N50" i="4"/>
  <c r="M50" i="4"/>
  <c r="L50" i="4"/>
  <c r="J50" i="4"/>
  <c r="O49" i="4"/>
  <c r="N49" i="4"/>
  <c r="M49" i="4"/>
  <c r="L49" i="4"/>
  <c r="J49" i="4"/>
  <c r="O48" i="4"/>
  <c r="N48" i="4"/>
  <c r="M48" i="4"/>
  <c r="L48" i="4"/>
  <c r="J48" i="4"/>
  <c r="O47" i="4"/>
  <c r="N47" i="4"/>
  <c r="M47" i="4"/>
  <c r="L47" i="4"/>
  <c r="J47" i="4"/>
  <c r="O46" i="4"/>
  <c r="N46" i="4"/>
  <c r="M46" i="4"/>
  <c r="L46" i="4"/>
  <c r="J46" i="4"/>
  <c r="O45" i="4"/>
  <c r="N45" i="4"/>
  <c r="M45" i="4"/>
  <c r="L45" i="4"/>
  <c r="J45" i="4"/>
  <c r="O44" i="4"/>
  <c r="N44" i="4"/>
  <c r="M44" i="4"/>
  <c r="L44" i="4"/>
  <c r="J44" i="4"/>
  <c r="O43" i="4"/>
  <c r="N43" i="4"/>
  <c r="M43" i="4"/>
  <c r="L43" i="4"/>
  <c r="J43" i="4"/>
  <c r="O42" i="4"/>
  <c r="N42" i="4"/>
  <c r="M42" i="4"/>
  <c r="L42" i="4"/>
  <c r="J42" i="4"/>
  <c r="O41" i="4"/>
  <c r="N41" i="4"/>
  <c r="M41" i="4"/>
  <c r="L41" i="4"/>
  <c r="J41" i="4"/>
  <c r="O40" i="4"/>
  <c r="N40" i="4"/>
  <c r="M40" i="4"/>
  <c r="L40" i="4"/>
  <c r="J40" i="4"/>
  <c r="O39" i="4"/>
  <c r="N39" i="4"/>
  <c r="M39" i="4"/>
  <c r="L39" i="4"/>
  <c r="J39" i="4"/>
  <c r="O38" i="4"/>
  <c r="N38" i="4"/>
  <c r="M38" i="4"/>
  <c r="L38" i="4"/>
  <c r="J38" i="4"/>
  <c r="O37" i="4"/>
  <c r="N37" i="4"/>
  <c r="M37" i="4"/>
  <c r="L37" i="4"/>
  <c r="J37" i="4"/>
  <c r="O36" i="4"/>
  <c r="N36" i="4"/>
  <c r="M36" i="4"/>
  <c r="L36" i="4"/>
  <c r="J36" i="4"/>
  <c r="O35" i="4"/>
  <c r="N35" i="4"/>
  <c r="M35" i="4"/>
  <c r="L35" i="4"/>
  <c r="J35" i="4"/>
  <c r="O34" i="4"/>
  <c r="N34" i="4"/>
  <c r="M34" i="4"/>
  <c r="L34" i="4"/>
  <c r="J34" i="4"/>
  <c r="O33" i="4"/>
  <c r="N33" i="4"/>
  <c r="M33" i="4"/>
  <c r="L33" i="4"/>
  <c r="J33" i="4"/>
  <c r="O32" i="4"/>
  <c r="N32" i="4"/>
  <c r="M32" i="4"/>
  <c r="L32" i="4"/>
  <c r="J32" i="4"/>
  <c r="O31" i="4"/>
  <c r="N31" i="4"/>
  <c r="M31" i="4"/>
  <c r="L31" i="4"/>
  <c r="J31" i="4"/>
  <c r="O30" i="4"/>
  <c r="N30" i="4"/>
  <c r="M30" i="4"/>
  <c r="L30" i="4"/>
  <c r="J30" i="4"/>
  <c r="O29" i="4"/>
  <c r="N29" i="4"/>
  <c r="M29" i="4"/>
  <c r="L29" i="4"/>
  <c r="J29" i="4"/>
  <c r="O28" i="4"/>
  <c r="N28" i="4"/>
  <c r="M28" i="4"/>
  <c r="L28" i="4"/>
  <c r="J28" i="4"/>
  <c r="O27" i="4"/>
  <c r="N27" i="4"/>
  <c r="M27" i="4"/>
  <c r="L27" i="4"/>
  <c r="J27" i="4"/>
  <c r="O26" i="4"/>
  <c r="N26" i="4"/>
  <c r="M26" i="4"/>
  <c r="L26" i="4"/>
  <c r="J26" i="4"/>
  <c r="O25" i="4"/>
  <c r="N25" i="4"/>
  <c r="M25" i="4"/>
  <c r="L25" i="4"/>
  <c r="J25" i="4"/>
  <c r="O24" i="4"/>
  <c r="N24" i="4"/>
  <c r="M24" i="4"/>
  <c r="L24" i="4"/>
  <c r="J24" i="4"/>
  <c r="O23" i="4"/>
  <c r="N23" i="4"/>
  <c r="M23" i="4"/>
  <c r="L23" i="4"/>
  <c r="J23" i="4"/>
  <c r="O22" i="4"/>
  <c r="N22" i="4"/>
  <c r="M22" i="4"/>
  <c r="L22" i="4"/>
  <c r="J22" i="4"/>
  <c r="O21" i="4"/>
  <c r="N21" i="4"/>
  <c r="M21" i="4"/>
  <c r="L21" i="4"/>
  <c r="J21" i="4"/>
  <c r="O20" i="4"/>
  <c r="N20" i="4"/>
  <c r="M20" i="4"/>
  <c r="L20" i="4"/>
  <c r="J20" i="4"/>
  <c r="O19" i="4"/>
  <c r="N19" i="4"/>
  <c r="M19" i="4"/>
  <c r="L19" i="4"/>
  <c r="J19" i="4"/>
  <c r="O18" i="4"/>
  <c r="N18" i="4"/>
  <c r="M18" i="4"/>
  <c r="L18" i="4"/>
  <c r="J18" i="4"/>
  <c r="O17" i="4"/>
  <c r="N17" i="4"/>
  <c r="M17" i="4"/>
  <c r="L17" i="4"/>
  <c r="J17" i="4"/>
  <c r="O16" i="4"/>
  <c r="N16" i="4"/>
  <c r="M16" i="4"/>
  <c r="L16" i="4"/>
  <c r="J16" i="4"/>
  <c r="O15" i="4"/>
  <c r="N15" i="4"/>
  <c r="M15" i="4"/>
  <c r="L15" i="4"/>
  <c r="J15" i="4"/>
  <c r="O14" i="4"/>
  <c r="N14" i="4"/>
  <c r="M14" i="4"/>
  <c r="L14" i="4"/>
  <c r="J14" i="4"/>
  <c r="O13" i="4"/>
  <c r="N13" i="4"/>
  <c r="M13" i="4"/>
  <c r="L13" i="4"/>
  <c r="J13" i="4"/>
  <c r="O12" i="4"/>
  <c r="N12" i="4"/>
  <c r="M12" i="4"/>
  <c r="L12" i="4"/>
  <c r="J12" i="4"/>
  <c r="O11" i="4"/>
  <c r="N11" i="4"/>
  <c r="M11" i="4"/>
  <c r="L11" i="4"/>
  <c r="J11" i="4"/>
  <c r="O10" i="4"/>
  <c r="N10" i="4"/>
  <c r="M10" i="4"/>
  <c r="L10" i="4"/>
  <c r="J10" i="4"/>
  <c r="O118" i="4" l="1"/>
  <c r="J14" i="5" s="1"/>
  <c r="N118" i="4"/>
  <c r="I14" i="5" s="1"/>
  <c r="K118" i="4"/>
  <c r="F14" i="5" s="1"/>
  <c r="L118" i="4"/>
  <c r="G14" i="5" s="1"/>
  <c r="M118" i="4"/>
  <c r="H14" i="5" s="1"/>
  <c r="J118" i="4"/>
  <c r="E14" i="5" s="1"/>
  <c r="F23" i="5" l="1"/>
  <c r="F20" i="5"/>
  <c r="F22" i="5"/>
  <c r="F18" i="5"/>
  <c r="F21" i="5"/>
  <c r="F19" i="5"/>
  <c r="E21" i="5" l="1"/>
  <c r="E22" i="5"/>
  <c r="E18" i="5"/>
  <c r="E23" i="5"/>
  <c r="E19" i="5"/>
  <c r="E20" i="5"/>
  <c r="I23" i="5" l="1"/>
  <c r="J23" i="5" s="1"/>
  <c r="I18" i="5"/>
  <c r="G34" i="5" s="1"/>
  <c r="C40" i="5" s="1"/>
  <c r="I19" i="5"/>
  <c r="G36" i="5" s="1"/>
  <c r="I21" i="5"/>
  <c r="J21" i="5" s="1"/>
  <c r="I22" i="5"/>
  <c r="J22" i="5" s="1"/>
  <c r="I20" i="5"/>
  <c r="C45" i="5" l="1"/>
  <c r="G38" i="5"/>
  <c r="J20" i="5"/>
  <c r="H36" i="5"/>
  <c r="F39" i="5"/>
  <c r="J18" i="5"/>
  <c r="G35" i="5" s="1"/>
  <c r="J1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G38" authorId="0" shapeId="0" xr:uid="{717C073C-227C-4B57-813C-518205D57DBD}">
      <text>
        <r>
          <rPr>
            <sz val="9"/>
            <color indexed="81"/>
            <rFont val="Tahoma"/>
            <family val="2"/>
          </rPr>
          <t>Semakin konsisten, indentitas karir lebih stabil dan mature</t>
        </r>
      </text>
    </comment>
  </commentList>
</comments>
</file>

<file path=xl/sharedStrings.xml><?xml version="1.0" encoding="utf-8"?>
<sst xmlns="http://schemas.openxmlformats.org/spreadsheetml/2006/main" count="467" uniqueCount="301">
  <si>
    <t>Suka memperbaiki alat-alat listrik</t>
  </si>
  <si>
    <t>Suka membuat catatan pengeluaran yang terperinci</t>
  </si>
  <si>
    <t>Suka memperbaiki motor</t>
  </si>
  <si>
    <t>Menyukai memperbaiki peralatan mekanik</t>
  </si>
  <si>
    <t>Suka menggunakan perkakas bengkel dan mesin</t>
  </si>
  <si>
    <t>Mampu membuat gambar dengan skala</t>
  </si>
  <si>
    <t>Mampu melakukan perbaikan kecil pada pipa air, kran, dan lain-lain</t>
  </si>
  <si>
    <t>Tertarik menjadi pengawas konstruksi bangunan</t>
  </si>
  <si>
    <t>Mampu mengatur pekerjaan orang lain</t>
  </si>
  <si>
    <t>Mampu mengelola usaha kecil</t>
  </si>
  <si>
    <t>Mampu menjadi seorang pembicara di depan umum yang baik</t>
  </si>
  <si>
    <t>Suka menjual suatu barang</t>
  </si>
  <si>
    <t>Tertarik menjadi konselor masalah pribadi</t>
  </si>
  <si>
    <t>Mampu menarik perhatian orang untuk menceritakan masalah mereka</t>
  </si>
  <si>
    <t>Mampu mengajar orang dewasa dengan mudah</t>
  </si>
  <si>
    <t>Mampu mengajar anak-anak dengan mudah</t>
  </si>
  <si>
    <t>Mampu memimpin diskusi kelompok</t>
  </si>
  <si>
    <t>Suka menjaga / mengurus mengawasi anak-anak</t>
  </si>
  <si>
    <t>Tertarik menjadi aktor/ aktris</t>
  </si>
  <si>
    <t>Mampu memainkan alat musik</t>
  </si>
  <si>
    <t>Tertarik menjadi ilmuwan peneliti</t>
  </si>
  <si>
    <t>Tertarik menjadi ahli teknisi laboratorium medis</t>
  </si>
  <si>
    <t>Tertarik menjadi ahli biologi/ hayati</t>
  </si>
  <si>
    <t>Mampu memprogram komputer untuk mempelajari masalah ilmiah</t>
  </si>
  <si>
    <t>Mampu melakukan percobaan atau penelitian ilmiah</t>
  </si>
  <si>
    <t>Suka menerapkan matematika dalam masalah praktis</t>
  </si>
  <si>
    <t>Suka membaca mengenai topik-topik khusus atas keinginan sendiri</t>
  </si>
  <si>
    <t>Suka mempelajari teori ilmiah</t>
  </si>
  <si>
    <t>Suka mengerjakan proyek ilmiah</t>
  </si>
  <si>
    <t>R1</t>
  </si>
  <si>
    <t>R2</t>
  </si>
  <si>
    <t>R3</t>
  </si>
  <si>
    <t>R4</t>
  </si>
  <si>
    <t>R5</t>
  </si>
  <si>
    <t>R6</t>
  </si>
  <si>
    <t>R7</t>
  </si>
  <si>
    <t>R8</t>
  </si>
  <si>
    <t>R9</t>
  </si>
  <si>
    <t>R10</t>
  </si>
  <si>
    <t>R11</t>
  </si>
  <si>
    <t>R12</t>
  </si>
  <si>
    <t>R13</t>
  </si>
  <si>
    <t>R14</t>
  </si>
  <si>
    <t>R15</t>
  </si>
  <si>
    <t>R16</t>
  </si>
  <si>
    <t>R17</t>
  </si>
  <si>
    <t>R18</t>
  </si>
  <si>
    <t>I1</t>
  </si>
  <si>
    <t>I2</t>
  </si>
  <si>
    <t>I3</t>
  </si>
  <si>
    <t>I4</t>
  </si>
  <si>
    <t>I5</t>
  </si>
  <si>
    <t>I6</t>
  </si>
  <si>
    <t>I7</t>
  </si>
  <si>
    <t>I8</t>
  </si>
  <si>
    <t>I9</t>
  </si>
  <si>
    <t>I10</t>
  </si>
  <si>
    <t>I11</t>
  </si>
  <si>
    <t>I12</t>
  </si>
  <si>
    <t>I13</t>
  </si>
  <si>
    <t>I14</t>
  </si>
  <si>
    <t>I15</t>
  </si>
  <si>
    <t>I16</t>
  </si>
  <si>
    <t>I17</t>
  </si>
  <si>
    <t>I18</t>
  </si>
  <si>
    <t>A1</t>
  </si>
  <si>
    <t>A2</t>
  </si>
  <si>
    <t>A3</t>
  </si>
  <si>
    <t>A4</t>
  </si>
  <si>
    <t>A5</t>
  </si>
  <si>
    <t>A6</t>
  </si>
  <si>
    <t>A7</t>
  </si>
  <si>
    <t>A8</t>
  </si>
  <si>
    <t>A9</t>
  </si>
  <si>
    <t>A10</t>
  </si>
  <si>
    <t>A11</t>
  </si>
  <si>
    <t>A12</t>
  </si>
  <si>
    <t>A13</t>
  </si>
  <si>
    <t>A14</t>
  </si>
  <si>
    <t>A15</t>
  </si>
  <si>
    <t>A16</t>
  </si>
  <si>
    <t>A17</t>
  </si>
  <si>
    <t>A18</t>
  </si>
  <si>
    <t>S1</t>
  </si>
  <si>
    <t>S2</t>
  </si>
  <si>
    <t>S3</t>
  </si>
  <si>
    <t>S4</t>
  </si>
  <si>
    <t>S5</t>
  </si>
  <si>
    <t>S6</t>
  </si>
  <si>
    <t>S7</t>
  </si>
  <si>
    <t>S8</t>
  </si>
  <si>
    <t>S9</t>
  </si>
  <si>
    <t>S10</t>
  </si>
  <si>
    <t>S11</t>
  </si>
  <si>
    <t>S12</t>
  </si>
  <si>
    <t>S13</t>
  </si>
  <si>
    <t>S14</t>
  </si>
  <si>
    <t>S15</t>
  </si>
  <si>
    <t>S16</t>
  </si>
  <si>
    <t>S17</t>
  </si>
  <si>
    <t>S18</t>
  </si>
  <si>
    <t>E1</t>
  </si>
  <si>
    <t>E2</t>
  </si>
  <si>
    <t>E3</t>
  </si>
  <si>
    <t>E4</t>
  </si>
  <si>
    <t>E5</t>
  </si>
  <si>
    <t>E6</t>
  </si>
  <si>
    <t>E7</t>
  </si>
  <si>
    <t>E8</t>
  </si>
  <si>
    <t>E9</t>
  </si>
  <si>
    <t>E10</t>
  </si>
  <si>
    <t>E11</t>
  </si>
  <si>
    <t>E12</t>
  </si>
  <si>
    <t>E13</t>
  </si>
  <si>
    <t>E14</t>
  </si>
  <si>
    <t>E15</t>
  </si>
  <si>
    <t>E16</t>
  </si>
  <si>
    <t>E17</t>
  </si>
  <si>
    <t>E18</t>
  </si>
  <si>
    <t>C1</t>
  </si>
  <si>
    <t>C2</t>
  </si>
  <si>
    <t>C3</t>
  </si>
  <si>
    <t>C4</t>
  </si>
  <si>
    <t>C5</t>
  </si>
  <si>
    <t>C6</t>
  </si>
  <si>
    <t>C7</t>
  </si>
  <si>
    <t>C8</t>
  </si>
  <si>
    <t>C9</t>
  </si>
  <si>
    <t>C10</t>
  </si>
  <si>
    <t>C11</t>
  </si>
  <si>
    <t>C12</t>
  </si>
  <si>
    <t>C13</t>
  </si>
  <si>
    <t>C14</t>
  </si>
  <si>
    <t>C15</t>
  </si>
  <si>
    <t>C16</t>
  </si>
  <si>
    <t>C17</t>
  </si>
  <si>
    <t>C18</t>
  </si>
  <si>
    <t>R</t>
  </si>
  <si>
    <t>A</t>
  </si>
  <si>
    <t>Mampu mencatat dengan cermat pembayaran/ penjualan</t>
  </si>
  <si>
    <t>Tertarik menjadi konselor kejuruan dan pekerjaan</t>
  </si>
  <si>
    <t>Mampu mengetahui bagaimana menjadi pemimpin yang baik/ berhasil</t>
  </si>
  <si>
    <t>Tertarik menjadi insinyur otomotif</t>
  </si>
  <si>
    <t>Bisa mempengaruhi dan membujuk orang lain</t>
  </si>
  <si>
    <t>Suka membuat lukisan/ foto orang</t>
  </si>
  <si>
    <t>Suka memimpin kelompok dalam meraih tujuan tertentu</t>
  </si>
  <si>
    <t>Suka menyusun sistem pengarsipan</t>
  </si>
  <si>
    <t>Suka membuat daftar inventaris dari persediaan/ produk</t>
  </si>
  <si>
    <t>Mampu menghibur dan menemani orang yang lebih tua dari saya</t>
  </si>
  <si>
    <t>Suka membaca buku/ majalah ilmiah</t>
  </si>
  <si>
    <t>Suka membantu orang lain dengan masalah pribadinya</t>
  </si>
  <si>
    <t>Mampu mudah berbicara dengan semua orang</t>
  </si>
  <si>
    <t>Tertarik menjadi pekerja sosial</t>
  </si>
  <si>
    <t>Tertarik menjadi pekerja riset ilmiah</t>
  </si>
  <si>
    <t>Tertarik menjadi penaksir biaya</t>
  </si>
  <si>
    <t>Suka melakukan pekerjaan surat menyurat/ masalah perkantoran</t>
  </si>
  <si>
    <t>Suka merancang perabotan, pakaian atau poster</t>
  </si>
  <si>
    <t>Mampu memengaruhi orang lain supaya melakukan sesuatu dengan caranya</t>
  </si>
  <si>
    <t>Mampu membuat kelompok sosial/ kerja berjalan dengan baik</t>
  </si>
  <si>
    <t>Tertarik menjadi spesialis perikanan/ margasatwa</t>
  </si>
  <si>
    <t>CODE</t>
  </si>
  <si>
    <t>SOAL</t>
  </si>
  <si>
    <t>YA</t>
  </si>
  <si>
    <t>TIDAK</t>
  </si>
  <si>
    <t>S</t>
  </si>
  <si>
    <t>E</t>
  </si>
  <si>
    <t>C</t>
  </si>
  <si>
    <t>x</t>
  </si>
  <si>
    <t>NO</t>
  </si>
  <si>
    <t>Nama</t>
  </si>
  <si>
    <t>Jenis Kelamin</t>
  </si>
  <si>
    <t>:</t>
  </si>
  <si>
    <t>Pendidikan</t>
  </si>
  <si>
    <t>I</t>
  </si>
  <si>
    <t>Realistic</t>
  </si>
  <si>
    <t>Investigative</t>
  </si>
  <si>
    <t>Artistic</t>
  </si>
  <si>
    <t>Social</t>
  </si>
  <si>
    <t>Enterprising</t>
  </si>
  <si>
    <t>Conventional</t>
  </si>
  <si>
    <t>Kombinasi Tipe Minat Tertinggi</t>
  </si>
  <si>
    <t>IA</t>
  </si>
  <si>
    <t>IC</t>
  </si>
  <si>
    <t>AC</t>
  </si>
  <si>
    <t>RE</t>
  </si>
  <si>
    <t>SC</t>
  </si>
  <si>
    <t>RI</t>
  </si>
  <si>
    <t>IS</t>
  </si>
  <si>
    <t>IE</t>
  </si>
  <si>
    <t>RA</t>
  </si>
  <si>
    <t>RS</t>
  </si>
  <si>
    <t>SE</t>
  </si>
  <si>
    <t>EC</t>
  </si>
  <si>
    <t>AS</t>
  </si>
  <si>
    <t>Tanggal Lahir</t>
  </si>
  <si>
    <t>AE</t>
  </si>
  <si>
    <t>RC</t>
  </si>
  <si>
    <t>Laki-laki</t>
  </si>
  <si>
    <t>CA</t>
  </si>
  <si>
    <t>SA</t>
  </si>
  <si>
    <t>CE</t>
  </si>
  <si>
    <t>AI</t>
  </si>
  <si>
    <t>CI</t>
  </si>
  <si>
    <t>EI</t>
  </si>
  <si>
    <t>SI</t>
  </si>
  <si>
    <t>AR</t>
  </si>
  <si>
    <t>ER</t>
  </si>
  <si>
    <t>EA</t>
  </si>
  <si>
    <t>IR</t>
  </si>
  <si>
    <t>SR</t>
  </si>
  <si>
    <t>CS</t>
  </si>
  <si>
    <t>CR</t>
  </si>
  <si>
    <t>ES</t>
  </si>
  <si>
    <t>HOLLAND TEST (RIASEC)</t>
  </si>
  <si>
    <t>REPORT HOLLAND TEST (RIASEC)</t>
  </si>
  <si>
    <t>JAWABAN</t>
  </si>
  <si>
    <t>Suka membuat sketsa, Mendesign atau melukis</t>
  </si>
  <si>
    <t>Mampu melakukan dan menyukai tugas administratif</t>
  </si>
  <si>
    <t>Tidak suka menyatakan perasaan</t>
  </si>
  <si>
    <t>Senang kegiatan fisik</t>
  </si>
  <si>
    <t>Bisa menguasai diri</t>
  </si>
  <si>
    <t>Suka mengutak-atik mesin/alat elektronik</t>
  </si>
  <si>
    <t>Suka kegiatan di luar ruangan</t>
  </si>
  <si>
    <t>Menyusun Sesuatu Atau Merakit Model</t>
  </si>
  <si>
    <t>Suka bekerja menggunakan tangan</t>
  </si>
  <si>
    <t>Suka olahraga</t>
  </si>
  <si>
    <t>Senang mengamati</t>
  </si>
  <si>
    <t>Senang menganalisa dan mengevaluasi</t>
  </si>
  <si>
    <t>Suka kegiatan akademis</t>
  </si>
  <si>
    <t>Suka mengerjakan teka-teki</t>
  </si>
  <si>
    <t>Suka dalam memecahkan soal eksak</t>
  </si>
  <si>
    <t>Senang bekerja di situasi yang bebas</t>
  </si>
  <si>
    <t>Senang mengerjakan kerajinan tangan</t>
  </si>
  <si>
    <t>Bisa mengekspresikan diri secara kreatif</t>
  </si>
  <si>
    <t>Emosional</t>
  </si>
  <si>
    <t>Senang memotret atau videographer</t>
  </si>
  <si>
    <t>Sensitif</t>
  </si>
  <si>
    <t>Mampu bermain dalam drama / berakting</t>
  </si>
  <si>
    <t>Ingin menjadi pemain dalam kelompok musik</t>
  </si>
  <si>
    <t>Bisa menyatakan perasaan dengan jelas</t>
  </si>
  <si>
    <t>Suka bekerja dalam kelompok</t>
  </si>
  <si>
    <t>Suka mendamaikan orang</t>
  </si>
  <si>
    <t>Senang bertemu orang baru</t>
  </si>
  <si>
    <t>Energetik</t>
  </si>
  <si>
    <t>Percaya diri</t>
  </si>
  <si>
    <t>Ambisius dan cenderung berbicara apa adanya (Spontan)</t>
  </si>
  <si>
    <t>Terbuka</t>
  </si>
  <si>
    <t>Tertarik menjadi pembawa acara / MC</t>
  </si>
  <si>
    <t>Efisien dan Terstruktur</t>
  </si>
  <si>
    <t>Penurut</t>
  </si>
  <si>
    <t>Prosedural (Suka mengikuti aturan)</t>
  </si>
  <si>
    <t>Membuat Hari Saya Terstruktur</t>
  </si>
  <si>
    <t>Memperhatikan Detailnya</t>
  </si>
  <si>
    <t>Sering diminta mengumpulkan data</t>
  </si>
  <si>
    <t>Suka menggunakan aplikasi pencatatan keuangan</t>
  </si>
  <si>
    <t>Mampu menyebutkan makanan yang memiliki protein tinggi</t>
  </si>
  <si>
    <t>Tegas</t>
  </si>
  <si>
    <t>Bisa bekerja dengan baik dalam system /aturan</t>
  </si>
  <si>
    <t xml:space="preserve">Senang melatih binatang </t>
  </si>
  <si>
    <t>Kompleks</t>
  </si>
  <si>
    <t>Artistik</t>
  </si>
  <si>
    <t>Bisa menulis karya sastra</t>
  </si>
  <si>
    <t>Rumit</t>
  </si>
  <si>
    <t>Ingin menjadi seniman</t>
  </si>
  <si>
    <t xml:space="preserve">Senang menonton drama </t>
  </si>
  <si>
    <t>Suka melakukan pekerjaan social</t>
  </si>
  <si>
    <t>Ramah</t>
  </si>
  <si>
    <t>Senang Melatih Orang</t>
  </si>
  <si>
    <t>Senang memulai proyek baru</t>
  </si>
  <si>
    <t>Senang petualangan / mengambil resiko</t>
  </si>
  <si>
    <t>Prosedural (Mengikuti aturan)</t>
  </si>
  <si>
    <t>Ingin bekerja dibagian Staff keuangan</t>
  </si>
  <si>
    <t>Contoh Profesi Terkait:</t>
  </si>
  <si>
    <t>Antusias berparisipasi dalam pencarian dana/ amal</t>
  </si>
  <si>
    <t>Suka mengarsip surat dan berkas-berkas lain</t>
  </si>
  <si>
    <t>Pekerjaan</t>
  </si>
  <si>
    <t>Akuntan, Aktuaris, Ahli Statistik, Analis Keuangan, Operator komputer, Pustakawan, Programer Bisnis, Pengarsip, dan pekerjaan yang berhubungan dengan administrasi.</t>
  </si>
  <si>
    <t>Guru, Terapis, Tour Guide, Perawat, Hakim, Konselor, Psikolog, Sejarawan, misionari, Pekerja Sosial, Ahli Patolog Bicara dan pekerjaan lain yang sejenis.</t>
  </si>
  <si>
    <t>Pengacara, Pelobi, Politikus, Pegawai humas, Pelobi, Manajer penjualan, Staf penjualan, perwakilan dagang, dan pekerjaan lain yang sejenis.</t>
  </si>
  <si>
    <t>Atlet, Operator, Pilot, Koki, Mekanik, Polisi, Perawat, Insinyur, pengawas bangunan, Petani, Peternak</t>
  </si>
  <si>
    <t>Deskripsi</t>
  </si>
  <si>
    <t>Kode</t>
  </si>
  <si>
    <t>Tinggat Konsistensi</t>
  </si>
  <si>
    <t>Tinggi</t>
  </si>
  <si>
    <t>Sedang</t>
  </si>
  <si>
    <t>Rendah</t>
  </si>
  <si>
    <t>Konsistensi :</t>
  </si>
  <si>
    <t>Ahli antropologi, astronomi, biologi, botani, kimia, editor penerbitan ilmiah, geologi, pekerjaan penelitian, dan pekerjaan lain yang sejenis</t>
  </si>
  <si>
    <t>Desainer, Penulis, Musisi, Arsitek, Wartawan, Penari, Translator, Artis dan pekerjaan lain yang sejenis.</t>
  </si>
  <si>
    <t>Orang dengan minat Realistis menyukai pekerjaan yang mencakup masalah dan jawaban praktis dan langsung. Menyukai kegiatan yang melibatkan keterampilan motorik, peralatan, mesin Seringkali orang dengan minat Realistis tidak menyukai karier yang melibatkan dokumen atau bekerja sama dengan orang lain.</t>
  </si>
  <si>
    <t>Orang dengan minat  Enterprising  menghasilkan preferensi yang mendorong individu untuk menikmati memanipulasi kegiatan orang lain dalam usahanya mencapai tujuan organisasi atau keuntungan ekonomi. Kecenderungan ini akan mengarah pada kompetensi kepemimpinan, hubungan timbal balik pribadi dan persuasif, tugas yang menitikberatkan kepada kemampuan verbal yang digunakan untuk mengarahkan dan mempengaruhi orang lain. Tetapi mengurangi kompetensi ilmiah.</t>
  </si>
  <si>
    <t>Orang dengan minat  Convensial menghasilkan preferensi yang membawa individu untuk menyenangi aktivitas yang teratur dan sistematis seperti misalnya mengarsipkan sesuatu, mereproduksi material, mencatat data, mengolah data, menyukai pekerjaan yang mengikuti prosedur dan rutinitas yang ditetapkan. Kecenderungan ini me-ngantarkan individu memiliki kompetensi klerikal, menghitung dan kompetensi bisnis. Tapi mengurangi kompetensi artistik.</t>
  </si>
  <si>
    <t xml:space="preserve">Orang dengan minat Artistik menyukai pekerjaan dan aktivitas yang bebas, tidak sistematis, ambisius dalam usahanya memanipulasi material fisik, verbal dan humanistic untuk tujuan menciptakan bentuk-bentuk atau produk-produk seni. Kecenderungan ini mengantarkannya memiliki kompetensi artistik, bahasa, musik, drama, mengarang. Tetapi mengurangi kompetensi dibidang klerikal dan bisnis. </t>
  </si>
  <si>
    <t xml:space="preserve">Orang dengan minat Sosial  menyukai aktivitas yang melibatkan berelasi, berkomunikasi dan mengajar orang.Mereka dilambangkan dengan ketrampilan sosial dan kebutuhan untuk interaksi sosial. Pekerjaannya sering melibatkan membantu atau memberikan layanan kepada orang lain. Tetapi mengurangi kompetensi di bidang teknik dan manual.  </t>
  </si>
  <si>
    <t xml:space="preserve">
Bacalah setiap pernyataan di bawah ini. Jika Anda setuju dengan pernyataan tersebut, silakan berikan tanda silang "x" dikolom yang tersedia. Tidak ada jawaban yang benar atau salah.</t>
  </si>
  <si>
    <t>Perempuan</t>
  </si>
  <si>
    <t>Orang dengan minat Investigasi menyukai pekerjaan yang berkaitan dengan ide dan pemikiran. memilih kegiatan penyelidikan yang observasional, simbolis, sistematis dan kreatif atas fenomena fisik, biologis dan kultural dalam usahanya untuk mengerti dan mengendalikan fenomena tersebut.  Mereka berprestasi terutama dalam bidang akademik dan ilmiah, serta biasanya kurang menyukai aktivitas fisik atau memimpin orang.</t>
  </si>
  <si>
    <t>Interpretasi  Umum:</t>
  </si>
  <si>
    <t>Skor Jawaban:</t>
  </si>
  <si>
    <t>S1 - Akuntansi</t>
  </si>
  <si>
    <t>Dina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</si>
</sst>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b/>
      <sz val="16"/>
      <color theme="0"/>
      <name val="Cambria"/>
      <family val="1"/>
    </font>
    <font>
      <sz val="11"/>
      <color theme="1"/>
      <name val="Trebuchet MS"/>
      <family val="2"/>
    </font>
    <font>
      <sz val="10"/>
      <color theme="1"/>
      <name val="Trebuchet MS"/>
      <family val="2"/>
    </font>
    <font>
      <b/>
      <sz val="11"/>
      <color theme="1"/>
      <name val="Cambria"/>
      <family val="1"/>
    </font>
    <font>
      <b/>
      <sz val="14"/>
      <color theme="1"/>
      <name val="Cambria"/>
      <family val="1"/>
    </font>
    <font>
      <b/>
      <sz val="12"/>
      <color theme="1"/>
      <name val="Cambria"/>
      <family val="1"/>
    </font>
    <font>
      <sz val="11"/>
      <color theme="1"/>
      <name val="Cambria"/>
      <family val="1"/>
    </font>
    <font>
      <sz val="8"/>
      <color theme="0"/>
      <name val="Cambria"/>
      <family val="1"/>
    </font>
    <font>
      <sz val="11"/>
      <color theme="0"/>
      <name val="Calibri"/>
      <family val="2"/>
      <scheme val="minor"/>
    </font>
    <font>
      <i/>
      <sz val="11"/>
      <color theme="1"/>
      <name val="Calibri"/>
      <family val="2"/>
      <scheme val="minor"/>
    </font>
    <font>
      <i/>
      <sz val="11"/>
      <name val="Calibri"/>
      <family val="2"/>
      <scheme val="minor"/>
    </font>
    <font>
      <b/>
      <sz val="12"/>
      <color theme="1"/>
      <name val="Trebuchet MS"/>
      <family val="2"/>
    </font>
    <font>
      <sz val="12"/>
      <color theme="1"/>
      <name val="Trebuchet MS"/>
      <family val="2"/>
    </font>
    <font>
      <b/>
      <sz val="18"/>
      <color theme="0"/>
      <name val="Cambria"/>
      <family val="1"/>
    </font>
    <font>
      <b/>
      <sz val="13"/>
      <color theme="0"/>
      <name val="Calibri"/>
      <family val="2"/>
      <scheme val="minor"/>
    </font>
    <font>
      <sz val="12"/>
      <color rgb="FFC00000"/>
      <name val="Calibri"/>
      <family val="2"/>
      <scheme val="minor"/>
    </font>
    <font>
      <b/>
      <sz val="11"/>
      <color theme="1"/>
      <name val="Calibri"/>
      <family val="2"/>
      <scheme val="minor"/>
    </font>
    <font>
      <sz val="9"/>
      <color indexed="81"/>
      <name val="Tahoma"/>
      <family val="2"/>
    </font>
    <font>
      <i/>
      <sz val="12"/>
      <color theme="1"/>
      <name val="Trebuchet MS"/>
      <family val="2"/>
    </font>
    <font>
      <sz val="2"/>
      <color theme="0"/>
      <name val="Trebuchet MS"/>
      <family val="2"/>
    </font>
  </fonts>
  <fills count="9">
    <fill>
      <patternFill patternType="none"/>
    </fill>
    <fill>
      <patternFill patternType="gray125"/>
    </fill>
    <fill>
      <patternFill patternType="solid">
        <fgColor rgb="FFFDE49C"/>
        <bgColor indexed="64"/>
      </patternFill>
    </fill>
    <fill>
      <patternFill patternType="solid">
        <fgColor theme="0"/>
        <bgColor indexed="64"/>
      </patternFill>
    </fill>
    <fill>
      <patternFill patternType="solid">
        <fgColor rgb="FFFEA82F"/>
        <bgColor indexed="64"/>
      </patternFill>
    </fill>
    <fill>
      <patternFill patternType="solid">
        <fgColor theme="7" tint="0.59999389629810485"/>
        <bgColor indexed="64"/>
      </patternFill>
    </fill>
    <fill>
      <patternFill patternType="solid">
        <fgColor rgb="FFD12929"/>
        <bgColor indexed="64"/>
      </patternFill>
    </fill>
    <fill>
      <patternFill patternType="solid">
        <fgColor rgb="FFFFC288"/>
        <bgColor indexed="64"/>
      </patternFill>
    </fill>
    <fill>
      <patternFill patternType="solid">
        <fgColor theme="0" tint="-4.9989318521683403E-2"/>
        <bgColor indexed="64"/>
      </patternFill>
    </fill>
  </fills>
  <borders count="26">
    <border>
      <left/>
      <right/>
      <top/>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75">
    <xf numFmtId="0" fontId="0" fillId="0" borderId="0" xfId="0"/>
    <xf numFmtId="0" fontId="1" fillId="0" borderId="0" xfId="0" applyFont="1"/>
    <xf numFmtId="0" fontId="2" fillId="0" borderId="0" xfId="0" applyFont="1" applyAlignment="1">
      <alignment horizontal="center" vertical="center"/>
    </xf>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Fill="1" applyBorder="1"/>
    <xf numFmtId="0" fontId="5" fillId="0" borderId="5" xfId="0" applyFont="1" applyBorder="1"/>
    <xf numFmtId="0" fontId="6" fillId="0" borderId="0" xfId="0" applyFont="1" applyBorder="1"/>
    <xf numFmtId="0" fontId="8" fillId="0" borderId="0" xfId="0" applyFont="1" applyBorder="1"/>
    <xf numFmtId="0" fontId="9" fillId="0" borderId="0" xfId="0" applyFont="1" applyBorder="1"/>
    <xf numFmtId="0" fontId="7" fillId="2" borderId="10" xfId="0" applyFont="1" applyFill="1" applyBorder="1" applyAlignment="1">
      <alignment horizontal="center" vertical="center"/>
    </xf>
    <xf numFmtId="0" fontId="11" fillId="3" borderId="10" xfId="0" applyFont="1" applyFill="1" applyBorder="1" applyAlignment="1">
      <alignment horizontal="center" vertical="center"/>
    </xf>
    <xf numFmtId="0" fontId="10" fillId="0" borderId="9" xfId="0" applyFont="1" applyBorder="1" applyAlignment="1">
      <alignment horizontal="center" vertical="center"/>
    </xf>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0" xfId="0" applyFill="1" applyBorder="1"/>
    <xf numFmtId="0" fontId="0" fillId="0" borderId="0" xfId="0" applyAlignment="1">
      <alignment wrapText="1"/>
    </xf>
    <xf numFmtId="0" fontId="12" fillId="0" borderId="0" xfId="0" applyFont="1" applyBorder="1"/>
    <xf numFmtId="0" fontId="15" fillId="0" borderId="0" xfId="0" applyFont="1" applyAlignment="1">
      <alignment horizontal="center" vertical="center"/>
    </xf>
    <xf numFmtId="0" fontId="16" fillId="0" borderId="0" xfId="0" applyFont="1"/>
    <xf numFmtId="0" fontId="1" fillId="0" borderId="14" xfId="0" applyFont="1" applyBorder="1"/>
    <xf numFmtId="0" fontId="1" fillId="0" borderId="16" xfId="0" applyFont="1" applyBorder="1"/>
    <xf numFmtId="0" fontId="1" fillId="0" borderId="17" xfId="0" applyFont="1" applyBorder="1"/>
    <xf numFmtId="0" fontId="1" fillId="0" borderId="18" xfId="0" applyFont="1" applyBorder="1"/>
    <xf numFmtId="0" fontId="16" fillId="0" borderId="0" xfId="0" applyFont="1" applyBorder="1"/>
    <xf numFmtId="0" fontId="1" fillId="0" borderId="21" xfId="0" applyFont="1" applyBorder="1"/>
    <xf numFmtId="0" fontId="1" fillId="0" borderId="22" xfId="0" applyFont="1" applyBorder="1"/>
    <xf numFmtId="0" fontId="15" fillId="5" borderId="15" xfId="0" applyFont="1" applyFill="1" applyBorder="1" applyAlignment="1">
      <alignment horizontal="center" vertical="center"/>
    </xf>
    <xf numFmtId="0" fontId="16" fillId="0" borderId="15" xfId="0" applyFont="1" applyBorder="1" applyAlignment="1">
      <alignment horizontal="center" vertical="center"/>
    </xf>
    <xf numFmtId="0" fontId="19" fillId="0" borderId="0" xfId="0" applyFont="1"/>
    <xf numFmtId="0" fontId="1" fillId="0" borderId="0" xfId="0" applyFont="1" applyAlignment="1">
      <alignment horizontal="center" vertical="center"/>
    </xf>
    <xf numFmtId="0" fontId="0" fillId="0" borderId="0" xfId="0" applyAlignment="1"/>
    <xf numFmtId="0" fontId="20" fillId="0" borderId="0" xfId="0" applyFont="1" applyBorder="1"/>
    <xf numFmtId="0" fontId="16" fillId="0" borderId="15" xfId="0" applyFont="1" applyBorder="1" applyAlignment="1" applyProtection="1">
      <alignment horizontal="center" vertical="center"/>
      <protection locked="0"/>
    </xf>
    <xf numFmtId="0" fontId="16" fillId="0" borderId="15" xfId="0" applyFont="1" applyBorder="1" applyAlignment="1" applyProtection="1">
      <alignment horizontal="center"/>
      <protection locked="0"/>
    </xf>
    <xf numFmtId="0" fontId="16" fillId="0" borderId="19" xfId="0" applyFont="1" applyBorder="1"/>
    <xf numFmtId="0" fontId="16" fillId="0" borderId="14" xfId="0" applyFont="1" applyBorder="1" applyAlignment="1" applyProtection="1">
      <alignment horizontal="left" vertical="center"/>
      <protection locked="0"/>
    </xf>
    <xf numFmtId="0" fontId="16" fillId="0" borderId="20" xfId="0" applyFont="1" applyBorder="1"/>
    <xf numFmtId="14" fontId="16" fillId="0" borderId="14" xfId="0" applyNumberFormat="1" applyFont="1" applyBorder="1" applyAlignment="1" applyProtection="1">
      <alignment horizontal="left" vertical="center"/>
      <protection locked="0"/>
    </xf>
    <xf numFmtId="0" fontId="23" fillId="0" borderId="20" xfId="0" applyFont="1" applyBorder="1"/>
    <xf numFmtId="0" fontId="12" fillId="0" borderId="0" xfId="0" applyFont="1"/>
    <xf numFmtId="0" fontId="17" fillId="4" borderId="1" xfId="0" applyFont="1" applyFill="1" applyBorder="1" applyAlignment="1">
      <alignment horizontal="center" vertical="center"/>
    </xf>
    <xf numFmtId="0" fontId="17" fillId="4" borderId="2" xfId="0" applyFont="1" applyFill="1" applyBorder="1" applyAlignment="1">
      <alignment horizontal="center" vertical="center"/>
    </xf>
    <xf numFmtId="0" fontId="15" fillId="5" borderId="15" xfId="0" applyFont="1" applyFill="1" applyBorder="1" applyAlignment="1">
      <alignment horizontal="center" vertical="center"/>
    </xf>
    <xf numFmtId="0" fontId="16" fillId="0" borderId="15" xfId="0" applyFont="1" applyBorder="1" applyAlignment="1">
      <alignment horizontal="left"/>
    </xf>
    <xf numFmtId="0" fontId="22" fillId="0" borderId="19" xfId="0" applyFont="1" applyBorder="1" applyAlignment="1">
      <alignment horizontal="left" wrapText="1"/>
    </xf>
    <xf numFmtId="0" fontId="22" fillId="0" borderId="0" xfId="0" applyFont="1" applyBorder="1" applyAlignment="1">
      <alignment horizontal="left" wrapText="1"/>
    </xf>
    <xf numFmtId="0" fontId="22" fillId="0" borderId="20" xfId="0" applyFont="1" applyBorder="1" applyAlignment="1">
      <alignment horizontal="left" wrapText="1"/>
    </xf>
    <xf numFmtId="0" fontId="16" fillId="0" borderId="23" xfId="0" applyFont="1" applyBorder="1" applyAlignment="1">
      <alignment horizontal="left"/>
    </xf>
    <xf numFmtId="0" fontId="16" fillId="0" borderId="24" xfId="0" applyFont="1" applyBorder="1" applyAlignment="1">
      <alignment horizontal="left"/>
    </xf>
    <xf numFmtId="0" fontId="16" fillId="0" borderId="25" xfId="0" applyFont="1" applyBorder="1" applyAlignment="1">
      <alignment horizontal="left"/>
    </xf>
    <xf numFmtId="0" fontId="1" fillId="0" borderId="17" xfId="0" applyFont="1" applyBorder="1" applyAlignment="1">
      <alignment horizontal="center"/>
    </xf>
    <xf numFmtId="0" fontId="1" fillId="5" borderId="17" xfId="0" applyFont="1" applyFill="1" applyBorder="1" applyAlignment="1">
      <alignment horizontal="center"/>
    </xf>
    <xf numFmtId="0" fontId="18" fillId="6" borderId="0" xfId="0" applyFont="1" applyFill="1" applyAlignment="1">
      <alignment horizontal="center"/>
    </xf>
    <xf numFmtId="0" fontId="4" fillId="4" borderId="0" xfId="0" applyFont="1" applyFill="1" applyBorder="1" applyAlignment="1">
      <alignment horizontal="center" vertical="center"/>
    </xf>
    <xf numFmtId="0" fontId="7" fillId="0" borderId="0" xfId="0" applyFont="1" applyBorder="1" applyAlignment="1">
      <alignment horizontal="center" vertical="center"/>
    </xf>
    <xf numFmtId="0" fontId="13" fillId="0" borderId="0" xfId="0" applyFont="1" applyBorder="1" applyAlignment="1">
      <alignment horizontal="center"/>
    </xf>
    <xf numFmtId="0" fontId="20" fillId="0" borderId="0" xfId="0" applyFont="1" applyBorder="1" applyAlignment="1">
      <alignment horizontal="center" vertical="center"/>
    </xf>
    <xf numFmtId="0" fontId="14" fillId="8" borderId="11" xfId="0" applyFont="1" applyFill="1" applyBorder="1" applyAlignment="1">
      <alignment horizontal="left" vertical="center" wrapText="1"/>
    </xf>
    <xf numFmtId="0" fontId="14" fillId="8" borderId="12" xfId="0" applyFont="1" applyFill="1" applyBorder="1" applyAlignment="1">
      <alignment horizontal="left" vertical="center" wrapText="1"/>
    </xf>
    <xf numFmtId="0" fontId="14" fillId="8" borderId="13" xfId="0" applyFont="1" applyFill="1" applyBorder="1" applyAlignment="1">
      <alignment horizontal="left" vertical="center" wrapText="1"/>
    </xf>
    <xf numFmtId="0" fontId="13" fillId="8" borderId="11" xfId="0" applyFont="1" applyFill="1" applyBorder="1" applyAlignment="1">
      <alignment horizontal="center" vertical="center" wrapText="1"/>
    </xf>
    <xf numFmtId="0" fontId="13" fillId="8" borderId="12" xfId="0" applyFont="1" applyFill="1" applyBorder="1" applyAlignment="1">
      <alignment horizontal="center" vertical="center" wrapText="1"/>
    </xf>
    <xf numFmtId="0" fontId="13" fillId="8" borderId="13" xfId="0" applyFont="1" applyFill="1" applyBorder="1" applyAlignment="1">
      <alignment horizontal="center" vertical="center" wrapText="1"/>
    </xf>
    <xf numFmtId="0" fontId="8" fillId="4" borderId="0" xfId="0" applyFont="1" applyFill="1" applyBorder="1" applyAlignment="1">
      <alignment horizontal="center" vertical="center"/>
    </xf>
    <xf numFmtId="0" fontId="7" fillId="4" borderId="0" xfId="0" applyFont="1" applyFill="1" applyBorder="1" applyAlignment="1">
      <alignment horizontal="center" vertical="center"/>
    </xf>
    <xf numFmtId="0" fontId="8" fillId="7" borderId="0" xfId="0" applyFont="1" applyFill="1" applyBorder="1" applyAlignment="1">
      <alignment horizontal="center" vertical="center"/>
    </xf>
    <xf numFmtId="0" fontId="8" fillId="2"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DE49C"/>
      <color rgb="FFFFC288"/>
      <color rgb="FFFEA82F"/>
      <color rgb="FFD12929"/>
      <color rgb="FFFCECDD"/>
      <color rgb="FF64C9CF"/>
      <color rgb="FF34BE82"/>
      <color rgb="FFE8E1D9"/>
      <color rgb="FFD9EEEF"/>
      <color rgb="FF1597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radarChart>
        <c:radarStyle val="marker"/>
        <c:varyColors val="0"/>
        <c:ser>
          <c:idx val="0"/>
          <c:order val="0"/>
          <c:spPr>
            <a:ln w="28575" cap="rnd">
              <a:solidFill>
                <a:schemeClr val="accent4"/>
              </a:solidFill>
              <a:round/>
            </a:ln>
            <a:effectLst/>
          </c:spPr>
          <c:marker>
            <c:symbol val="none"/>
          </c:marker>
          <c:cat>
            <c:strRef>
              <c:f>Hasil!$E$13:$J$13</c:f>
              <c:strCache>
                <c:ptCount val="6"/>
                <c:pt idx="0">
                  <c:v>Realistic</c:v>
                </c:pt>
                <c:pt idx="1">
                  <c:v>Investigative</c:v>
                </c:pt>
                <c:pt idx="2">
                  <c:v>Artistic</c:v>
                </c:pt>
                <c:pt idx="3">
                  <c:v>Social</c:v>
                </c:pt>
                <c:pt idx="4">
                  <c:v>Enterprising</c:v>
                </c:pt>
                <c:pt idx="5">
                  <c:v>Conventional</c:v>
                </c:pt>
              </c:strCache>
            </c:strRef>
          </c:cat>
          <c:val>
            <c:numRef>
              <c:f>Hasil!$E$14:$J$14</c:f>
              <c:numCache>
                <c:formatCode>General</c:formatCode>
                <c:ptCount val="6"/>
                <c:pt idx="0">
                  <c:v>4</c:v>
                </c:pt>
                <c:pt idx="1">
                  <c:v>10</c:v>
                </c:pt>
                <c:pt idx="2">
                  <c:v>2</c:v>
                </c:pt>
                <c:pt idx="3">
                  <c:v>1</c:v>
                </c:pt>
                <c:pt idx="4">
                  <c:v>2</c:v>
                </c:pt>
                <c:pt idx="5">
                  <c:v>18</c:v>
                </c:pt>
              </c:numCache>
            </c:numRef>
          </c:val>
          <c:extLst>
            <c:ext xmlns:c16="http://schemas.microsoft.com/office/drawing/2014/chart" uri="{C3380CC4-5D6E-409C-BE32-E72D297353CC}">
              <c16:uniqueId val="{00000000-932C-4B8E-A673-093A08083E9D}"/>
            </c:ext>
          </c:extLst>
        </c:ser>
        <c:dLbls>
          <c:showLegendKey val="0"/>
          <c:showVal val="0"/>
          <c:showCatName val="0"/>
          <c:showSerName val="0"/>
          <c:showPercent val="0"/>
          <c:showBubbleSize val="0"/>
        </c:dLbls>
        <c:axId val="515382272"/>
        <c:axId val="515383584"/>
      </c:radarChart>
      <c:catAx>
        <c:axId val="5153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15383584"/>
        <c:crosses val="autoZero"/>
        <c:auto val="1"/>
        <c:lblAlgn val="ctr"/>
        <c:lblOffset val="100"/>
        <c:noMultiLvlLbl val="0"/>
      </c:catAx>
      <c:valAx>
        <c:axId val="51538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1538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381000</xdr:colOff>
      <xdr:row>16</xdr:row>
      <xdr:rowOff>14287</xdr:rowOff>
    </xdr:from>
    <xdr:to>
      <xdr:col>10</xdr:col>
      <xdr:colOff>209550</xdr:colOff>
      <xdr:row>27</xdr:row>
      <xdr:rowOff>180975</xdr:rowOff>
    </xdr:to>
    <xdr:graphicFrame macro="">
      <xdr:nvGraphicFramePr>
        <xdr:cNvPr id="2" name="Chart 1">
          <a:extLst>
            <a:ext uri="{FF2B5EF4-FFF2-40B4-BE49-F238E27FC236}">
              <a16:creationId xmlns:a16="http://schemas.microsoft.com/office/drawing/2014/main" id="{F1432C0F-F5D9-461D-A774-F93581FFB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9"/>
  <sheetViews>
    <sheetView showGridLines="0" tabSelected="1" topLeftCell="C1" zoomScale="89" zoomScaleNormal="89" workbookViewId="0">
      <selection activeCell="F6" sqref="F6"/>
    </sheetView>
  </sheetViews>
  <sheetFormatPr defaultRowHeight="15.75" x14ac:dyDescent="0.25"/>
  <cols>
    <col min="1" max="1" width="8" style="1" hidden="1" customWidth="1"/>
    <col min="2" max="2" width="4.5703125" style="1" hidden="1" customWidth="1"/>
    <col min="3" max="3" width="4.7109375" style="1" bestFit="1" customWidth="1"/>
    <col min="4" max="4" width="18.85546875" style="1" customWidth="1"/>
    <col min="5" max="5" width="4.42578125" style="1" customWidth="1"/>
    <col min="6" max="6" width="62.42578125" style="1" customWidth="1"/>
    <col min="7" max="7" width="9.28515625" style="1" customWidth="1"/>
    <col min="8" max="8" width="9.5703125" style="1" customWidth="1"/>
    <col min="9" max="9" width="9.140625" style="1" customWidth="1"/>
    <col min="10" max="15" width="9.140625" style="1" hidden="1" customWidth="1"/>
    <col min="16" max="16384" width="9.140625" style="1"/>
  </cols>
  <sheetData>
    <row r="1" spans="1:16" ht="42.75" customHeight="1" x14ac:dyDescent="0.25">
      <c r="C1" s="48" t="s">
        <v>213</v>
      </c>
      <c r="D1" s="49"/>
      <c r="E1" s="49"/>
      <c r="F1" s="49"/>
      <c r="G1" s="49"/>
      <c r="H1" s="49"/>
    </row>
    <row r="2" spans="1:16" x14ac:dyDescent="0.25">
      <c r="C2" s="28"/>
      <c r="D2" s="29"/>
      <c r="E2" s="29"/>
      <c r="F2" s="29"/>
      <c r="G2" s="29"/>
      <c r="H2" s="30"/>
    </row>
    <row r="3" spans="1:16" ht="18" x14ac:dyDescent="0.35">
      <c r="C3" s="42"/>
      <c r="D3" s="31" t="s">
        <v>169</v>
      </c>
      <c r="E3" s="31" t="s">
        <v>171</v>
      </c>
      <c r="F3" s="43" t="s">
        <v>300</v>
      </c>
      <c r="G3" s="31"/>
      <c r="H3" s="44"/>
    </row>
    <row r="4" spans="1:16" ht="18" x14ac:dyDescent="0.35">
      <c r="C4" s="42"/>
      <c r="D4" s="31" t="s">
        <v>170</v>
      </c>
      <c r="E4" s="31" t="s">
        <v>171</v>
      </c>
      <c r="F4" s="43" t="s">
        <v>197</v>
      </c>
      <c r="G4" s="31"/>
      <c r="H4" s="46" t="s">
        <v>197</v>
      </c>
    </row>
    <row r="5" spans="1:16" ht="18" x14ac:dyDescent="0.35">
      <c r="C5" s="42"/>
      <c r="D5" s="31" t="s">
        <v>194</v>
      </c>
      <c r="E5" s="31" t="s">
        <v>171</v>
      </c>
      <c r="F5" s="45">
        <v>32866</v>
      </c>
      <c r="G5" s="31"/>
      <c r="H5" s="46" t="s">
        <v>295</v>
      </c>
    </row>
    <row r="6" spans="1:16" ht="18" x14ac:dyDescent="0.35">
      <c r="C6" s="42"/>
      <c r="D6" s="31" t="s">
        <v>172</v>
      </c>
      <c r="E6" s="31" t="s">
        <v>171</v>
      </c>
      <c r="F6" s="43" t="s">
        <v>299</v>
      </c>
      <c r="G6" s="31"/>
      <c r="H6" s="44"/>
    </row>
    <row r="7" spans="1:16" ht="81.75" customHeight="1" x14ac:dyDescent="0.35">
      <c r="C7" s="52" t="s">
        <v>294</v>
      </c>
      <c r="D7" s="53"/>
      <c r="E7" s="53"/>
      <c r="F7" s="53"/>
      <c r="G7" s="53"/>
      <c r="H7" s="54"/>
    </row>
    <row r="8" spans="1:16" ht="9" customHeight="1" x14ac:dyDescent="0.25">
      <c r="C8" s="32"/>
      <c r="D8" s="27"/>
      <c r="E8" s="27"/>
      <c r="F8" s="27"/>
      <c r="G8" s="27"/>
      <c r="H8" s="33"/>
    </row>
    <row r="9" spans="1:16" ht="24" customHeight="1" x14ac:dyDescent="0.25">
      <c r="A9" s="25" t="s">
        <v>160</v>
      </c>
      <c r="B9" s="25"/>
      <c r="C9" s="34" t="s">
        <v>168</v>
      </c>
      <c r="D9" s="50" t="s">
        <v>161</v>
      </c>
      <c r="E9" s="50"/>
      <c r="F9" s="50"/>
      <c r="G9" s="34" t="s">
        <v>162</v>
      </c>
      <c r="H9" s="34" t="s">
        <v>163</v>
      </c>
      <c r="I9" s="2"/>
      <c r="J9" s="2" t="s">
        <v>137</v>
      </c>
      <c r="K9" s="2" t="s">
        <v>173</v>
      </c>
      <c r="L9" s="2" t="s">
        <v>138</v>
      </c>
      <c r="M9" s="2" t="s">
        <v>164</v>
      </c>
      <c r="N9" s="2" t="s">
        <v>165</v>
      </c>
      <c r="O9" s="2" t="s">
        <v>166</v>
      </c>
    </row>
    <row r="10" spans="1:16" ht="18" x14ac:dyDescent="0.35">
      <c r="A10" s="26" t="s">
        <v>72</v>
      </c>
      <c r="B10" s="26"/>
      <c r="C10" s="35">
        <v>1</v>
      </c>
      <c r="D10" s="51" t="s">
        <v>264</v>
      </c>
      <c r="E10" s="51"/>
      <c r="F10" s="51"/>
      <c r="G10" s="40"/>
      <c r="H10" s="41" t="s">
        <v>167</v>
      </c>
      <c r="J10" s="1">
        <f>IF(AND(LEFT($A10,1)="R",$G10="x"),1,0)</f>
        <v>0</v>
      </c>
      <c r="K10" s="1">
        <f>IF(AND(LEFT($A10,1)="I",$G10="x"),1,0)</f>
        <v>0</v>
      </c>
      <c r="L10" s="1">
        <f>IF(AND(LEFT($A10,1)="A",$G10="x"),1,0)</f>
        <v>0</v>
      </c>
      <c r="M10" s="1">
        <f>IF(AND(LEFT($A10,1)="S",$G10="x"),1,0)</f>
        <v>0</v>
      </c>
      <c r="N10" s="1">
        <f>IF(AND(LEFT($A10,1)="E",$G10="x"),1,0)</f>
        <v>0</v>
      </c>
      <c r="O10" s="1">
        <f>IF(AND(LEFT($A10,1)="C",$G10="x"),1,0)</f>
        <v>0</v>
      </c>
      <c r="P10" s="36" t="str">
        <f>IF(COUNTA(G10:H10)=2,"Pilih Satu Jawaban","")</f>
        <v/>
      </c>
    </row>
    <row r="11" spans="1:16" ht="18" x14ac:dyDescent="0.35">
      <c r="A11" s="26" t="s">
        <v>87</v>
      </c>
      <c r="B11" s="26"/>
      <c r="C11" s="35">
        <v>2</v>
      </c>
      <c r="D11" s="51" t="s">
        <v>267</v>
      </c>
      <c r="E11" s="51"/>
      <c r="F11" s="51"/>
      <c r="G11" s="40"/>
      <c r="H11" s="41" t="s">
        <v>167</v>
      </c>
      <c r="J11" s="1">
        <f t="shared" ref="J11:J74" si="0">IF(AND(LEFT($A11,1)="R",$G11="x"),1,0)</f>
        <v>0</v>
      </c>
      <c r="K11" s="1">
        <f t="shared" ref="K11:K74" si="1">IF(AND(LEFT($A11,1)="I",$G11="x"),1,0)</f>
        <v>0</v>
      </c>
      <c r="L11" s="1">
        <f t="shared" ref="L11:L74" si="2">IF(AND(LEFT($A11,1)="A",$G11="x"),1,0)</f>
        <v>0</v>
      </c>
      <c r="M11" s="1">
        <f t="shared" ref="M11:M74" si="3">IF(AND(LEFT($A11,1)="S",$G11="x"),1,0)</f>
        <v>0</v>
      </c>
      <c r="N11" s="1">
        <f t="shared" ref="N11:N74" si="4">IF(AND(LEFT($A11,1)="E",$G11="x"),1,0)</f>
        <v>0</v>
      </c>
      <c r="O11" s="1">
        <f t="shared" ref="O11:O74" si="5">IF(AND(LEFT($A11,1)="C",$G11="x"),1,0)</f>
        <v>0</v>
      </c>
      <c r="P11" s="36" t="str">
        <f t="shared" ref="P11:P74" si="6">IF(COUNTA(G11:H11)=2,"Pilih Satu Jawaban","")</f>
        <v/>
      </c>
    </row>
    <row r="12" spans="1:16" ht="18" x14ac:dyDescent="0.35">
      <c r="A12" s="26" t="s">
        <v>75</v>
      </c>
      <c r="B12" s="26"/>
      <c r="C12" s="35">
        <v>3</v>
      </c>
      <c r="D12" s="51" t="s">
        <v>237</v>
      </c>
      <c r="E12" s="51"/>
      <c r="F12" s="51"/>
      <c r="G12" s="40"/>
      <c r="H12" s="41" t="s">
        <v>167</v>
      </c>
      <c r="J12" s="1">
        <f t="shared" si="0"/>
        <v>0</v>
      </c>
      <c r="K12" s="1">
        <f t="shared" si="1"/>
        <v>0</v>
      </c>
      <c r="L12" s="1">
        <f t="shared" si="2"/>
        <v>0</v>
      </c>
      <c r="M12" s="1">
        <f t="shared" si="3"/>
        <v>0</v>
      </c>
      <c r="N12" s="1">
        <f t="shared" si="4"/>
        <v>0</v>
      </c>
      <c r="O12" s="1">
        <f t="shared" si="5"/>
        <v>0</v>
      </c>
      <c r="P12" s="36" t="str">
        <f t="shared" si="6"/>
        <v/>
      </c>
    </row>
    <row r="13" spans="1:16" ht="18" x14ac:dyDescent="0.35">
      <c r="A13" s="26" t="s">
        <v>51</v>
      </c>
      <c r="B13" s="26"/>
      <c r="C13" s="35">
        <v>4</v>
      </c>
      <c r="D13" s="51" t="s">
        <v>26</v>
      </c>
      <c r="E13" s="51"/>
      <c r="F13" s="51"/>
      <c r="G13" s="40" t="s">
        <v>167</v>
      </c>
      <c r="H13" s="41"/>
      <c r="J13" s="1">
        <f t="shared" si="0"/>
        <v>0</v>
      </c>
      <c r="K13" s="1">
        <f t="shared" si="1"/>
        <v>1</v>
      </c>
      <c r="L13" s="1">
        <f t="shared" si="2"/>
        <v>0</v>
      </c>
      <c r="M13" s="1">
        <f t="shared" si="3"/>
        <v>0</v>
      </c>
      <c r="N13" s="1">
        <f t="shared" si="4"/>
        <v>0</v>
      </c>
      <c r="O13" s="1">
        <f t="shared" si="5"/>
        <v>0</v>
      </c>
      <c r="P13" s="36" t="str">
        <f t="shared" si="6"/>
        <v/>
      </c>
    </row>
    <row r="14" spans="1:16" ht="18" x14ac:dyDescent="0.35">
      <c r="A14" s="26" t="s">
        <v>53</v>
      </c>
      <c r="B14" s="26"/>
      <c r="C14" s="35">
        <v>5</v>
      </c>
      <c r="D14" s="51" t="s">
        <v>24</v>
      </c>
      <c r="E14" s="51"/>
      <c r="F14" s="51"/>
      <c r="G14" s="40" t="s">
        <v>167</v>
      </c>
      <c r="H14" s="41"/>
      <c r="J14" s="1">
        <f t="shared" si="0"/>
        <v>0</v>
      </c>
      <c r="K14" s="1">
        <f t="shared" si="1"/>
        <v>1</v>
      </c>
      <c r="L14" s="1">
        <f t="shared" si="2"/>
        <v>0</v>
      </c>
      <c r="M14" s="1">
        <f t="shared" si="3"/>
        <v>0</v>
      </c>
      <c r="N14" s="1">
        <f t="shared" si="4"/>
        <v>0</v>
      </c>
      <c r="O14" s="1">
        <f t="shared" si="5"/>
        <v>0</v>
      </c>
      <c r="P14" s="36" t="str">
        <f t="shared" si="6"/>
        <v/>
      </c>
    </row>
    <row r="15" spans="1:16" ht="18" x14ac:dyDescent="0.35">
      <c r="A15" s="26" t="s">
        <v>79</v>
      </c>
      <c r="B15" s="26"/>
      <c r="C15" s="35">
        <v>6</v>
      </c>
      <c r="D15" s="51" t="s">
        <v>260</v>
      </c>
      <c r="E15" s="51"/>
      <c r="F15" s="51"/>
      <c r="G15" s="40"/>
      <c r="H15" s="41" t="s">
        <v>167</v>
      </c>
      <c r="J15" s="1">
        <f t="shared" si="0"/>
        <v>0</v>
      </c>
      <c r="K15" s="1">
        <f t="shared" si="1"/>
        <v>0</v>
      </c>
      <c r="L15" s="1">
        <f t="shared" si="2"/>
        <v>0</v>
      </c>
      <c r="M15" s="1">
        <f t="shared" si="3"/>
        <v>0</v>
      </c>
      <c r="N15" s="1">
        <f t="shared" si="4"/>
        <v>0</v>
      </c>
      <c r="O15" s="1">
        <f t="shared" si="5"/>
        <v>0</v>
      </c>
      <c r="P15" s="36" t="str">
        <f t="shared" si="6"/>
        <v/>
      </c>
    </row>
    <row r="16" spans="1:16" ht="18" x14ac:dyDescent="0.35">
      <c r="A16" s="26" t="s">
        <v>54</v>
      </c>
      <c r="B16" s="26"/>
      <c r="C16" s="35">
        <v>7</v>
      </c>
      <c r="D16" s="51" t="s">
        <v>23</v>
      </c>
      <c r="E16" s="51"/>
      <c r="F16" s="51"/>
      <c r="G16" s="40" t="s">
        <v>167</v>
      </c>
      <c r="H16" s="41"/>
      <c r="J16" s="1">
        <f t="shared" si="0"/>
        <v>0</v>
      </c>
      <c r="K16" s="1">
        <f t="shared" si="1"/>
        <v>1</v>
      </c>
      <c r="L16" s="1">
        <f t="shared" si="2"/>
        <v>0</v>
      </c>
      <c r="M16" s="1">
        <f t="shared" si="3"/>
        <v>0</v>
      </c>
      <c r="N16" s="1">
        <f t="shared" si="4"/>
        <v>0</v>
      </c>
      <c r="O16" s="1">
        <f t="shared" si="5"/>
        <v>0</v>
      </c>
      <c r="P16" s="36" t="str">
        <f t="shared" si="6"/>
        <v/>
      </c>
    </row>
    <row r="17" spans="1:16" ht="18" x14ac:dyDescent="0.35">
      <c r="A17" s="26" t="s">
        <v>43</v>
      </c>
      <c r="B17" s="26"/>
      <c r="C17" s="35">
        <v>8</v>
      </c>
      <c r="D17" s="51" t="s">
        <v>7</v>
      </c>
      <c r="E17" s="51"/>
      <c r="F17" s="51"/>
      <c r="G17" s="40"/>
      <c r="H17" s="41" t="s">
        <v>167</v>
      </c>
      <c r="J17" s="1">
        <f t="shared" si="0"/>
        <v>0</v>
      </c>
      <c r="K17" s="1">
        <f t="shared" si="1"/>
        <v>0</v>
      </c>
      <c r="L17" s="1">
        <f t="shared" si="2"/>
        <v>0</v>
      </c>
      <c r="M17" s="1">
        <f t="shared" si="3"/>
        <v>0</v>
      </c>
      <c r="N17" s="1">
        <f t="shared" si="4"/>
        <v>0</v>
      </c>
      <c r="O17" s="1">
        <f t="shared" si="5"/>
        <v>0</v>
      </c>
      <c r="P17" s="36" t="str">
        <f t="shared" si="6"/>
        <v/>
      </c>
    </row>
    <row r="18" spans="1:16" ht="18" x14ac:dyDescent="0.35">
      <c r="A18" s="26" t="s">
        <v>61</v>
      </c>
      <c r="B18" s="26"/>
      <c r="C18" s="35">
        <v>9</v>
      </c>
      <c r="D18" s="51" t="s">
        <v>230</v>
      </c>
      <c r="E18" s="51"/>
      <c r="F18" s="51"/>
      <c r="G18" s="40" t="s">
        <v>167</v>
      </c>
      <c r="H18" s="41"/>
      <c r="J18" s="1">
        <f t="shared" si="0"/>
        <v>0</v>
      </c>
      <c r="K18" s="1">
        <f t="shared" si="1"/>
        <v>1</v>
      </c>
      <c r="L18" s="1">
        <f t="shared" si="2"/>
        <v>0</v>
      </c>
      <c r="M18" s="1">
        <f t="shared" si="3"/>
        <v>0</v>
      </c>
      <c r="N18" s="1">
        <f t="shared" si="4"/>
        <v>0</v>
      </c>
      <c r="O18" s="1">
        <f t="shared" si="5"/>
        <v>0</v>
      </c>
      <c r="P18" s="36" t="str">
        <f t="shared" si="6"/>
        <v/>
      </c>
    </row>
    <row r="19" spans="1:16" ht="18" x14ac:dyDescent="0.35">
      <c r="A19" s="26" t="s">
        <v>129</v>
      </c>
      <c r="B19" s="26"/>
      <c r="C19" s="35">
        <v>10</v>
      </c>
      <c r="D19" s="51" t="s">
        <v>217</v>
      </c>
      <c r="E19" s="51"/>
      <c r="F19" s="51"/>
      <c r="G19" s="40" t="s">
        <v>167</v>
      </c>
      <c r="H19" s="41"/>
      <c r="J19" s="1">
        <f t="shared" si="0"/>
        <v>0</v>
      </c>
      <c r="K19" s="1">
        <f t="shared" si="1"/>
        <v>0</v>
      </c>
      <c r="L19" s="1">
        <f t="shared" si="2"/>
        <v>0</v>
      </c>
      <c r="M19" s="1">
        <f t="shared" si="3"/>
        <v>0</v>
      </c>
      <c r="N19" s="1">
        <f t="shared" si="4"/>
        <v>0</v>
      </c>
      <c r="O19" s="1">
        <f t="shared" si="5"/>
        <v>1</v>
      </c>
      <c r="P19" s="36" t="str">
        <f t="shared" si="6"/>
        <v/>
      </c>
    </row>
    <row r="20" spans="1:16" ht="18" x14ac:dyDescent="0.35">
      <c r="A20" s="26" t="s">
        <v>101</v>
      </c>
      <c r="B20" s="26"/>
      <c r="C20" s="35">
        <v>11</v>
      </c>
      <c r="D20" s="51" t="s">
        <v>143</v>
      </c>
      <c r="E20" s="51"/>
      <c r="F20" s="51"/>
      <c r="G20" s="40"/>
      <c r="H20" s="41" t="s">
        <v>167</v>
      </c>
      <c r="J20" s="1">
        <f t="shared" si="0"/>
        <v>0</v>
      </c>
      <c r="K20" s="1">
        <f t="shared" si="1"/>
        <v>0</v>
      </c>
      <c r="L20" s="1">
        <f t="shared" si="2"/>
        <v>0</v>
      </c>
      <c r="M20" s="1">
        <f t="shared" si="3"/>
        <v>0</v>
      </c>
      <c r="N20" s="1">
        <f t="shared" si="4"/>
        <v>0</v>
      </c>
      <c r="O20" s="1">
        <f t="shared" si="5"/>
        <v>0</v>
      </c>
      <c r="P20" s="36" t="str">
        <f t="shared" si="6"/>
        <v/>
      </c>
    </row>
    <row r="21" spans="1:16" ht="18" x14ac:dyDescent="0.35">
      <c r="A21" s="26" t="s">
        <v>127</v>
      </c>
      <c r="B21" s="26"/>
      <c r="C21" s="35">
        <v>12</v>
      </c>
      <c r="D21" s="51" t="s">
        <v>270</v>
      </c>
      <c r="E21" s="51"/>
      <c r="F21" s="51"/>
      <c r="G21" s="40" t="s">
        <v>167</v>
      </c>
      <c r="H21" s="41"/>
      <c r="J21" s="1">
        <f t="shared" si="0"/>
        <v>0</v>
      </c>
      <c r="K21" s="1">
        <f t="shared" si="1"/>
        <v>0</v>
      </c>
      <c r="L21" s="1">
        <f t="shared" si="2"/>
        <v>0</v>
      </c>
      <c r="M21" s="1">
        <f t="shared" si="3"/>
        <v>0</v>
      </c>
      <c r="N21" s="1">
        <f t="shared" si="4"/>
        <v>0</v>
      </c>
      <c r="O21" s="1">
        <f t="shared" si="5"/>
        <v>1</v>
      </c>
      <c r="P21" s="36" t="str">
        <f t="shared" si="6"/>
        <v/>
      </c>
    </row>
    <row r="22" spans="1:16" ht="18" x14ac:dyDescent="0.35">
      <c r="A22" s="26" t="s">
        <v>128</v>
      </c>
      <c r="B22" s="26"/>
      <c r="C22" s="35">
        <v>13</v>
      </c>
      <c r="D22" s="51" t="s">
        <v>254</v>
      </c>
      <c r="E22" s="51"/>
      <c r="F22" s="51"/>
      <c r="G22" s="40" t="s">
        <v>167</v>
      </c>
      <c r="H22" s="41"/>
      <c r="J22" s="1">
        <f t="shared" si="0"/>
        <v>0</v>
      </c>
      <c r="K22" s="1">
        <f t="shared" si="1"/>
        <v>0</v>
      </c>
      <c r="L22" s="1">
        <f t="shared" si="2"/>
        <v>0</v>
      </c>
      <c r="M22" s="1">
        <f t="shared" si="3"/>
        <v>0</v>
      </c>
      <c r="N22" s="1">
        <f t="shared" si="4"/>
        <v>0</v>
      </c>
      <c r="O22" s="1">
        <f t="shared" si="5"/>
        <v>1</v>
      </c>
      <c r="P22" s="36" t="str">
        <f t="shared" si="6"/>
        <v/>
      </c>
    </row>
    <row r="23" spans="1:16" ht="18" x14ac:dyDescent="0.35">
      <c r="A23" s="26" t="s">
        <v>30</v>
      </c>
      <c r="B23" s="26"/>
      <c r="C23" s="35">
        <v>14</v>
      </c>
      <c r="D23" s="51" t="s">
        <v>2</v>
      </c>
      <c r="E23" s="51"/>
      <c r="F23" s="51"/>
      <c r="G23" s="40"/>
      <c r="H23" s="41" t="s">
        <v>167</v>
      </c>
      <c r="J23" s="1">
        <f t="shared" si="0"/>
        <v>0</v>
      </c>
      <c r="K23" s="1">
        <f t="shared" si="1"/>
        <v>0</v>
      </c>
      <c r="L23" s="1">
        <f t="shared" si="2"/>
        <v>0</v>
      </c>
      <c r="M23" s="1">
        <f t="shared" si="3"/>
        <v>0</v>
      </c>
      <c r="N23" s="1">
        <f t="shared" si="4"/>
        <v>0</v>
      </c>
      <c r="O23" s="1">
        <f t="shared" si="5"/>
        <v>0</v>
      </c>
      <c r="P23" s="36" t="str">
        <f t="shared" si="6"/>
        <v/>
      </c>
    </row>
    <row r="24" spans="1:16" ht="18" x14ac:dyDescent="0.35">
      <c r="A24" s="26" t="s">
        <v>82</v>
      </c>
      <c r="B24" s="26"/>
      <c r="C24" s="35">
        <v>15</v>
      </c>
      <c r="D24" s="51" t="s">
        <v>233</v>
      </c>
      <c r="E24" s="51"/>
      <c r="F24" s="51"/>
      <c r="G24" s="40"/>
      <c r="H24" s="41" t="s">
        <v>167</v>
      </c>
      <c r="J24" s="1">
        <f t="shared" si="0"/>
        <v>0</v>
      </c>
      <c r="K24" s="1">
        <f t="shared" si="1"/>
        <v>0</v>
      </c>
      <c r="L24" s="1">
        <f t="shared" si="2"/>
        <v>0</v>
      </c>
      <c r="M24" s="1">
        <f t="shared" si="3"/>
        <v>0</v>
      </c>
      <c r="N24" s="1">
        <f t="shared" si="4"/>
        <v>0</v>
      </c>
      <c r="O24" s="1">
        <f t="shared" si="5"/>
        <v>0</v>
      </c>
      <c r="P24" s="36" t="str">
        <f t="shared" si="6"/>
        <v/>
      </c>
    </row>
    <row r="25" spans="1:16" ht="18" x14ac:dyDescent="0.35">
      <c r="A25" s="26" t="s">
        <v>135</v>
      </c>
      <c r="B25" s="26"/>
      <c r="C25" s="35">
        <v>16</v>
      </c>
      <c r="D25" s="51" t="s">
        <v>271</v>
      </c>
      <c r="E25" s="51"/>
      <c r="F25" s="51"/>
      <c r="G25" s="40" t="s">
        <v>167</v>
      </c>
      <c r="H25" s="41"/>
      <c r="J25" s="1">
        <f t="shared" si="0"/>
        <v>0</v>
      </c>
      <c r="K25" s="1">
        <f t="shared" si="1"/>
        <v>0</v>
      </c>
      <c r="L25" s="1">
        <f t="shared" si="2"/>
        <v>0</v>
      </c>
      <c r="M25" s="1">
        <f t="shared" si="3"/>
        <v>0</v>
      </c>
      <c r="N25" s="1">
        <f t="shared" si="4"/>
        <v>0</v>
      </c>
      <c r="O25" s="1">
        <f t="shared" si="5"/>
        <v>1</v>
      </c>
      <c r="P25" s="36" t="str">
        <f t="shared" si="6"/>
        <v/>
      </c>
    </row>
    <row r="26" spans="1:16" ht="18" x14ac:dyDescent="0.35">
      <c r="A26" s="26" t="s">
        <v>57</v>
      </c>
      <c r="B26" s="26"/>
      <c r="C26" s="35">
        <v>17</v>
      </c>
      <c r="D26" s="51" t="s">
        <v>255</v>
      </c>
      <c r="E26" s="51"/>
      <c r="F26" s="51"/>
      <c r="G26" s="40"/>
      <c r="H26" s="41" t="s">
        <v>167</v>
      </c>
      <c r="J26" s="1">
        <f t="shared" si="0"/>
        <v>0</v>
      </c>
      <c r="K26" s="1">
        <f t="shared" si="1"/>
        <v>0</v>
      </c>
      <c r="L26" s="1">
        <f t="shared" si="2"/>
        <v>0</v>
      </c>
      <c r="M26" s="1">
        <f t="shared" si="3"/>
        <v>0</v>
      </c>
      <c r="N26" s="1">
        <f t="shared" si="4"/>
        <v>0</v>
      </c>
      <c r="O26" s="1">
        <f t="shared" si="5"/>
        <v>0</v>
      </c>
      <c r="P26" s="36" t="str">
        <f t="shared" si="6"/>
        <v/>
      </c>
    </row>
    <row r="27" spans="1:16" ht="18" x14ac:dyDescent="0.35">
      <c r="A27" s="26" t="s">
        <v>94</v>
      </c>
      <c r="B27" s="26"/>
      <c r="C27" s="35">
        <v>18</v>
      </c>
      <c r="D27" s="51" t="s">
        <v>265</v>
      </c>
      <c r="E27" s="51"/>
      <c r="F27" s="51"/>
      <c r="G27" s="40"/>
      <c r="H27" s="41" t="s">
        <v>167</v>
      </c>
      <c r="J27" s="1">
        <f t="shared" si="0"/>
        <v>0</v>
      </c>
      <c r="K27" s="1">
        <f t="shared" si="1"/>
        <v>0</v>
      </c>
      <c r="L27" s="1">
        <f t="shared" si="2"/>
        <v>0</v>
      </c>
      <c r="M27" s="1">
        <f t="shared" si="3"/>
        <v>0</v>
      </c>
      <c r="N27" s="1">
        <f t="shared" si="4"/>
        <v>0</v>
      </c>
      <c r="O27" s="1">
        <f t="shared" si="5"/>
        <v>0</v>
      </c>
      <c r="P27" s="36" t="str">
        <f t="shared" si="6"/>
        <v/>
      </c>
    </row>
    <row r="28" spans="1:16" ht="18" x14ac:dyDescent="0.35">
      <c r="A28" s="26" t="s">
        <v>107</v>
      </c>
      <c r="B28" s="26"/>
      <c r="C28" s="35">
        <v>19</v>
      </c>
      <c r="D28" s="51" t="s">
        <v>141</v>
      </c>
      <c r="E28" s="51"/>
      <c r="F28" s="51"/>
      <c r="G28" s="40"/>
      <c r="H28" s="41" t="s">
        <v>167</v>
      </c>
      <c r="J28" s="1">
        <f t="shared" si="0"/>
        <v>0</v>
      </c>
      <c r="K28" s="1">
        <f t="shared" si="1"/>
        <v>0</v>
      </c>
      <c r="L28" s="1">
        <f t="shared" si="2"/>
        <v>0</v>
      </c>
      <c r="M28" s="1">
        <f t="shared" si="3"/>
        <v>0</v>
      </c>
      <c r="N28" s="1">
        <f t="shared" si="4"/>
        <v>0</v>
      </c>
      <c r="O28" s="1">
        <f t="shared" si="5"/>
        <v>0</v>
      </c>
      <c r="P28" s="36" t="str">
        <f t="shared" si="6"/>
        <v/>
      </c>
    </row>
    <row r="29" spans="1:16" ht="18" x14ac:dyDescent="0.35">
      <c r="A29" s="26" t="s">
        <v>42</v>
      </c>
      <c r="B29" s="26"/>
      <c r="C29" s="35">
        <v>20</v>
      </c>
      <c r="D29" s="51" t="s">
        <v>218</v>
      </c>
      <c r="E29" s="51"/>
      <c r="F29" s="51"/>
      <c r="G29" s="40" t="s">
        <v>167</v>
      </c>
      <c r="H29" s="41"/>
      <c r="J29" s="1">
        <f t="shared" si="0"/>
        <v>1</v>
      </c>
      <c r="K29" s="1">
        <f t="shared" si="1"/>
        <v>0</v>
      </c>
      <c r="L29" s="1">
        <f t="shared" si="2"/>
        <v>0</v>
      </c>
      <c r="M29" s="1">
        <f t="shared" si="3"/>
        <v>0</v>
      </c>
      <c r="N29" s="1">
        <f t="shared" si="4"/>
        <v>0</v>
      </c>
      <c r="O29" s="1">
        <f t="shared" si="5"/>
        <v>0</v>
      </c>
      <c r="P29" s="36" t="str">
        <f t="shared" si="6"/>
        <v/>
      </c>
    </row>
    <row r="30" spans="1:16" ht="18" x14ac:dyDescent="0.35">
      <c r="A30" s="26" t="s">
        <v>117</v>
      </c>
      <c r="B30" s="26"/>
      <c r="C30" s="35">
        <v>21</v>
      </c>
      <c r="D30" s="51" t="s">
        <v>244</v>
      </c>
      <c r="E30" s="51"/>
      <c r="F30" s="51"/>
      <c r="G30" s="40"/>
      <c r="H30" s="41" t="s">
        <v>167</v>
      </c>
      <c r="J30" s="1">
        <f t="shared" si="0"/>
        <v>0</v>
      </c>
      <c r="K30" s="1">
        <f t="shared" si="1"/>
        <v>0</v>
      </c>
      <c r="L30" s="1">
        <f t="shared" si="2"/>
        <v>0</v>
      </c>
      <c r="M30" s="1">
        <f t="shared" si="3"/>
        <v>0</v>
      </c>
      <c r="N30" s="1">
        <f t="shared" si="4"/>
        <v>0</v>
      </c>
      <c r="O30" s="1">
        <f t="shared" si="5"/>
        <v>0</v>
      </c>
      <c r="P30" s="36" t="str">
        <f t="shared" si="6"/>
        <v/>
      </c>
    </row>
    <row r="31" spans="1:16" ht="18" x14ac:dyDescent="0.35">
      <c r="A31" s="26" t="s">
        <v>52</v>
      </c>
      <c r="B31" s="26"/>
      <c r="C31" s="35">
        <v>22</v>
      </c>
      <c r="D31" s="51" t="s">
        <v>25</v>
      </c>
      <c r="E31" s="51"/>
      <c r="F31" s="51"/>
      <c r="G31" s="40" t="s">
        <v>167</v>
      </c>
      <c r="H31" s="41"/>
      <c r="J31" s="1">
        <f t="shared" si="0"/>
        <v>0</v>
      </c>
      <c r="K31" s="1">
        <f t="shared" si="1"/>
        <v>1</v>
      </c>
      <c r="L31" s="1">
        <f t="shared" si="2"/>
        <v>0</v>
      </c>
      <c r="M31" s="1">
        <f t="shared" si="3"/>
        <v>0</v>
      </c>
      <c r="N31" s="1">
        <f t="shared" si="4"/>
        <v>0</v>
      </c>
      <c r="O31" s="1">
        <f t="shared" si="5"/>
        <v>0</v>
      </c>
      <c r="P31" s="36" t="str">
        <f t="shared" si="6"/>
        <v/>
      </c>
    </row>
    <row r="32" spans="1:16" ht="18" x14ac:dyDescent="0.35">
      <c r="A32" s="26" t="s">
        <v>68</v>
      </c>
      <c r="B32" s="26"/>
      <c r="C32" s="35">
        <v>23</v>
      </c>
      <c r="D32" s="51" t="s">
        <v>234</v>
      </c>
      <c r="E32" s="51"/>
      <c r="F32" s="51"/>
      <c r="G32" s="40"/>
      <c r="H32" s="41" t="s">
        <v>167</v>
      </c>
      <c r="J32" s="1">
        <f t="shared" si="0"/>
        <v>0</v>
      </c>
      <c r="K32" s="1">
        <f t="shared" si="1"/>
        <v>0</v>
      </c>
      <c r="L32" s="1">
        <f t="shared" si="2"/>
        <v>0</v>
      </c>
      <c r="M32" s="1">
        <f t="shared" si="3"/>
        <v>0</v>
      </c>
      <c r="N32" s="1">
        <f t="shared" si="4"/>
        <v>0</v>
      </c>
      <c r="O32" s="1">
        <f t="shared" si="5"/>
        <v>0</v>
      </c>
      <c r="P32" s="36" t="str">
        <f t="shared" si="6"/>
        <v/>
      </c>
    </row>
    <row r="33" spans="1:16" ht="18" x14ac:dyDescent="0.35">
      <c r="A33" s="26" t="s">
        <v>31</v>
      </c>
      <c r="B33" s="26"/>
      <c r="C33" s="35">
        <v>24</v>
      </c>
      <c r="D33" s="51" t="s">
        <v>3</v>
      </c>
      <c r="E33" s="51"/>
      <c r="F33" s="51"/>
      <c r="G33" s="40"/>
      <c r="H33" s="41" t="s">
        <v>167</v>
      </c>
      <c r="J33" s="1">
        <f t="shared" si="0"/>
        <v>0</v>
      </c>
      <c r="K33" s="1">
        <f t="shared" si="1"/>
        <v>0</v>
      </c>
      <c r="L33" s="1">
        <f t="shared" si="2"/>
        <v>0</v>
      </c>
      <c r="M33" s="1">
        <f t="shared" si="3"/>
        <v>0</v>
      </c>
      <c r="N33" s="1">
        <f t="shared" si="4"/>
        <v>0</v>
      </c>
      <c r="O33" s="1">
        <f t="shared" si="5"/>
        <v>0</v>
      </c>
      <c r="P33" s="36" t="str">
        <f t="shared" si="6"/>
        <v/>
      </c>
    </row>
    <row r="34" spans="1:16" ht="18" x14ac:dyDescent="0.35">
      <c r="A34" s="26" t="s">
        <v>95</v>
      </c>
      <c r="B34" s="26"/>
      <c r="C34" s="35">
        <v>25</v>
      </c>
      <c r="D34" s="51" t="s">
        <v>148</v>
      </c>
      <c r="E34" s="51"/>
      <c r="F34" s="51"/>
      <c r="G34" s="40"/>
      <c r="H34" s="41" t="s">
        <v>167</v>
      </c>
      <c r="J34" s="1">
        <f t="shared" si="0"/>
        <v>0</v>
      </c>
      <c r="K34" s="1">
        <f t="shared" si="1"/>
        <v>0</v>
      </c>
      <c r="L34" s="1">
        <f t="shared" si="2"/>
        <v>0</v>
      </c>
      <c r="M34" s="1">
        <f t="shared" si="3"/>
        <v>0</v>
      </c>
      <c r="N34" s="1">
        <f t="shared" si="4"/>
        <v>0</v>
      </c>
      <c r="O34" s="1">
        <f t="shared" si="5"/>
        <v>0</v>
      </c>
      <c r="P34" s="36" t="str">
        <f t="shared" si="6"/>
        <v/>
      </c>
    </row>
    <row r="35" spans="1:16" ht="18" x14ac:dyDescent="0.35">
      <c r="A35" s="26" t="s">
        <v>111</v>
      </c>
      <c r="B35" s="26"/>
      <c r="C35" s="35">
        <v>26</v>
      </c>
      <c r="D35" s="51" t="s">
        <v>268</v>
      </c>
      <c r="E35" s="51"/>
      <c r="F35" s="51"/>
      <c r="G35" s="40"/>
      <c r="H35" s="41" t="s">
        <v>167</v>
      </c>
      <c r="J35" s="1">
        <f t="shared" si="0"/>
        <v>0</v>
      </c>
      <c r="K35" s="1">
        <f t="shared" si="1"/>
        <v>0</v>
      </c>
      <c r="L35" s="1">
        <f t="shared" si="2"/>
        <v>0</v>
      </c>
      <c r="M35" s="1">
        <f t="shared" si="3"/>
        <v>0</v>
      </c>
      <c r="N35" s="1">
        <f t="shared" si="4"/>
        <v>0</v>
      </c>
      <c r="O35" s="1">
        <f t="shared" si="5"/>
        <v>0</v>
      </c>
      <c r="P35" s="36" t="str">
        <f t="shared" si="6"/>
        <v/>
      </c>
    </row>
    <row r="36" spans="1:16" ht="18" x14ac:dyDescent="0.35">
      <c r="A36" s="26" t="s">
        <v>56</v>
      </c>
      <c r="B36" s="26"/>
      <c r="C36" s="35">
        <v>27</v>
      </c>
      <c r="D36" s="51" t="s">
        <v>228</v>
      </c>
      <c r="E36" s="51"/>
      <c r="F36" s="51"/>
      <c r="G36" s="40" t="s">
        <v>167</v>
      </c>
      <c r="H36" s="41"/>
      <c r="J36" s="1">
        <f t="shared" si="0"/>
        <v>0</v>
      </c>
      <c r="K36" s="1">
        <f t="shared" si="1"/>
        <v>1</v>
      </c>
      <c r="L36" s="1">
        <f t="shared" si="2"/>
        <v>0</v>
      </c>
      <c r="M36" s="1">
        <f t="shared" si="3"/>
        <v>0</v>
      </c>
      <c r="N36" s="1">
        <f t="shared" si="4"/>
        <v>0</v>
      </c>
      <c r="O36" s="1">
        <f t="shared" si="5"/>
        <v>0</v>
      </c>
      <c r="P36" s="36" t="str">
        <f t="shared" si="6"/>
        <v/>
      </c>
    </row>
    <row r="37" spans="1:16" ht="18" x14ac:dyDescent="0.35">
      <c r="A37" s="26" t="s">
        <v>84</v>
      </c>
      <c r="B37" s="26"/>
      <c r="C37" s="35">
        <v>28</v>
      </c>
      <c r="D37" s="51" t="s">
        <v>266</v>
      </c>
      <c r="E37" s="51"/>
      <c r="F37" s="51"/>
      <c r="G37" s="40"/>
      <c r="H37" s="41" t="s">
        <v>167</v>
      </c>
      <c r="J37" s="1">
        <f t="shared" si="0"/>
        <v>0</v>
      </c>
      <c r="K37" s="1">
        <f t="shared" si="1"/>
        <v>0</v>
      </c>
      <c r="L37" s="1">
        <f t="shared" si="2"/>
        <v>0</v>
      </c>
      <c r="M37" s="1">
        <f t="shared" si="3"/>
        <v>0</v>
      </c>
      <c r="N37" s="1">
        <f t="shared" si="4"/>
        <v>0</v>
      </c>
      <c r="O37" s="1">
        <f t="shared" si="5"/>
        <v>0</v>
      </c>
      <c r="P37" s="36" t="str">
        <f t="shared" si="6"/>
        <v/>
      </c>
    </row>
    <row r="38" spans="1:16" ht="18" x14ac:dyDescent="0.35">
      <c r="A38" s="26" t="s">
        <v>134</v>
      </c>
      <c r="B38" s="26"/>
      <c r="C38" s="35">
        <v>29</v>
      </c>
      <c r="D38" s="51" t="s">
        <v>248</v>
      </c>
      <c r="E38" s="51"/>
      <c r="F38" s="51"/>
      <c r="G38" s="40" t="s">
        <v>167</v>
      </c>
      <c r="H38" s="41"/>
      <c r="J38" s="1">
        <f t="shared" si="0"/>
        <v>0</v>
      </c>
      <c r="K38" s="1">
        <f t="shared" si="1"/>
        <v>0</v>
      </c>
      <c r="L38" s="1">
        <f t="shared" si="2"/>
        <v>0</v>
      </c>
      <c r="M38" s="1">
        <f t="shared" si="3"/>
        <v>0</v>
      </c>
      <c r="N38" s="1">
        <f t="shared" si="4"/>
        <v>0</v>
      </c>
      <c r="O38" s="1">
        <f t="shared" si="5"/>
        <v>1</v>
      </c>
      <c r="P38" s="36" t="str">
        <f t="shared" si="6"/>
        <v/>
      </c>
    </row>
    <row r="39" spans="1:16" ht="18" x14ac:dyDescent="0.35">
      <c r="A39" s="26" t="s">
        <v>32</v>
      </c>
      <c r="B39" s="26"/>
      <c r="C39" s="35">
        <v>30</v>
      </c>
      <c r="D39" s="51" t="s">
        <v>4</v>
      </c>
      <c r="E39" s="51"/>
      <c r="F39" s="51"/>
      <c r="G39" s="40"/>
      <c r="H39" s="41" t="s">
        <v>167</v>
      </c>
      <c r="J39" s="1">
        <f t="shared" si="0"/>
        <v>0</v>
      </c>
      <c r="K39" s="1">
        <f t="shared" si="1"/>
        <v>0</v>
      </c>
      <c r="L39" s="1">
        <f t="shared" si="2"/>
        <v>0</v>
      </c>
      <c r="M39" s="1">
        <f t="shared" si="3"/>
        <v>0</v>
      </c>
      <c r="N39" s="1">
        <f t="shared" si="4"/>
        <v>0</v>
      </c>
      <c r="O39" s="1">
        <f t="shared" si="5"/>
        <v>0</v>
      </c>
      <c r="P39" s="36" t="str">
        <f t="shared" si="6"/>
        <v/>
      </c>
    </row>
    <row r="40" spans="1:16" ht="18" x14ac:dyDescent="0.35">
      <c r="A40" s="26" t="s">
        <v>86</v>
      </c>
      <c r="B40" s="26"/>
      <c r="C40" s="35">
        <v>31</v>
      </c>
      <c r="D40" s="51" t="s">
        <v>17</v>
      </c>
      <c r="E40" s="51"/>
      <c r="F40" s="51"/>
      <c r="G40" s="40"/>
      <c r="H40" s="41" t="s">
        <v>167</v>
      </c>
      <c r="J40" s="1">
        <f t="shared" si="0"/>
        <v>0</v>
      </c>
      <c r="K40" s="1">
        <f t="shared" si="1"/>
        <v>0</v>
      </c>
      <c r="L40" s="1">
        <f t="shared" si="2"/>
        <v>0</v>
      </c>
      <c r="M40" s="1">
        <f t="shared" si="3"/>
        <v>0</v>
      </c>
      <c r="N40" s="1">
        <f t="shared" si="4"/>
        <v>0</v>
      </c>
      <c r="O40" s="1">
        <f t="shared" si="5"/>
        <v>0</v>
      </c>
      <c r="P40" s="36" t="str">
        <f t="shared" si="6"/>
        <v/>
      </c>
    </row>
    <row r="41" spans="1:16" ht="18" x14ac:dyDescent="0.35">
      <c r="A41" s="26" t="s">
        <v>48</v>
      </c>
      <c r="B41" s="26"/>
      <c r="C41" s="35">
        <v>32</v>
      </c>
      <c r="D41" s="51" t="s">
        <v>227</v>
      </c>
      <c r="E41" s="51"/>
      <c r="F41" s="51"/>
      <c r="G41" s="40" t="s">
        <v>167</v>
      </c>
      <c r="H41" s="41"/>
      <c r="J41" s="1">
        <f t="shared" si="0"/>
        <v>0</v>
      </c>
      <c r="K41" s="1">
        <f t="shared" si="1"/>
        <v>1</v>
      </c>
      <c r="L41" s="1">
        <f t="shared" si="2"/>
        <v>0</v>
      </c>
      <c r="M41" s="1">
        <f t="shared" si="3"/>
        <v>0</v>
      </c>
      <c r="N41" s="1">
        <f t="shared" si="4"/>
        <v>0</v>
      </c>
      <c r="O41" s="1">
        <f t="shared" si="5"/>
        <v>0</v>
      </c>
      <c r="P41" s="36" t="str">
        <f t="shared" si="6"/>
        <v/>
      </c>
    </row>
    <row r="42" spans="1:16" ht="18" x14ac:dyDescent="0.35">
      <c r="A42" s="26" t="s">
        <v>35</v>
      </c>
      <c r="B42" s="26"/>
      <c r="C42" s="35">
        <v>33</v>
      </c>
      <c r="D42" s="51" t="s">
        <v>258</v>
      </c>
      <c r="E42" s="51"/>
      <c r="F42" s="51"/>
      <c r="G42" s="40"/>
      <c r="H42" s="41" t="s">
        <v>167</v>
      </c>
      <c r="J42" s="1">
        <f t="shared" si="0"/>
        <v>0</v>
      </c>
      <c r="K42" s="1">
        <f t="shared" si="1"/>
        <v>0</v>
      </c>
      <c r="L42" s="1">
        <f t="shared" si="2"/>
        <v>0</v>
      </c>
      <c r="M42" s="1">
        <f t="shared" si="3"/>
        <v>0</v>
      </c>
      <c r="N42" s="1">
        <f t="shared" si="4"/>
        <v>0</v>
      </c>
      <c r="O42" s="1">
        <f t="shared" si="5"/>
        <v>0</v>
      </c>
      <c r="P42" s="36" t="str">
        <f t="shared" si="6"/>
        <v/>
      </c>
    </row>
    <row r="43" spans="1:16" ht="18" x14ac:dyDescent="0.35">
      <c r="A43" s="26" t="s">
        <v>81</v>
      </c>
      <c r="B43" s="26"/>
      <c r="C43" s="35">
        <v>34</v>
      </c>
      <c r="D43" s="51" t="s">
        <v>18</v>
      </c>
      <c r="E43" s="51"/>
      <c r="F43" s="51"/>
      <c r="G43" s="40"/>
      <c r="H43" s="41" t="s">
        <v>167</v>
      </c>
      <c r="J43" s="1">
        <f t="shared" si="0"/>
        <v>0</v>
      </c>
      <c r="K43" s="1">
        <f t="shared" si="1"/>
        <v>0</v>
      </c>
      <c r="L43" s="1">
        <f t="shared" si="2"/>
        <v>0</v>
      </c>
      <c r="M43" s="1">
        <f t="shared" si="3"/>
        <v>0</v>
      </c>
      <c r="N43" s="1">
        <f t="shared" si="4"/>
        <v>0</v>
      </c>
      <c r="O43" s="1">
        <f t="shared" si="5"/>
        <v>0</v>
      </c>
      <c r="P43" s="36" t="str">
        <f t="shared" si="6"/>
        <v/>
      </c>
    </row>
    <row r="44" spans="1:16" ht="18" x14ac:dyDescent="0.35">
      <c r="A44" s="26" t="s">
        <v>74</v>
      </c>
      <c r="B44" s="26"/>
      <c r="C44" s="35">
        <v>35</v>
      </c>
      <c r="D44" s="51" t="s">
        <v>19</v>
      </c>
      <c r="E44" s="51"/>
      <c r="F44" s="51"/>
      <c r="G44" s="40" t="s">
        <v>167</v>
      </c>
      <c r="H44" s="41"/>
      <c r="J44" s="1">
        <f t="shared" si="0"/>
        <v>0</v>
      </c>
      <c r="K44" s="1">
        <f t="shared" si="1"/>
        <v>0</v>
      </c>
      <c r="L44" s="1">
        <f t="shared" si="2"/>
        <v>1</v>
      </c>
      <c r="M44" s="1">
        <f t="shared" si="3"/>
        <v>0</v>
      </c>
      <c r="N44" s="1">
        <f t="shared" si="4"/>
        <v>0</v>
      </c>
      <c r="O44" s="1">
        <f t="shared" si="5"/>
        <v>0</v>
      </c>
      <c r="P44" s="36" t="str">
        <f t="shared" si="6"/>
        <v/>
      </c>
    </row>
    <row r="45" spans="1:16" ht="18" x14ac:dyDescent="0.35">
      <c r="A45" s="26" t="s">
        <v>98</v>
      </c>
      <c r="B45" s="26"/>
      <c r="C45" s="35">
        <v>36</v>
      </c>
      <c r="D45" s="51" t="s">
        <v>12</v>
      </c>
      <c r="E45" s="51"/>
      <c r="F45" s="51"/>
      <c r="G45" s="40"/>
      <c r="H45" s="41" t="s">
        <v>167</v>
      </c>
      <c r="J45" s="1">
        <f t="shared" si="0"/>
        <v>0</v>
      </c>
      <c r="K45" s="1">
        <f t="shared" si="1"/>
        <v>0</v>
      </c>
      <c r="L45" s="1">
        <f t="shared" si="2"/>
        <v>0</v>
      </c>
      <c r="M45" s="1">
        <f t="shared" si="3"/>
        <v>0</v>
      </c>
      <c r="N45" s="1">
        <f t="shared" si="4"/>
        <v>0</v>
      </c>
      <c r="O45" s="1">
        <f t="shared" si="5"/>
        <v>0</v>
      </c>
      <c r="P45" s="36" t="str">
        <f t="shared" si="6"/>
        <v/>
      </c>
    </row>
    <row r="46" spans="1:16" ht="18" x14ac:dyDescent="0.35">
      <c r="A46" s="26" t="s">
        <v>66</v>
      </c>
      <c r="B46" s="26"/>
      <c r="C46" s="35">
        <v>37</v>
      </c>
      <c r="D46" s="51" t="s">
        <v>238</v>
      </c>
      <c r="E46" s="51"/>
      <c r="F46" s="51"/>
      <c r="G46" s="40"/>
      <c r="H46" s="41" t="s">
        <v>167</v>
      </c>
      <c r="J46" s="1">
        <f t="shared" si="0"/>
        <v>0</v>
      </c>
      <c r="K46" s="1">
        <f t="shared" si="1"/>
        <v>0</v>
      </c>
      <c r="L46" s="1">
        <f t="shared" si="2"/>
        <v>0</v>
      </c>
      <c r="M46" s="1">
        <f t="shared" si="3"/>
        <v>0</v>
      </c>
      <c r="N46" s="1">
        <f t="shared" si="4"/>
        <v>0</v>
      </c>
      <c r="O46" s="1">
        <f t="shared" si="5"/>
        <v>0</v>
      </c>
      <c r="P46" s="36" t="str">
        <f t="shared" si="6"/>
        <v/>
      </c>
    </row>
    <row r="47" spans="1:16" ht="18" x14ac:dyDescent="0.35">
      <c r="A47" s="26" t="s">
        <v>58</v>
      </c>
      <c r="B47" s="26"/>
      <c r="C47" s="35">
        <v>38</v>
      </c>
      <c r="D47" s="51" t="s">
        <v>22</v>
      </c>
      <c r="E47" s="51"/>
      <c r="F47" s="51"/>
      <c r="G47" s="40"/>
      <c r="H47" s="41" t="s">
        <v>167</v>
      </c>
      <c r="J47" s="1">
        <f t="shared" si="0"/>
        <v>0</v>
      </c>
      <c r="K47" s="1">
        <f t="shared" si="1"/>
        <v>0</v>
      </c>
      <c r="L47" s="1">
        <f t="shared" si="2"/>
        <v>0</v>
      </c>
      <c r="M47" s="1">
        <f t="shared" si="3"/>
        <v>0</v>
      </c>
      <c r="N47" s="1">
        <f t="shared" si="4"/>
        <v>0</v>
      </c>
      <c r="O47" s="1">
        <f t="shared" si="5"/>
        <v>0</v>
      </c>
      <c r="P47" s="36" t="str">
        <f t="shared" si="6"/>
        <v/>
      </c>
    </row>
    <row r="48" spans="1:16" ht="18" x14ac:dyDescent="0.35">
      <c r="A48" s="26" t="s">
        <v>99</v>
      </c>
      <c r="B48" s="26"/>
      <c r="C48" s="35">
        <v>39</v>
      </c>
      <c r="D48" s="51" t="s">
        <v>152</v>
      </c>
      <c r="E48" s="51"/>
      <c r="F48" s="51"/>
      <c r="G48" s="40"/>
      <c r="H48" s="41" t="s">
        <v>167</v>
      </c>
      <c r="J48" s="1">
        <f t="shared" si="0"/>
        <v>0</v>
      </c>
      <c r="K48" s="1">
        <f t="shared" si="1"/>
        <v>0</v>
      </c>
      <c r="L48" s="1">
        <f t="shared" si="2"/>
        <v>0</v>
      </c>
      <c r="M48" s="1">
        <f t="shared" si="3"/>
        <v>0</v>
      </c>
      <c r="N48" s="1">
        <f t="shared" si="4"/>
        <v>0</v>
      </c>
      <c r="O48" s="1">
        <f t="shared" si="5"/>
        <v>0</v>
      </c>
      <c r="P48" s="36" t="str">
        <f t="shared" si="6"/>
        <v/>
      </c>
    </row>
    <row r="49" spans="1:16" ht="18" x14ac:dyDescent="0.35">
      <c r="A49" s="26" t="s">
        <v>103</v>
      </c>
      <c r="B49" s="26"/>
      <c r="C49" s="35">
        <v>40</v>
      </c>
      <c r="D49" s="51" t="s">
        <v>243</v>
      </c>
      <c r="E49" s="51"/>
      <c r="F49" s="51"/>
      <c r="G49" s="40"/>
      <c r="H49" s="41" t="s">
        <v>167</v>
      </c>
      <c r="J49" s="1">
        <f t="shared" si="0"/>
        <v>0</v>
      </c>
      <c r="K49" s="1">
        <f t="shared" si="1"/>
        <v>0</v>
      </c>
      <c r="L49" s="1">
        <f t="shared" si="2"/>
        <v>0</v>
      </c>
      <c r="M49" s="1">
        <f t="shared" si="3"/>
        <v>0</v>
      </c>
      <c r="N49" s="1">
        <f t="shared" si="4"/>
        <v>0</v>
      </c>
      <c r="O49" s="1">
        <f t="shared" si="5"/>
        <v>0</v>
      </c>
      <c r="P49" s="36" t="str">
        <f t="shared" si="6"/>
        <v/>
      </c>
    </row>
    <row r="50" spans="1:16" ht="18" x14ac:dyDescent="0.35">
      <c r="A50" s="26" t="s">
        <v>90</v>
      </c>
      <c r="B50" s="26"/>
      <c r="C50" s="35">
        <v>41</v>
      </c>
      <c r="D50" s="51" t="s">
        <v>240</v>
      </c>
      <c r="E50" s="51"/>
      <c r="F50" s="51"/>
      <c r="G50" s="40"/>
      <c r="H50" s="41" t="s">
        <v>167</v>
      </c>
      <c r="J50" s="1">
        <f t="shared" si="0"/>
        <v>0</v>
      </c>
      <c r="K50" s="1">
        <f t="shared" si="1"/>
        <v>0</v>
      </c>
      <c r="L50" s="1">
        <f t="shared" si="2"/>
        <v>0</v>
      </c>
      <c r="M50" s="1">
        <f t="shared" si="3"/>
        <v>0</v>
      </c>
      <c r="N50" s="1">
        <f t="shared" si="4"/>
        <v>0</v>
      </c>
      <c r="O50" s="1">
        <f t="shared" si="5"/>
        <v>0</v>
      </c>
      <c r="P50" s="36" t="str">
        <f t="shared" si="6"/>
        <v/>
      </c>
    </row>
    <row r="51" spans="1:16" ht="18" x14ac:dyDescent="0.35">
      <c r="A51" s="26" t="s">
        <v>47</v>
      </c>
      <c r="B51" s="26"/>
      <c r="C51" s="35">
        <v>42</v>
      </c>
      <c r="D51" s="51" t="s">
        <v>149</v>
      </c>
      <c r="E51" s="51"/>
      <c r="F51" s="51"/>
      <c r="G51" s="40"/>
      <c r="H51" s="41" t="s">
        <v>167</v>
      </c>
      <c r="J51" s="1">
        <f t="shared" si="0"/>
        <v>0</v>
      </c>
      <c r="K51" s="1">
        <f t="shared" si="1"/>
        <v>0</v>
      </c>
      <c r="L51" s="1">
        <f t="shared" si="2"/>
        <v>0</v>
      </c>
      <c r="M51" s="1">
        <f t="shared" si="3"/>
        <v>0</v>
      </c>
      <c r="N51" s="1">
        <f t="shared" si="4"/>
        <v>0</v>
      </c>
      <c r="O51" s="1">
        <f t="shared" si="5"/>
        <v>0</v>
      </c>
      <c r="P51" s="36" t="str">
        <f t="shared" si="6"/>
        <v/>
      </c>
    </row>
    <row r="52" spans="1:16" ht="18" x14ac:dyDescent="0.35">
      <c r="A52" s="26" t="s">
        <v>39</v>
      </c>
      <c r="B52" s="26"/>
      <c r="C52" s="35">
        <v>43</v>
      </c>
      <c r="D52" s="51" t="s">
        <v>221</v>
      </c>
      <c r="E52" s="51"/>
      <c r="F52" s="51"/>
      <c r="G52" s="40" t="s">
        <v>167</v>
      </c>
      <c r="H52" s="41"/>
      <c r="J52" s="1">
        <f t="shared" si="0"/>
        <v>1</v>
      </c>
      <c r="K52" s="1">
        <f t="shared" si="1"/>
        <v>0</v>
      </c>
      <c r="L52" s="1">
        <f t="shared" si="2"/>
        <v>0</v>
      </c>
      <c r="M52" s="1">
        <f t="shared" si="3"/>
        <v>0</v>
      </c>
      <c r="N52" s="1">
        <f t="shared" si="4"/>
        <v>0</v>
      </c>
      <c r="O52" s="1">
        <f t="shared" si="5"/>
        <v>0</v>
      </c>
      <c r="P52" s="36" t="str">
        <f t="shared" si="6"/>
        <v/>
      </c>
    </row>
    <row r="53" spans="1:16" ht="18" x14ac:dyDescent="0.35">
      <c r="A53" s="26" t="s">
        <v>40</v>
      </c>
      <c r="B53" s="26"/>
      <c r="C53" s="35">
        <v>44</v>
      </c>
      <c r="D53" s="51" t="s">
        <v>222</v>
      </c>
      <c r="E53" s="51"/>
      <c r="F53" s="51"/>
      <c r="G53" s="40"/>
      <c r="H53" s="41" t="s">
        <v>167</v>
      </c>
      <c r="J53" s="1">
        <f t="shared" si="0"/>
        <v>0</v>
      </c>
      <c r="K53" s="1">
        <f t="shared" si="1"/>
        <v>0</v>
      </c>
      <c r="L53" s="1">
        <f t="shared" si="2"/>
        <v>0</v>
      </c>
      <c r="M53" s="1">
        <f t="shared" si="3"/>
        <v>0</v>
      </c>
      <c r="N53" s="1">
        <f t="shared" si="4"/>
        <v>0</v>
      </c>
      <c r="O53" s="1">
        <f t="shared" si="5"/>
        <v>0</v>
      </c>
      <c r="P53" s="36" t="str">
        <f t="shared" si="6"/>
        <v/>
      </c>
    </row>
    <row r="54" spans="1:16" ht="18" x14ac:dyDescent="0.35">
      <c r="A54" s="26" t="s">
        <v>80</v>
      </c>
      <c r="B54" s="26"/>
      <c r="C54" s="35">
        <v>45</v>
      </c>
      <c r="D54" s="51" t="s">
        <v>235</v>
      </c>
      <c r="E54" s="51"/>
      <c r="F54" s="51"/>
      <c r="G54" s="40"/>
      <c r="H54" s="41" t="s">
        <v>167</v>
      </c>
      <c r="J54" s="1">
        <f t="shared" si="0"/>
        <v>0</v>
      </c>
      <c r="K54" s="1">
        <f t="shared" si="1"/>
        <v>0</v>
      </c>
      <c r="L54" s="1">
        <f t="shared" si="2"/>
        <v>0</v>
      </c>
      <c r="M54" s="1">
        <f t="shared" si="3"/>
        <v>0</v>
      </c>
      <c r="N54" s="1">
        <f t="shared" si="4"/>
        <v>0</v>
      </c>
      <c r="O54" s="1">
        <f t="shared" si="5"/>
        <v>0</v>
      </c>
      <c r="P54" s="36" t="str">
        <f t="shared" si="6"/>
        <v/>
      </c>
    </row>
    <row r="55" spans="1:16" ht="18" x14ac:dyDescent="0.35">
      <c r="A55" s="26" t="s">
        <v>71</v>
      </c>
      <c r="B55" s="26"/>
      <c r="C55" s="35">
        <v>46</v>
      </c>
      <c r="D55" s="51" t="s">
        <v>144</v>
      </c>
      <c r="E55" s="51"/>
      <c r="F55" s="51"/>
      <c r="G55" s="40"/>
      <c r="H55" s="41" t="s">
        <v>167</v>
      </c>
      <c r="J55" s="1">
        <f t="shared" si="0"/>
        <v>0</v>
      </c>
      <c r="K55" s="1">
        <f t="shared" si="1"/>
        <v>0</v>
      </c>
      <c r="L55" s="1">
        <f t="shared" si="2"/>
        <v>0</v>
      </c>
      <c r="M55" s="1">
        <f t="shared" si="3"/>
        <v>0</v>
      </c>
      <c r="N55" s="1">
        <f t="shared" si="4"/>
        <v>0</v>
      </c>
      <c r="O55" s="1">
        <f t="shared" si="5"/>
        <v>0</v>
      </c>
      <c r="P55" s="36" t="str">
        <f t="shared" si="6"/>
        <v/>
      </c>
    </row>
    <row r="56" spans="1:16" ht="18" x14ac:dyDescent="0.35">
      <c r="A56" s="26" t="s">
        <v>77</v>
      </c>
      <c r="B56" s="26"/>
      <c r="C56" s="35">
        <v>47</v>
      </c>
      <c r="D56" s="51" t="s">
        <v>231</v>
      </c>
      <c r="E56" s="51"/>
      <c r="F56" s="51"/>
      <c r="G56" s="40" t="s">
        <v>167</v>
      </c>
      <c r="H56" s="41"/>
      <c r="J56" s="1">
        <f t="shared" si="0"/>
        <v>0</v>
      </c>
      <c r="K56" s="1">
        <f t="shared" si="1"/>
        <v>0</v>
      </c>
      <c r="L56" s="1">
        <f t="shared" si="2"/>
        <v>1</v>
      </c>
      <c r="M56" s="1">
        <f t="shared" si="3"/>
        <v>0</v>
      </c>
      <c r="N56" s="1">
        <f t="shared" si="4"/>
        <v>0</v>
      </c>
      <c r="O56" s="1">
        <f t="shared" si="5"/>
        <v>0</v>
      </c>
      <c r="P56" s="36" t="str">
        <f t="shared" si="6"/>
        <v/>
      </c>
    </row>
    <row r="57" spans="1:16" ht="18" x14ac:dyDescent="0.35">
      <c r="A57" s="26" t="s">
        <v>130</v>
      </c>
      <c r="B57" s="26"/>
      <c r="C57" s="35">
        <v>48</v>
      </c>
      <c r="D57" s="55" t="s">
        <v>251</v>
      </c>
      <c r="E57" s="56"/>
      <c r="F57" s="57"/>
      <c r="G57" s="40" t="s">
        <v>167</v>
      </c>
      <c r="H57" s="41"/>
      <c r="J57" s="1">
        <f t="shared" si="0"/>
        <v>0</v>
      </c>
      <c r="K57" s="1">
        <f t="shared" si="1"/>
        <v>0</v>
      </c>
      <c r="L57" s="1">
        <f t="shared" si="2"/>
        <v>0</v>
      </c>
      <c r="M57" s="1">
        <f t="shared" si="3"/>
        <v>0</v>
      </c>
      <c r="N57" s="1">
        <f t="shared" si="4"/>
        <v>0</v>
      </c>
      <c r="O57" s="1">
        <f t="shared" si="5"/>
        <v>1</v>
      </c>
      <c r="P57" s="36" t="str">
        <f t="shared" si="6"/>
        <v/>
      </c>
    </row>
    <row r="58" spans="1:16" ht="18" x14ac:dyDescent="0.35">
      <c r="A58" s="26" t="s">
        <v>96</v>
      </c>
      <c r="B58" s="26"/>
      <c r="C58" s="35">
        <v>49</v>
      </c>
      <c r="D58" s="51" t="s">
        <v>13</v>
      </c>
      <c r="E58" s="51"/>
      <c r="F58" s="51"/>
      <c r="G58" s="40"/>
      <c r="H58" s="41" t="s">
        <v>167</v>
      </c>
      <c r="J58" s="1">
        <f t="shared" si="0"/>
        <v>0</v>
      </c>
      <c r="K58" s="1">
        <f t="shared" si="1"/>
        <v>0</v>
      </c>
      <c r="L58" s="1">
        <f t="shared" si="2"/>
        <v>0</v>
      </c>
      <c r="M58" s="1">
        <f t="shared" si="3"/>
        <v>0</v>
      </c>
      <c r="N58" s="1">
        <f t="shared" si="4"/>
        <v>0</v>
      </c>
      <c r="O58" s="1">
        <f t="shared" si="5"/>
        <v>0</v>
      </c>
      <c r="P58" s="36" t="str">
        <f t="shared" si="6"/>
        <v/>
      </c>
    </row>
    <row r="59" spans="1:16" ht="18" x14ac:dyDescent="0.35">
      <c r="A59" s="26" t="s">
        <v>132</v>
      </c>
      <c r="B59" s="26"/>
      <c r="C59" s="35">
        <v>50</v>
      </c>
      <c r="D59" s="55" t="s">
        <v>252</v>
      </c>
      <c r="E59" s="56"/>
      <c r="F59" s="57"/>
      <c r="G59" s="40" t="s">
        <v>167</v>
      </c>
      <c r="H59" s="41"/>
      <c r="J59" s="1">
        <f t="shared" si="0"/>
        <v>0</v>
      </c>
      <c r="K59" s="1">
        <f t="shared" si="1"/>
        <v>0</v>
      </c>
      <c r="L59" s="1">
        <f t="shared" si="2"/>
        <v>0</v>
      </c>
      <c r="M59" s="1">
        <f t="shared" si="3"/>
        <v>0</v>
      </c>
      <c r="N59" s="1">
        <f t="shared" si="4"/>
        <v>0</v>
      </c>
      <c r="O59" s="1">
        <f t="shared" si="5"/>
        <v>1</v>
      </c>
      <c r="P59" s="36" t="str">
        <f t="shared" si="6"/>
        <v/>
      </c>
    </row>
    <row r="60" spans="1:16" ht="18" x14ac:dyDescent="0.35">
      <c r="A60" s="26" t="s">
        <v>133</v>
      </c>
      <c r="B60" s="26"/>
      <c r="C60" s="35">
        <v>51</v>
      </c>
      <c r="D60" s="51" t="s">
        <v>253</v>
      </c>
      <c r="E60" s="51"/>
      <c r="F60" s="51"/>
      <c r="G60" s="40" t="s">
        <v>167</v>
      </c>
      <c r="H60" s="41"/>
      <c r="J60" s="1">
        <f t="shared" si="0"/>
        <v>0</v>
      </c>
      <c r="K60" s="1">
        <f t="shared" si="1"/>
        <v>0</v>
      </c>
      <c r="L60" s="1">
        <f t="shared" si="2"/>
        <v>0</v>
      </c>
      <c r="M60" s="1">
        <f t="shared" si="3"/>
        <v>0</v>
      </c>
      <c r="N60" s="1">
        <f t="shared" si="4"/>
        <v>0</v>
      </c>
      <c r="O60" s="1">
        <f t="shared" si="5"/>
        <v>1</v>
      </c>
      <c r="P60" s="36" t="str">
        <f t="shared" si="6"/>
        <v/>
      </c>
    </row>
    <row r="61" spans="1:16" ht="18" x14ac:dyDescent="0.35">
      <c r="A61" s="26" t="s">
        <v>65</v>
      </c>
      <c r="B61" s="26"/>
      <c r="C61" s="35">
        <v>52</v>
      </c>
      <c r="D61" s="51" t="s">
        <v>216</v>
      </c>
      <c r="E61" s="51"/>
      <c r="F61" s="51"/>
      <c r="G61" s="40"/>
      <c r="H61" s="41" t="s">
        <v>167</v>
      </c>
      <c r="J61" s="1">
        <f t="shared" si="0"/>
        <v>0</v>
      </c>
      <c r="K61" s="1">
        <f t="shared" si="1"/>
        <v>0</v>
      </c>
      <c r="L61" s="1">
        <f t="shared" si="2"/>
        <v>0</v>
      </c>
      <c r="M61" s="1">
        <f t="shared" si="3"/>
        <v>0</v>
      </c>
      <c r="N61" s="1">
        <f t="shared" si="4"/>
        <v>0</v>
      </c>
      <c r="O61" s="1">
        <f t="shared" si="5"/>
        <v>0</v>
      </c>
      <c r="P61" s="36" t="str">
        <f t="shared" si="6"/>
        <v/>
      </c>
    </row>
    <row r="62" spans="1:16" ht="18" x14ac:dyDescent="0.35">
      <c r="A62" s="26" t="s">
        <v>93</v>
      </c>
      <c r="B62" s="26"/>
      <c r="C62" s="35">
        <v>53</v>
      </c>
      <c r="D62" s="51" t="s">
        <v>14</v>
      </c>
      <c r="E62" s="51"/>
      <c r="F62" s="51"/>
      <c r="G62" s="40"/>
      <c r="H62" s="41" t="s">
        <v>167</v>
      </c>
      <c r="J62" s="1">
        <f t="shared" si="0"/>
        <v>0</v>
      </c>
      <c r="K62" s="1">
        <f t="shared" si="1"/>
        <v>0</v>
      </c>
      <c r="L62" s="1">
        <f t="shared" si="2"/>
        <v>0</v>
      </c>
      <c r="M62" s="1">
        <f t="shared" si="3"/>
        <v>0</v>
      </c>
      <c r="N62" s="1">
        <f t="shared" si="4"/>
        <v>0</v>
      </c>
      <c r="O62" s="1">
        <f t="shared" si="5"/>
        <v>0</v>
      </c>
      <c r="P62" s="36" t="str">
        <f t="shared" si="6"/>
        <v/>
      </c>
    </row>
    <row r="63" spans="1:16" ht="18" x14ac:dyDescent="0.35">
      <c r="A63" s="26" t="s">
        <v>91</v>
      </c>
      <c r="B63" s="26"/>
      <c r="C63" s="35">
        <v>54</v>
      </c>
      <c r="D63" s="51" t="s">
        <v>273</v>
      </c>
      <c r="E63" s="51"/>
      <c r="F63" s="51"/>
      <c r="G63" s="40"/>
      <c r="H63" s="41" t="s">
        <v>167</v>
      </c>
      <c r="J63" s="1">
        <f t="shared" si="0"/>
        <v>0</v>
      </c>
      <c r="K63" s="1">
        <f t="shared" si="1"/>
        <v>0</v>
      </c>
      <c r="L63" s="1">
        <f t="shared" si="2"/>
        <v>0</v>
      </c>
      <c r="M63" s="1">
        <f t="shared" si="3"/>
        <v>0</v>
      </c>
      <c r="N63" s="1">
        <f t="shared" si="4"/>
        <v>0</v>
      </c>
      <c r="O63" s="1">
        <f t="shared" si="5"/>
        <v>0</v>
      </c>
      <c r="P63" s="36" t="str">
        <f t="shared" si="6"/>
        <v/>
      </c>
    </row>
    <row r="64" spans="1:16" ht="18" x14ac:dyDescent="0.35">
      <c r="A64" s="26" t="s">
        <v>88</v>
      </c>
      <c r="B64" s="26"/>
      <c r="C64" s="35">
        <v>55</v>
      </c>
      <c r="D64" s="51" t="s">
        <v>151</v>
      </c>
      <c r="E64" s="51"/>
      <c r="F64" s="51"/>
      <c r="G64" s="40"/>
      <c r="H64" s="41" t="s">
        <v>167</v>
      </c>
      <c r="J64" s="1">
        <f t="shared" si="0"/>
        <v>0</v>
      </c>
      <c r="K64" s="1">
        <f t="shared" si="1"/>
        <v>0</v>
      </c>
      <c r="L64" s="1">
        <f t="shared" si="2"/>
        <v>0</v>
      </c>
      <c r="M64" s="1">
        <f t="shared" si="3"/>
        <v>0</v>
      </c>
      <c r="N64" s="1">
        <f t="shared" si="4"/>
        <v>0</v>
      </c>
      <c r="O64" s="1">
        <f t="shared" si="5"/>
        <v>0</v>
      </c>
      <c r="P64" s="36" t="str">
        <f t="shared" si="6"/>
        <v/>
      </c>
    </row>
    <row r="65" spans="1:16" ht="18" x14ac:dyDescent="0.35">
      <c r="A65" s="26" t="s">
        <v>50</v>
      </c>
      <c r="B65" s="26"/>
      <c r="C65" s="35">
        <v>56</v>
      </c>
      <c r="D65" s="51" t="s">
        <v>27</v>
      </c>
      <c r="E65" s="51"/>
      <c r="F65" s="51"/>
      <c r="G65" s="40" t="s">
        <v>167</v>
      </c>
      <c r="H65" s="41"/>
      <c r="J65" s="1">
        <f t="shared" si="0"/>
        <v>0</v>
      </c>
      <c r="K65" s="1">
        <f t="shared" si="1"/>
        <v>1</v>
      </c>
      <c r="L65" s="1">
        <f t="shared" si="2"/>
        <v>0</v>
      </c>
      <c r="M65" s="1">
        <f t="shared" si="3"/>
        <v>0</v>
      </c>
      <c r="N65" s="1">
        <f t="shared" si="4"/>
        <v>0</v>
      </c>
      <c r="O65" s="1">
        <f t="shared" si="5"/>
        <v>0</v>
      </c>
      <c r="P65" s="36" t="str">
        <f t="shared" si="6"/>
        <v/>
      </c>
    </row>
    <row r="66" spans="1:16" ht="18" x14ac:dyDescent="0.35">
      <c r="A66" s="26" t="s">
        <v>64</v>
      </c>
      <c r="B66" s="26"/>
      <c r="C66" s="35">
        <v>57</v>
      </c>
      <c r="D66" s="51" t="s">
        <v>153</v>
      </c>
      <c r="E66" s="51"/>
      <c r="F66" s="51"/>
      <c r="G66" s="40"/>
      <c r="H66" s="41" t="s">
        <v>167</v>
      </c>
      <c r="J66" s="1">
        <f t="shared" si="0"/>
        <v>0</v>
      </c>
      <c r="K66" s="1">
        <f t="shared" si="1"/>
        <v>0</v>
      </c>
      <c r="L66" s="1">
        <f t="shared" si="2"/>
        <v>0</v>
      </c>
      <c r="M66" s="1">
        <f t="shared" si="3"/>
        <v>0</v>
      </c>
      <c r="N66" s="1">
        <f t="shared" si="4"/>
        <v>0</v>
      </c>
      <c r="O66" s="1">
        <f t="shared" si="5"/>
        <v>0</v>
      </c>
      <c r="P66" s="36" t="str">
        <f t="shared" si="6"/>
        <v/>
      </c>
    </row>
    <row r="67" spans="1:16" ht="18" x14ac:dyDescent="0.35">
      <c r="A67" s="26" t="s">
        <v>113</v>
      </c>
      <c r="B67" s="26"/>
      <c r="C67" s="35">
        <v>58</v>
      </c>
      <c r="D67" s="51" t="s">
        <v>8</v>
      </c>
      <c r="E67" s="51"/>
      <c r="F67" s="51"/>
      <c r="G67" s="40"/>
      <c r="H67" s="41" t="s">
        <v>167</v>
      </c>
      <c r="J67" s="1">
        <f t="shared" si="0"/>
        <v>0</v>
      </c>
      <c r="K67" s="1">
        <f t="shared" si="1"/>
        <v>0</v>
      </c>
      <c r="L67" s="1">
        <f t="shared" si="2"/>
        <v>0</v>
      </c>
      <c r="M67" s="1">
        <f t="shared" si="3"/>
        <v>0</v>
      </c>
      <c r="N67" s="1">
        <f t="shared" si="4"/>
        <v>0</v>
      </c>
      <c r="O67" s="1">
        <f t="shared" si="5"/>
        <v>0</v>
      </c>
      <c r="P67" s="36" t="str">
        <f t="shared" si="6"/>
        <v/>
      </c>
    </row>
    <row r="68" spans="1:16" ht="18" x14ac:dyDescent="0.35">
      <c r="A68" s="26" t="s">
        <v>38</v>
      </c>
      <c r="B68" s="26"/>
      <c r="C68" s="35">
        <v>59</v>
      </c>
      <c r="D68" s="51" t="s">
        <v>220</v>
      </c>
      <c r="E68" s="51"/>
      <c r="F68" s="51"/>
      <c r="G68" s="40"/>
      <c r="H68" s="41" t="s">
        <v>167</v>
      </c>
      <c r="J68" s="1">
        <f t="shared" si="0"/>
        <v>0</v>
      </c>
      <c r="K68" s="1">
        <f t="shared" si="1"/>
        <v>0</v>
      </c>
      <c r="L68" s="1">
        <f t="shared" si="2"/>
        <v>0</v>
      </c>
      <c r="M68" s="1">
        <f t="shared" si="3"/>
        <v>0</v>
      </c>
      <c r="N68" s="1">
        <f t="shared" si="4"/>
        <v>0</v>
      </c>
      <c r="O68" s="1">
        <f t="shared" si="5"/>
        <v>0</v>
      </c>
      <c r="P68" s="36" t="str">
        <f t="shared" si="6"/>
        <v/>
      </c>
    </row>
    <row r="69" spans="1:16" ht="18" x14ac:dyDescent="0.35">
      <c r="A69" s="26" t="s">
        <v>110</v>
      </c>
      <c r="B69" s="26"/>
      <c r="C69" s="35">
        <v>60</v>
      </c>
      <c r="D69" s="51" t="s">
        <v>158</v>
      </c>
      <c r="E69" s="51"/>
      <c r="F69" s="51"/>
      <c r="G69" s="40"/>
      <c r="H69" s="41" t="s">
        <v>167</v>
      </c>
      <c r="J69" s="1">
        <f t="shared" si="0"/>
        <v>0</v>
      </c>
      <c r="K69" s="1">
        <f t="shared" si="1"/>
        <v>0</v>
      </c>
      <c r="L69" s="1">
        <f t="shared" si="2"/>
        <v>0</v>
      </c>
      <c r="M69" s="1">
        <f t="shared" si="3"/>
        <v>0</v>
      </c>
      <c r="N69" s="1">
        <f t="shared" si="4"/>
        <v>0</v>
      </c>
      <c r="O69" s="1">
        <f t="shared" si="5"/>
        <v>0</v>
      </c>
      <c r="P69" s="36" t="str">
        <f t="shared" si="6"/>
        <v/>
      </c>
    </row>
    <row r="70" spans="1:16" ht="18" x14ac:dyDescent="0.35">
      <c r="A70" s="26" t="s">
        <v>45</v>
      </c>
      <c r="B70" s="26"/>
      <c r="C70" s="35">
        <v>61</v>
      </c>
      <c r="D70" s="51" t="s">
        <v>142</v>
      </c>
      <c r="E70" s="51"/>
      <c r="F70" s="51"/>
      <c r="G70" s="40"/>
      <c r="H70" s="41" t="s">
        <v>167</v>
      </c>
      <c r="J70" s="1">
        <f t="shared" si="0"/>
        <v>0</v>
      </c>
      <c r="K70" s="1">
        <f t="shared" si="1"/>
        <v>0</v>
      </c>
      <c r="L70" s="1">
        <f t="shared" si="2"/>
        <v>0</v>
      </c>
      <c r="M70" s="1">
        <f t="shared" si="3"/>
        <v>0</v>
      </c>
      <c r="N70" s="1">
        <f t="shared" si="4"/>
        <v>0</v>
      </c>
      <c r="O70" s="1">
        <f t="shared" si="5"/>
        <v>0</v>
      </c>
      <c r="P70" s="36" t="str">
        <f t="shared" si="6"/>
        <v/>
      </c>
    </row>
    <row r="71" spans="1:16" ht="18" x14ac:dyDescent="0.35">
      <c r="A71" s="26" t="s">
        <v>121</v>
      </c>
      <c r="B71" s="26"/>
      <c r="C71" s="35">
        <v>62</v>
      </c>
      <c r="D71" s="51" t="s">
        <v>1</v>
      </c>
      <c r="E71" s="51"/>
      <c r="F71" s="51"/>
      <c r="G71" s="40" t="s">
        <v>167</v>
      </c>
      <c r="H71" s="41"/>
      <c r="J71" s="1">
        <f t="shared" si="0"/>
        <v>0</v>
      </c>
      <c r="K71" s="1">
        <f t="shared" si="1"/>
        <v>0</v>
      </c>
      <c r="L71" s="1">
        <f t="shared" si="2"/>
        <v>0</v>
      </c>
      <c r="M71" s="1">
        <f t="shared" si="3"/>
        <v>0</v>
      </c>
      <c r="N71" s="1">
        <f t="shared" si="4"/>
        <v>0</v>
      </c>
      <c r="O71" s="1">
        <f t="shared" si="5"/>
        <v>1</v>
      </c>
      <c r="P71" s="36" t="str">
        <f t="shared" si="6"/>
        <v/>
      </c>
    </row>
    <row r="72" spans="1:16" ht="18" x14ac:dyDescent="0.35">
      <c r="A72" s="26" t="s">
        <v>55</v>
      </c>
      <c r="B72" s="26"/>
      <c r="C72" s="35">
        <v>63</v>
      </c>
      <c r="D72" s="51" t="s">
        <v>259</v>
      </c>
      <c r="E72" s="51"/>
      <c r="F72" s="51"/>
      <c r="G72" s="40"/>
      <c r="H72" s="41" t="s">
        <v>167</v>
      </c>
      <c r="J72" s="1">
        <f t="shared" si="0"/>
        <v>0</v>
      </c>
      <c r="K72" s="1">
        <f t="shared" si="1"/>
        <v>0</v>
      </c>
      <c r="L72" s="1">
        <f t="shared" si="2"/>
        <v>0</v>
      </c>
      <c r="M72" s="1">
        <f t="shared" si="3"/>
        <v>0</v>
      </c>
      <c r="N72" s="1">
        <f t="shared" si="4"/>
        <v>0</v>
      </c>
      <c r="O72" s="1">
        <f t="shared" si="5"/>
        <v>0</v>
      </c>
      <c r="P72" s="36" t="str">
        <f t="shared" si="6"/>
        <v/>
      </c>
    </row>
    <row r="73" spans="1:16" ht="18" x14ac:dyDescent="0.35">
      <c r="A73" s="26" t="s">
        <v>109</v>
      </c>
      <c r="B73" s="26"/>
      <c r="C73" s="35">
        <v>64</v>
      </c>
      <c r="D73" s="51" t="s">
        <v>9</v>
      </c>
      <c r="E73" s="51"/>
      <c r="F73" s="51"/>
      <c r="G73" s="40" t="s">
        <v>167</v>
      </c>
      <c r="H73" s="41"/>
      <c r="J73" s="1">
        <f t="shared" si="0"/>
        <v>0</v>
      </c>
      <c r="K73" s="1">
        <f t="shared" si="1"/>
        <v>0</v>
      </c>
      <c r="L73" s="1">
        <f t="shared" si="2"/>
        <v>0</v>
      </c>
      <c r="M73" s="1">
        <f t="shared" si="3"/>
        <v>0</v>
      </c>
      <c r="N73" s="1">
        <f t="shared" si="4"/>
        <v>1</v>
      </c>
      <c r="O73" s="1">
        <f t="shared" si="5"/>
        <v>0</v>
      </c>
      <c r="P73" s="36" t="str">
        <f t="shared" si="6"/>
        <v/>
      </c>
    </row>
    <row r="74" spans="1:16" ht="18" x14ac:dyDescent="0.35">
      <c r="A74" s="26" t="s">
        <v>70</v>
      </c>
      <c r="B74" s="26"/>
      <c r="C74" s="35">
        <v>65</v>
      </c>
      <c r="D74" s="51" t="s">
        <v>262</v>
      </c>
      <c r="E74" s="51"/>
      <c r="F74" s="51"/>
      <c r="G74" s="40"/>
      <c r="H74" s="41" t="s">
        <v>167</v>
      </c>
      <c r="J74" s="1">
        <f t="shared" si="0"/>
        <v>0</v>
      </c>
      <c r="K74" s="1">
        <f t="shared" si="1"/>
        <v>0</v>
      </c>
      <c r="L74" s="1">
        <f t="shared" si="2"/>
        <v>0</v>
      </c>
      <c r="M74" s="1">
        <f t="shared" si="3"/>
        <v>0</v>
      </c>
      <c r="N74" s="1">
        <f t="shared" si="4"/>
        <v>0</v>
      </c>
      <c r="O74" s="1">
        <f t="shared" si="5"/>
        <v>0</v>
      </c>
      <c r="P74" s="36" t="str">
        <f t="shared" si="6"/>
        <v/>
      </c>
    </row>
    <row r="75" spans="1:16" ht="18" x14ac:dyDescent="0.35">
      <c r="A75" s="26" t="s">
        <v>41</v>
      </c>
      <c r="B75" s="26"/>
      <c r="C75" s="35">
        <v>66</v>
      </c>
      <c r="D75" s="51" t="s">
        <v>159</v>
      </c>
      <c r="E75" s="51"/>
      <c r="F75" s="51"/>
      <c r="G75" s="40"/>
      <c r="H75" s="41" t="s">
        <v>167</v>
      </c>
      <c r="J75" s="1">
        <f t="shared" ref="J75:J117" si="7">IF(AND(LEFT($A75,1)="R",$G75="x"),1,0)</f>
        <v>0</v>
      </c>
      <c r="K75" s="1">
        <f t="shared" ref="K75:K117" si="8">IF(AND(LEFT($A75,1)="I",$G75="x"),1,0)</f>
        <v>0</v>
      </c>
      <c r="L75" s="1">
        <f t="shared" ref="L75:L117" si="9">IF(AND(LEFT($A75,1)="A",$G75="x"),1,0)</f>
        <v>0</v>
      </c>
      <c r="M75" s="1">
        <f t="shared" ref="M75:M117" si="10">IF(AND(LEFT($A75,1)="S",$G75="x"),1,0)</f>
        <v>0</v>
      </c>
      <c r="N75" s="1">
        <f t="shared" ref="N75:N117" si="11">IF(AND(LEFT($A75,1)="E",$G75="x"),1,0)</f>
        <v>0</v>
      </c>
      <c r="O75" s="1">
        <f t="shared" ref="O75:O117" si="12">IF(AND(LEFT($A75,1)="C",$G75="x"),1,0)</f>
        <v>0</v>
      </c>
      <c r="P75" s="36" t="str">
        <f t="shared" ref="P75:P118" si="13">IF(COUNTA(G75:H75)=2,"Pilih Satu Jawaban","")</f>
        <v/>
      </c>
    </row>
    <row r="76" spans="1:16" ht="18" x14ac:dyDescent="0.35">
      <c r="A76" s="26" t="s">
        <v>105</v>
      </c>
      <c r="B76" s="26"/>
      <c r="C76" s="35">
        <v>67</v>
      </c>
      <c r="D76" s="51" t="s">
        <v>145</v>
      </c>
      <c r="E76" s="51"/>
      <c r="F76" s="51"/>
      <c r="G76" s="40"/>
      <c r="H76" s="41" t="s">
        <v>167</v>
      </c>
      <c r="J76" s="1">
        <f t="shared" si="7"/>
        <v>0</v>
      </c>
      <c r="K76" s="1">
        <f t="shared" si="8"/>
        <v>0</v>
      </c>
      <c r="L76" s="1">
        <f t="shared" si="9"/>
        <v>0</v>
      </c>
      <c r="M76" s="1">
        <f t="shared" si="10"/>
        <v>0</v>
      </c>
      <c r="N76" s="1">
        <f t="shared" si="11"/>
        <v>0</v>
      </c>
      <c r="O76" s="1">
        <f t="shared" si="12"/>
        <v>0</v>
      </c>
      <c r="P76" s="36" t="str">
        <f t="shared" si="13"/>
        <v/>
      </c>
    </row>
    <row r="77" spans="1:16" ht="18" x14ac:dyDescent="0.35">
      <c r="A77" s="26" t="s">
        <v>102</v>
      </c>
      <c r="B77" s="26"/>
      <c r="C77" s="35">
        <v>68</v>
      </c>
      <c r="D77" s="51" t="s">
        <v>11</v>
      </c>
      <c r="E77" s="51"/>
      <c r="F77" s="51"/>
      <c r="G77" s="40" t="s">
        <v>167</v>
      </c>
      <c r="H77" s="41"/>
      <c r="J77" s="1">
        <f t="shared" si="7"/>
        <v>0</v>
      </c>
      <c r="K77" s="1">
        <f t="shared" si="8"/>
        <v>0</v>
      </c>
      <c r="L77" s="1">
        <f t="shared" si="9"/>
        <v>0</v>
      </c>
      <c r="M77" s="1">
        <f t="shared" si="10"/>
        <v>0</v>
      </c>
      <c r="N77" s="1">
        <f t="shared" si="11"/>
        <v>1</v>
      </c>
      <c r="O77" s="1">
        <f t="shared" si="12"/>
        <v>0</v>
      </c>
      <c r="P77" s="36" t="str">
        <f t="shared" si="13"/>
        <v/>
      </c>
    </row>
    <row r="78" spans="1:16" ht="18" x14ac:dyDescent="0.35">
      <c r="A78" s="26" t="s">
        <v>116</v>
      </c>
      <c r="B78" s="26"/>
      <c r="C78" s="35">
        <v>69</v>
      </c>
      <c r="D78" s="51" t="s">
        <v>256</v>
      </c>
      <c r="E78" s="51"/>
      <c r="F78" s="51"/>
      <c r="G78" s="40"/>
      <c r="H78" s="41" t="s">
        <v>167</v>
      </c>
      <c r="J78" s="1">
        <f t="shared" si="7"/>
        <v>0</v>
      </c>
      <c r="K78" s="1">
        <f t="shared" si="8"/>
        <v>0</v>
      </c>
      <c r="L78" s="1">
        <f t="shared" si="9"/>
        <v>0</v>
      </c>
      <c r="M78" s="1">
        <f t="shared" si="10"/>
        <v>0</v>
      </c>
      <c r="N78" s="1">
        <f t="shared" si="11"/>
        <v>0</v>
      </c>
      <c r="O78" s="1">
        <f t="shared" si="12"/>
        <v>0</v>
      </c>
      <c r="P78" s="36" t="str">
        <f t="shared" si="13"/>
        <v/>
      </c>
    </row>
    <row r="79" spans="1:16" ht="18" x14ac:dyDescent="0.35">
      <c r="A79" s="26" t="s">
        <v>131</v>
      </c>
      <c r="B79" s="26"/>
      <c r="C79" s="35">
        <v>70</v>
      </c>
      <c r="D79" s="51" t="s">
        <v>139</v>
      </c>
      <c r="E79" s="51"/>
      <c r="F79" s="51"/>
      <c r="G79" s="40" t="s">
        <v>167</v>
      </c>
      <c r="H79" s="41"/>
      <c r="J79" s="1">
        <f t="shared" si="7"/>
        <v>0</v>
      </c>
      <c r="K79" s="1">
        <f t="shared" si="8"/>
        <v>0</v>
      </c>
      <c r="L79" s="1">
        <f t="shared" si="9"/>
        <v>0</v>
      </c>
      <c r="M79" s="1">
        <f t="shared" si="10"/>
        <v>0</v>
      </c>
      <c r="N79" s="1">
        <f t="shared" si="11"/>
        <v>0</v>
      </c>
      <c r="O79" s="1">
        <f t="shared" si="12"/>
        <v>1</v>
      </c>
      <c r="P79" s="36" t="str">
        <f t="shared" si="13"/>
        <v/>
      </c>
    </row>
    <row r="80" spans="1:16" ht="18" x14ac:dyDescent="0.35">
      <c r="A80" s="26" t="s">
        <v>49</v>
      </c>
      <c r="B80" s="26"/>
      <c r="C80" s="35">
        <v>71</v>
      </c>
      <c r="D80" s="51" t="s">
        <v>28</v>
      </c>
      <c r="E80" s="51"/>
      <c r="F80" s="51"/>
      <c r="G80" s="40"/>
      <c r="H80" s="41" t="s">
        <v>167</v>
      </c>
      <c r="J80" s="1">
        <f t="shared" si="7"/>
        <v>0</v>
      </c>
      <c r="K80" s="1">
        <f t="shared" si="8"/>
        <v>0</v>
      </c>
      <c r="L80" s="1">
        <f t="shared" si="9"/>
        <v>0</v>
      </c>
      <c r="M80" s="1">
        <f t="shared" si="10"/>
        <v>0</v>
      </c>
      <c r="N80" s="1">
        <f t="shared" si="11"/>
        <v>0</v>
      </c>
      <c r="O80" s="1">
        <f t="shared" si="12"/>
        <v>0</v>
      </c>
      <c r="P80" s="36" t="str">
        <f t="shared" si="13"/>
        <v/>
      </c>
    </row>
    <row r="81" spans="1:16" ht="18" x14ac:dyDescent="0.35">
      <c r="A81" s="26" t="s">
        <v>83</v>
      </c>
      <c r="B81" s="26"/>
      <c r="C81" s="35">
        <v>72</v>
      </c>
      <c r="D81" s="51" t="s">
        <v>239</v>
      </c>
      <c r="E81" s="51"/>
      <c r="F81" s="51"/>
      <c r="G81" s="40"/>
      <c r="H81" s="41" t="s">
        <v>167</v>
      </c>
      <c r="J81" s="1">
        <f t="shared" si="7"/>
        <v>0</v>
      </c>
      <c r="K81" s="1">
        <f t="shared" si="8"/>
        <v>0</v>
      </c>
      <c r="L81" s="1">
        <f t="shared" si="9"/>
        <v>0</v>
      </c>
      <c r="M81" s="1">
        <f t="shared" si="10"/>
        <v>0</v>
      </c>
      <c r="N81" s="1">
        <f t="shared" si="11"/>
        <v>0</v>
      </c>
      <c r="O81" s="1">
        <f t="shared" si="12"/>
        <v>0</v>
      </c>
      <c r="P81" s="36" t="str">
        <f t="shared" si="13"/>
        <v/>
      </c>
    </row>
    <row r="82" spans="1:16" ht="18" x14ac:dyDescent="0.35">
      <c r="A82" s="26" t="s">
        <v>34</v>
      </c>
      <c r="B82" s="26"/>
      <c r="C82" s="35">
        <v>73</v>
      </c>
      <c r="D82" s="51" t="s">
        <v>223</v>
      </c>
      <c r="E82" s="51"/>
      <c r="F82" s="51"/>
      <c r="G82" s="40"/>
      <c r="H82" s="41" t="s">
        <v>167</v>
      </c>
      <c r="J82" s="1">
        <f t="shared" si="7"/>
        <v>0</v>
      </c>
      <c r="K82" s="1">
        <f t="shared" si="8"/>
        <v>0</v>
      </c>
      <c r="L82" s="1">
        <f t="shared" si="9"/>
        <v>0</v>
      </c>
      <c r="M82" s="1">
        <f t="shared" si="10"/>
        <v>0</v>
      </c>
      <c r="N82" s="1">
        <f t="shared" si="11"/>
        <v>0</v>
      </c>
      <c r="O82" s="1">
        <f t="shared" si="12"/>
        <v>0</v>
      </c>
      <c r="P82" s="36" t="str">
        <f t="shared" si="13"/>
        <v/>
      </c>
    </row>
    <row r="83" spans="1:16" ht="18" x14ac:dyDescent="0.35">
      <c r="A83" s="26" t="s">
        <v>63</v>
      </c>
      <c r="B83" s="26"/>
      <c r="C83" s="35">
        <v>74</v>
      </c>
      <c r="D83" s="51" t="s">
        <v>226</v>
      </c>
      <c r="E83" s="51"/>
      <c r="F83" s="51"/>
      <c r="G83" s="40" t="s">
        <v>167</v>
      </c>
      <c r="H83" s="41"/>
      <c r="J83" s="1">
        <f t="shared" si="7"/>
        <v>0</v>
      </c>
      <c r="K83" s="1">
        <f t="shared" si="8"/>
        <v>1</v>
      </c>
      <c r="L83" s="1">
        <f t="shared" si="9"/>
        <v>0</v>
      </c>
      <c r="M83" s="1">
        <f t="shared" si="10"/>
        <v>0</v>
      </c>
      <c r="N83" s="1">
        <f t="shared" si="11"/>
        <v>0</v>
      </c>
      <c r="O83" s="1">
        <f t="shared" si="12"/>
        <v>0</v>
      </c>
      <c r="P83" s="36" t="str">
        <f t="shared" si="13"/>
        <v/>
      </c>
    </row>
    <row r="84" spans="1:16" ht="18" x14ac:dyDescent="0.35">
      <c r="A84" s="26" t="s">
        <v>115</v>
      </c>
      <c r="B84" s="26"/>
      <c r="C84" s="35">
        <v>75</v>
      </c>
      <c r="D84" s="51" t="s">
        <v>157</v>
      </c>
      <c r="E84" s="51"/>
      <c r="F84" s="51"/>
      <c r="G84" s="40"/>
      <c r="H84" s="41" t="s">
        <v>167</v>
      </c>
      <c r="J84" s="1">
        <f t="shared" si="7"/>
        <v>0</v>
      </c>
      <c r="K84" s="1">
        <f t="shared" si="8"/>
        <v>0</v>
      </c>
      <c r="L84" s="1">
        <f t="shared" si="9"/>
        <v>0</v>
      </c>
      <c r="M84" s="1">
        <f t="shared" si="10"/>
        <v>0</v>
      </c>
      <c r="N84" s="1">
        <f t="shared" si="11"/>
        <v>0</v>
      </c>
      <c r="O84" s="1">
        <f t="shared" si="12"/>
        <v>0</v>
      </c>
      <c r="P84" s="36" t="str">
        <f t="shared" si="13"/>
        <v/>
      </c>
    </row>
    <row r="85" spans="1:16" ht="18" x14ac:dyDescent="0.35">
      <c r="A85" s="26" t="s">
        <v>78</v>
      </c>
      <c r="B85" s="26"/>
      <c r="C85" s="35">
        <v>76</v>
      </c>
      <c r="D85" s="51" t="s">
        <v>232</v>
      </c>
      <c r="E85" s="51"/>
      <c r="F85" s="51"/>
      <c r="G85" s="40"/>
      <c r="H85" s="41" t="s">
        <v>167</v>
      </c>
      <c r="J85" s="1">
        <f t="shared" si="7"/>
        <v>0</v>
      </c>
      <c r="K85" s="1">
        <f t="shared" si="8"/>
        <v>0</v>
      </c>
      <c r="L85" s="1">
        <f t="shared" si="9"/>
        <v>0</v>
      </c>
      <c r="M85" s="1">
        <f t="shared" si="10"/>
        <v>0</v>
      </c>
      <c r="N85" s="1">
        <f t="shared" si="11"/>
        <v>0</v>
      </c>
      <c r="O85" s="1">
        <f t="shared" si="12"/>
        <v>0</v>
      </c>
      <c r="P85" s="36" t="str">
        <f t="shared" si="13"/>
        <v/>
      </c>
    </row>
    <row r="86" spans="1:16" ht="18" x14ac:dyDescent="0.35">
      <c r="A86" s="26" t="s">
        <v>37</v>
      </c>
      <c r="B86" s="26"/>
      <c r="C86" s="35">
        <v>77</v>
      </c>
      <c r="D86" s="51" t="s">
        <v>224</v>
      </c>
      <c r="E86" s="51"/>
      <c r="F86" s="51"/>
      <c r="G86" s="40"/>
      <c r="H86" s="41" t="s">
        <v>167</v>
      </c>
      <c r="J86" s="1">
        <f t="shared" si="7"/>
        <v>0</v>
      </c>
      <c r="K86" s="1">
        <f t="shared" si="8"/>
        <v>0</v>
      </c>
      <c r="L86" s="1">
        <f t="shared" si="9"/>
        <v>0</v>
      </c>
      <c r="M86" s="1">
        <f t="shared" si="10"/>
        <v>0</v>
      </c>
      <c r="N86" s="1">
        <f t="shared" si="11"/>
        <v>0</v>
      </c>
      <c r="O86" s="1">
        <f t="shared" si="12"/>
        <v>0</v>
      </c>
      <c r="P86" s="36" t="str">
        <f t="shared" si="13"/>
        <v/>
      </c>
    </row>
    <row r="87" spans="1:16" ht="18" x14ac:dyDescent="0.35">
      <c r="A87" s="26" t="s">
        <v>85</v>
      </c>
      <c r="B87" s="26"/>
      <c r="C87" s="35">
        <v>78</v>
      </c>
      <c r="D87" s="51" t="s">
        <v>150</v>
      </c>
      <c r="E87" s="51"/>
      <c r="F87" s="51"/>
      <c r="G87" s="40"/>
      <c r="H87" s="41" t="s">
        <v>167</v>
      </c>
      <c r="J87" s="1">
        <f t="shared" si="7"/>
        <v>0</v>
      </c>
      <c r="K87" s="1">
        <f t="shared" si="8"/>
        <v>0</v>
      </c>
      <c r="L87" s="1">
        <f t="shared" si="9"/>
        <v>0</v>
      </c>
      <c r="M87" s="1">
        <f t="shared" si="10"/>
        <v>0</v>
      </c>
      <c r="N87" s="1">
        <f t="shared" si="11"/>
        <v>0</v>
      </c>
      <c r="O87" s="1">
        <f t="shared" si="12"/>
        <v>0</v>
      </c>
      <c r="P87" s="36" t="str">
        <f t="shared" si="13"/>
        <v/>
      </c>
    </row>
    <row r="88" spans="1:16" ht="18" x14ac:dyDescent="0.35">
      <c r="A88" s="26" t="s">
        <v>44</v>
      </c>
      <c r="B88" s="26"/>
      <c r="C88" s="35">
        <v>79</v>
      </c>
      <c r="D88" s="51" t="s">
        <v>219</v>
      </c>
      <c r="E88" s="51"/>
      <c r="F88" s="51"/>
      <c r="G88" s="40"/>
      <c r="H88" s="41" t="s">
        <v>167</v>
      </c>
      <c r="J88" s="1">
        <f t="shared" si="7"/>
        <v>0</v>
      </c>
      <c r="K88" s="1">
        <f t="shared" si="8"/>
        <v>0</v>
      </c>
      <c r="L88" s="1">
        <f t="shared" si="9"/>
        <v>0</v>
      </c>
      <c r="M88" s="1">
        <f t="shared" si="10"/>
        <v>0</v>
      </c>
      <c r="N88" s="1">
        <f t="shared" si="11"/>
        <v>0</v>
      </c>
      <c r="O88" s="1">
        <f t="shared" si="12"/>
        <v>0</v>
      </c>
      <c r="P88" s="36" t="str">
        <f t="shared" si="13"/>
        <v/>
      </c>
    </row>
    <row r="89" spans="1:16" ht="18" x14ac:dyDescent="0.35">
      <c r="A89" s="26" t="s">
        <v>60</v>
      </c>
      <c r="B89" s="26"/>
      <c r="C89" s="35">
        <v>80</v>
      </c>
      <c r="D89" s="51" t="s">
        <v>21</v>
      </c>
      <c r="E89" s="51"/>
      <c r="F89" s="51"/>
      <c r="G89" s="40"/>
      <c r="H89" s="41" t="s">
        <v>167</v>
      </c>
      <c r="J89" s="1">
        <f t="shared" si="7"/>
        <v>0</v>
      </c>
      <c r="K89" s="1">
        <f t="shared" si="8"/>
        <v>0</v>
      </c>
      <c r="L89" s="1">
        <f t="shared" si="9"/>
        <v>0</v>
      </c>
      <c r="M89" s="1">
        <f t="shared" si="10"/>
        <v>0</v>
      </c>
      <c r="N89" s="1">
        <f t="shared" si="11"/>
        <v>0</v>
      </c>
      <c r="O89" s="1">
        <f t="shared" si="12"/>
        <v>0</v>
      </c>
      <c r="P89" s="36" t="str">
        <f t="shared" si="13"/>
        <v/>
      </c>
    </row>
    <row r="90" spans="1:16" ht="18" x14ac:dyDescent="0.35">
      <c r="A90" s="26" t="s">
        <v>69</v>
      </c>
      <c r="B90" s="26"/>
      <c r="C90" s="35">
        <v>81</v>
      </c>
      <c r="D90" s="51" t="s">
        <v>263</v>
      </c>
      <c r="E90" s="51"/>
      <c r="F90" s="51"/>
      <c r="G90" s="40"/>
      <c r="H90" s="41" t="s">
        <v>167</v>
      </c>
      <c r="J90" s="1">
        <f t="shared" si="7"/>
        <v>0</v>
      </c>
      <c r="K90" s="1">
        <f t="shared" si="8"/>
        <v>0</v>
      </c>
      <c r="L90" s="1">
        <f t="shared" si="9"/>
        <v>0</v>
      </c>
      <c r="M90" s="1">
        <f t="shared" si="10"/>
        <v>0</v>
      </c>
      <c r="N90" s="1">
        <f t="shared" si="11"/>
        <v>0</v>
      </c>
      <c r="O90" s="1">
        <f t="shared" si="12"/>
        <v>0</v>
      </c>
      <c r="P90" s="36" t="str">
        <f t="shared" si="13"/>
        <v/>
      </c>
    </row>
    <row r="91" spans="1:16" ht="18" x14ac:dyDescent="0.35">
      <c r="A91" s="26" t="s">
        <v>36</v>
      </c>
      <c r="B91" s="26"/>
      <c r="C91" s="35">
        <v>82</v>
      </c>
      <c r="D91" s="51" t="s">
        <v>6</v>
      </c>
      <c r="E91" s="51"/>
      <c r="F91" s="51"/>
      <c r="G91" s="40" t="s">
        <v>167</v>
      </c>
      <c r="H91" s="41"/>
      <c r="J91" s="1">
        <f t="shared" si="7"/>
        <v>1</v>
      </c>
      <c r="K91" s="1">
        <f t="shared" si="8"/>
        <v>0</v>
      </c>
      <c r="L91" s="1">
        <f t="shared" si="9"/>
        <v>0</v>
      </c>
      <c r="M91" s="1">
        <f t="shared" si="10"/>
        <v>0</v>
      </c>
      <c r="N91" s="1">
        <f t="shared" si="11"/>
        <v>0</v>
      </c>
      <c r="O91" s="1">
        <f t="shared" si="12"/>
        <v>0</v>
      </c>
      <c r="P91" s="36" t="str">
        <f t="shared" si="13"/>
        <v/>
      </c>
    </row>
    <row r="92" spans="1:16" ht="18" x14ac:dyDescent="0.35">
      <c r="A92" s="26" t="s">
        <v>33</v>
      </c>
      <c r="B92" s="26"/>
      <c r="C92" s="35">
        <v>83</v>
      </c>
      <c r="D92" s="51" t="s">
        <v>5</v>
      </c>
      <c r="E92" s="51"/>
      <c r="F92" s="51"/>
      <c r="G92" s="40"/>
      <c r="H92" s="41" t="s">
        <v>167</v>
      </c>
      <c r="J92" s="1">
        <f t="shared" si="7"/>
        <v>0</v>
      </c>
      <c r="K92" s="1">
        <f t="shared" si="8"/>
        <v>0</v>
      </c>
      <c r="L92" s="1">
        <f t="shared" si="9"/>
        <v>0</v>
      </c>
      <c r="M92" s="1">
        <f t="shared" si="10"/>
        <v>0</v>
      </c>
      <c r="N92" s="1">
        <f t="shared" si="11"/>
        <v>0</v>
      </c>
      <c r="O92" s="1">
        <f t="shared" si="12"/>
        <v>0</v>
      </c>
      <c r="P92" s="36" t="str">
        <f t="shared" si="13"/>
        <v/>
      </c>
    </row>
    <row r="93" spans="1:16" ht="18" x14ac:dyDescent="0.35">
      <c r="A93" s="26" t="s">
        <v>124</v>
      </c>
      <c r="B93" s="26"/>
      <c r="C93" s="35">
        <v>84</v>
      </c>
      <c r="D93" s="51" t="s">
        <v>250</v>
      </c>
      <c r="E93" s="51"/>
      <c r="F93" s="51"/>
      <c r="G93" s="40" t="s">
        <v>167</v>
      </c>
      <c r="H93" s="41"/>
      <c r="J93" s="1">
        <f t="shared" si="7"/>
        <v>0</v>
      </c>
      <c r="K93" s="1">
        <f t="shared" si="8"/>
        <v>0</v>
      </c>
      <c r="L93" s="1">
        <f t="shared" si="9"/>
        <v>0</v>
      </c>
      <c r="M93" s="1">
        <f t="shared" si="10"/>
        <v>0</v>
      </c>
      <c r="N93" s="1">
        <f t="shared" si="11"/>
        <v>0</v>
      </c>
      <c r="O93" s="1">
        <f t="shared" si="12"/>
        <v>1</v>
      </c>
      <c r="P93" s="36" t="str">
        <f t="shared" si="13"/>
        <v/>
      </c>
    </row>
    <row r="94" spans="1:16" ht="18" x14ac:dyDescent="0.35">
      <c r="A94" s="26" t="s">
        <v>126</v>
      </c>
      <c r="B94" s="26"/>
      <c r="C94" s="35">
        <v>85</v>
      </c>
      <c r="D94" s="51" t="s">
        <v>274</v>
      </c>
      <c r="E94" s="51"/>
      <c r="F94" s="51"/>
      <c r="G94" s="40" t="s">
        <v>167</v>
      </c>
      <c r="H94" s="41"/>
      <c r="J94" s="1">
        <f t="shared" si="7"/>
        <v>0</v>
      </c>
      <c r="K94" s="1">
        <f t="shared" si="8"/>
        <v>0</v>
      </c>
      <c r="L94" s="1">
        <f t="shared" si="9"/>
        <v>0</v>
      </c>
      <c r="M94" s="1">
        <f t="shared" si="10"/>
        <v>0</v>
      </c>
      <c r="N94" s="1">
        <f t="shared" si="11"/>
        <v>0</v>
      </c>
      <c r="O94" s="1">
        <f t="shared" si="12"/>
        <v>1</v>
      </c>
      <c r="P94" s="36" t="str">
        <f t="shared" si="13"/>
        <v/>
      </c>
    </row>
    <row r="95" spans="1:16" ht="18" x14ac:dyDescent="0.35">
      <c r="A95" s="26" t="s">
        <v>108</v>
      </c>
      <c r="B95" s="26"/>
      <c r="C95" s="35">
        <v>86</v>
      </c>
      <c r="D95" s="51" t="s">
        <v>10</v>
      </c>
      <c r="E95" s="51"/>
      <c r="F95" s="51"/>
      <c r="G95" s="40"/>
      <c r="H95" s="41" t="s">
        <v>167</v>
      </c>
      <c r="J95" s="1">
        <f t="shared" si="7"/>
        <v>0</v>
      </c>
      <c r="K95" s="1">
        <f t="shared" si="8"/>
        <v>0</v>
      </c>
      <c r="L95" s="1">
        <f t="shared" si="9"/>
        <v>0</v>
      </c>
      <c r="M95" s="1">
        <f t="shared" si="10"/>
        <v>0</v>
      </c>
      <c r="N95" s="1">
        <f t="shared" si="11"/>
        <v>0</v>
      </c>
      <c r="O95" s="1">
        <f t="shared" si="12"/>
        <v>0</v>
      </c>
      <c r="P95" s="36" t="str">
        <f t="shared" si="13"/>
        <v/>
      </c>
    </row>
    <row r="96" spans="1:16" ht="18" x14ac:dyDescent="0.35">
      <c r="A96" s="26" t="s">
        <v>89</v>
      </c>
      <c r="B96" s="26"/>
      <c r="C96" s="35">
        <v>87</v>
      </c>
      <c r="D96" s="51" t="s">
        <v>16</v>
      </c>
      <c r="E96" s="51"/>
      <c r="F96" s="51"/>
      <c r="G96" s="40"/>
      <c r="H96" s="41" t="s">
        <v>167</v>
      </c>
      <c r="J96" s="1">
        <f t="shared" si="7"/>
        <v>0</v>
      </c>
      <c r="K96" s="1">
        <f t="shared" si="8"/>
        <v>0</v>
      </c>
      <c r="L96" s="1">
        <f t="shared" si="9"/>
        <v>0</v>
      </c>
      <c r="M96" s="1">
        <f t="shared" si="10"/>
        <v>0</v>
      </c>
      <c r="N96" s="1">
        <f t="shared" si="11"/>
        <v>0</v>
      </c>
      <c r="O96" s="1">
        <f t="shared" si="12"/>
        <v>0</v>
      </c>
      <c r="P96" s="36" t="str">
        <f t="shared" si="13"/>
        <v/>
      </c>
    </row>
    <row r="97" spans="1:16" ht="18" x14ac:dyDescent="0.35">
      <c r="A97" s="26" t="s">
        <v>119</v>
      </c>
      <c r="B97" s="26"/>
      <c r="C97" s="35">
        <v>88</v>
      </c>
      <c r="D97" s="51" t="s">
        <v>155</v>
      </c>
      <c r="E97" s="51"/>
      <c r="F97" s="51"/>
      <c r="G97" s="40" t="s">
        <v>167</v>
      </c>
      <c r="H97" s="41"/>
      <c r="J97" s="1">
        <f t="shared" si="7"/>
        <v>0</v>
      </c>
      <c r="K97" s="1">
        <f t="shared" si="8"/>
        <v>0</v>
      </c>
      <c r="L97" s="1">
        <f t="shared" si="9"/>
        <v>0</v>
      </c>
      <c r="M97" s="1">
        <f t="shared" si="10"/>
        <v>0</v>
      </c>
      <c r="N97" s="1">
        <f t="shared" si="11"/>
        <v>0</v>
      </c>
      <c r="O97" s="1">
        <f t="shared" si="12"/>
        <v>1</v>
      </c>
      <c r="P97" s="36" t="str">
        <f t="shared" si="13"/>
        <v/>
      </c>
    </row>
    <row r="98" spans="1:16" ht="18" x14ac:dyDescent="0.35">
      <c r="A98" s="26" t="s">
        <v>106</v>
      </c>
      <c r="B98" s="26"/>
      <c r="C98" s="35">
        <v>89</v>
      </c>
      <c r="D98" s="51" t="s">
        <v>242</v>
      </c>
      <c r="E98" s="51"/>
      <c r="F98" s="51"/>
      <c r="G98" s="40"/>
      <c r="H98" s="41" t="s">
        <v>167</v>
      </c>
      <c r="J98" s="1">
        <f t="shared" si="7"/>
        <v>0</v>
      </c>
      <c r="K98" s="1">
        <f t="shared" si="8"/>
        <v>0</v>
      </c>
      <c r="L98" s="1">
        <f t="shared" si="9"/>
        <v>0</v>
      </c>
      <c r="M98" s="1">
        <f t="shared" si="10"/>
        <v>0</v>
      </c>
      <c r="N98" s="1">
        <f t="shared" si="11"/>
        <v>0</v>
      </c>
      <c r="O98" s="1">
        <f t="shared" si="12"/>
        <v>0</v>
      </c>
      <c r="P98" s="36" t="str">
        <f t="shared" si="13"/>
        <v/>
      </c>
    </row>
    <row r="99" spans="1:16" ht="18" x14ac:dyDescent="0.35">
      <c r="A99" s="26" t="s">
        <v>125</v>
      </c>
      <c r="B99" s="26"/>
      <c r="C99" s="35">
        <v>90</v>
      </c>
      <c r="D99" s="51" t="s">
        <v>257</v>
      </c>
      <c r="E99" s="51"/>
      <c r="F99" s="51"/>
      <c r="G99" s="40" t="s">
        <v>167</v>
      </c>
      <c r="H99" s="41"/>
      <c r="J99" s="1">
        <f t="shared" si="7"/>
        <v>0</v>
      </c>
      <c r="K99" s="1">
        <f t="shared" si="8"/>
        <v>0</v>
      </c>
      <c r="L99" s="1">
        <f t="shared" si="9"/>
        <v>0</v>
      </c>
      <c r="M99" s="1">
        <f t="shared" si="10"/>
        <v>0</v>
      </c>
      <c r="N99" s="1">
        <f t="shared" si="11"/>
        <v>0</v>
      </c>
      <c r="O99" s="1">
        <f t="shared" si="12"/>
        <v>1</v>
      </c>
      <c r="P99" s="36" t="str">
        <f t="shared" si="13"/>
        <v/>
      </c>
    </row>
    <row r="100" spans="1:16" ht="18" x14ac:dyDescent="0.35">
      <c r="A100" s="26" t="s">
        <v>67</v>
      </c>
      <c r="B100" s="26"/>
      <c r="C100" s="35">
        <v>91</v>
      </c>
      <c r="D100" s="51" t="s">
        <v>156</v>
      </c>
      <c r="E100" s="51"/>
      <c r="F100" s="51"/>
      <c r="G100" s="40"/>
      <c r="H100" s="41" t="s">
        <v>167</v>
      </c>
      <c r="J100" s="1">
        <f t="shared" si="7"/>
        <v>0</v>
      </c>
      <c r="K100" s="1">
        <f t="shared" si="8"/>
        <v>0</v>
      </c>
      <c r="L100" s="1">
        <f t="shared" si="9"/>
        <v>0</v>
      </c>
      <c r="M100" s="1">
        <f t="shared" si="10"/>
        <v>0</v>
      </c>
      <c r="N100" s="1">
        <f t="shared" si="11"/>
        <v>0</v>
      </c>
      <c r="O100" s="1">
        <f t="shared" si="12"/>
        <v>0</v>
      </c>
      <c r="P100" s="36" t="str">
        <f t="shared" si="13"/>
        <v/>
      </c>
    </row>
    <row r="101" spans="1:16" ht="18" x14ac:dyDescent="0.35">
      <c r="A101" s="26" t="s">
        <v>118</v>
      </c>
      <c r="B101" s="26"/>
      <c r="C101" s="35">
        <v>92</v>
      </c>
      <c r="D101" s="51" t="s">
        <v>247</v>
      </c>
      <c r="E101" s="51"/>
      <c r="F101" s="51"/>
      <c r="G101" s="40"/>
      <c r="H101" s="41" t="s">
        <v>167</v>
      </c>
      <c r="J101" s="1">
        <f t="shared" si="7"/>
        <v>0</v>
      </c>
      <c r="K101" s="1">
        <f t="shared" si="8"/>
        <v>0</v>
      </c>
      <c r="L101" s="1">
        <f t="shared" si="9"/>
        <v>0</v>
      </c>
      <c r="M101" s="1">
        <f t="shared" si="10"/>
        <v>0</v>
      </c>
      <c r="N101" s="1">
        <f t="shared" si="11"/>
        <v>0</v>
      </c>
      <c r="O101" s="1">
        <f t="shared" si="12"/>
        <v>0</v>
      </c>
      <c r="P101" s="36" t="str">
        <f t="shared" si="13"/>
        <v/>
      </c>
    </row>
    <row r="102" spans="1:16" ht="18" x14ac:dyDescent="0.35">
      <c r="A102" s="26" t="s">
        <v>62</v>
      </c>
      <c r="B102" s="26"/>
      <c r="C102" s="35">
        <v>93</v>
      </c>
      <c r="D102" s="51" t="s">
        <v>20</v>
      </c>
      <c r="E102" s="51"/>
      <c r="F102" s="51"/>
      <c r="G102" s="40"/>
      <c r="H102" s="41" t="s">
        <v>167</v>
      </c>
      <c r="J102" s="1">
        <f t="shared" si="7"/>
        <v>0</v>
      </c>
      <c r="K102" s="1">
        <f t="shared" si="8"/>
        <v>0</v>
      </c>
      <c r="L102" s="1">
        <f t="shared" si="9"/>
        <v>0</v>
      </c>
      <c r="M102" s="1">
        <f t="shared" si="10"/>
        <v>0</v>
      </c>
      <c r="N102" s="1">
        <f t="shared" si="11"/>
        <v>0</v>
      </c>
      <c r="O102" s="1">
        <f t="shared" si="12"/>
        <v>0</v>
      </c>
      <c r="P102" s="36" t="str">
        <f t="shared" si="13"/>
        <v/>
      </c>
    </row>
    <row r="103" spans="1:16" ht="18" x14ac:dyDescent="0.35">
      <c r="A103" s="26" t="s">
        <v>29</v>
      </c>
      <c r="B103" s="26"/>
      <c r="C103" s="35">
        <v>94</v>
      </c>
      <c r="D103" s="51" t="s">
        <v>0</v>
      </c>
      <c r="E103" s="51"/>
      <c r="F103" s="51"/>
      <c r="G103" s="40" t="s">
        <v>167</v>
      </c>
      <c r="H103" s="41"/>
      <c r="J103" s="1">
        <f t="shared" si="7"/>
        <v>1</v>
      </c>
      <c r="K103" s="1">
        <f t="shared" si="8"/>
        <v>0</v>
      </c>
      <c r="L103" s="1">
        <f t="shared" si="9"/>
        <v>0</v>
      </c>
      <c r="M103" s="1">
        <f t="shared" si="10"/>
        <v>0</v>
      </c>
      <c r="N103" s="1">
        <f t="shared" si="11"/>
        <v>0</v>
      </c>
      <c r="O103" s="1">
        <f t="shared" si="12"/>
        <v>0</v>
      </c>
      <c r="P103" s="36" t="str">
        <f t="shared" si="13"/>
        <v/>
      </c>
    </row>
    <row r="104" spans="1:16" ht="18" x14ac:dyDescent="0.35">
      <c r="A104" s="26" t="s">
        <v>112</v>
      </c>
      <c r="B104" s="26"/>
      <c r="C104" s="35">
        <v>95</v>
      </c>
      <c r="D104" s="51" t="s">
        <v>246</v>
      </c>
      <c r="E104" s="51"/>
      <c r="F104" s="51"/>
      <c r="G104" s="40"/>
      <c r="H104" s="41" t="s">
        <v>167</v>
      </c>
      <c r="J104" s="1">
        <f t="shared" si="7"/>
        <v>0</v>
      </c>
      <c r="K104" s="1">
        <f t="shared" si="8"/>
        <v>0</v>
      </c>
      <c r="L104" s="1">
        <f t="shared" si="9"/>
        <v>0</v>
      </c>
      <c r="M104" s="1">
        <f t="shared" si="10"/>
        <v>0</v>
      </c>
      <c r="N104" s="1">
        <f t="shared" si="11"/>
        <v>0</v>
      </c>
      <c r="O104" s="1">
        <f t="shared" si="12"/>
        <v>0</v>
      </c>
      <c r="P104" s="36" t="str">
        <f t="shared" si="13"/>
        <v/>
      </c>
    </row>
    <row r="105" spans="1:16" ht="18" x14ac:dyDescent="0.35">
      <c r="A105" s="26" t="s">
        <v>136</v>
      </c>
      <c r="B105" s="26"/>
      <c r="C105" s="35">
        <v>96</v>
      </c>
      <c r="D105" s="51" t="s">
        <v>154</v>
      </c>
      <c r="E105" s="51"/>
      <c r="F105" s="51"/>
      <c r="G105" s="40" t="s">
        <v>167</v>
      </c>
      <c r="H105" s="41"/>
      <c r="J105" s="1">
        <f t="shared" si="7"/>
        <v>0</v>
      </c>
      <c r="K105" s="1">
        <f t="shared" si="8"/>
        <v>0</v>
      </c>
      <c r="L105" s="1">
        <f t="shared" si="9"/>
        <v>0</v>
      </c>
      <c r="M105" s="1">
        <f t="shared" si="10"/>
        <v>0</v>
      </c>
      <c r="N105" s="1">
        <f t="shared" si="11"/>
        <v>0</v>
      </c>
      <c r="O105" s="1">
        <f t="shared" si="12"/>
        <v>1</v>
      </c>
      <c r="P105" s="36" t="str">
        <f t="shared" si="13"/>
        <v/>
      </c>
    </row>
    <row r="106" spans="1:16" ht="18" x14ac:dyDescent="0.35">
      <c r="A106" s="26" t="s">
        <v>97</v>
      </c>
      <c r="B106" s="26"/>
      <c r="C106" s="35">
        <v>97</v>
      </c>
      <c r="D106" s="51" t="s">
        <v>241</v>
      </c>
      <c r="E106" s="51"/>
      <c r="F106" s="51"/>
      <c r="G106" s="40"/>
      <c r="H106" s="41" t="s">
        <v>167</v>
      </c>
      <c r="J106" s="1">
        <f t="shared" si="7"/>
        <v>0</v>
      </c>
      <c r="K106" s="1">
        <f t="shared" si="8"/>
        <v>0</v>
      </c>
      <c r="L106" s="1">
        <f t="shared" si="9"/>
        <v>0</v>
      </c>
      <c r="M106" s="1">
        <f t="shared" si="10"/>
        <v>0</v>
      </c>
      <c r="N106" s="1">
        <f t="shared" si="11"/>
        <v>0</v>
      </c>
      <c r="O106" s="1">
        <f t="shared" si="12"/>
        <v>0</v>
      </c>
      <c r="P106" s="36" t="str">
        <f t="shared" si="13"/>
        <v/>
      </c>
    </row>
    <row r="107" spans="1:16" ht="18" x14ac:dyDescent="0.35">
      <c r="A107" s="26" t="s">
        <v>59</v>
      </c>
      <c r="B107" s="26"/>
      <c r="C107" s="35">
        <v>98</v>
      </c>
      <c r="D107" s="51" t="s">
        <v>229</v>
      </c>
      <c r="E107" s="51"/>
      <c r="F107" s="51"/>
      <c r="G107" s="40" t="s">
        <v>167</v>
      </c>
      <c r="H107" s="41"/>
      <c r="J107" s="1">
        <f t="shared" si="7"/>
        <v>0</v>
      </c>
      <c r="K107" s="1">
        <f t="shared" si="8"/>
        <v>1</v>
      </c>
      <c r="L107" s="1">
        <f t="shared" si="9"/>
        <v>0</v>
      </c>
      <c r="M107" s="1">
        <f t="shared" si="10"/>
        <v>0</v>
      </c>
      <c r="N107" s="1">
        <f t="shared" si="11"/>
        <v>0</v>
      </c>
      <c r="O107" s="1">
        <f t="shared" si="12"/>
        <v>0</v>
      </c>
      <c r="P107" s="36" t="str">
        <f t="shared" si="13"/>
        <v/>
      </c>
    </row>
    <row r="108" spans="1:16" ht="18" x14ac:dyDescent="0.35">
      <c r="A108" s="26" t="s">
        <v>92</v>
      </c>
      <c r="B108" s="26"/>
      <c r="C108" s="35">
        <v>99</v>
      </c>
      <c r="D108" s="51" t="s">
        <v>15</v>
      </c>
      <c r="E108" s="51"/>
      <c r="F108" s="51"/>
      <c r="G108" s="40"/>
      <c r="H108" s="41" t="s">
        <v>167</v>
      </c>
      <c r="J108" s="1">
        <f t="shared" si="7"/>
        <v>0</v>
      </c>
      <c r="K108" s="1">
        <f t="shared" si="8"/>
        <v>0</v>
      </c>
      <c r="L108" s="1">
        <f t="shared" si="9"/>
        <v>0</v>
      </c>
      <c r="M108" s="1">
        <f t="shared" si="10"/>
        <v>0</v>
      </c>
      <c r="N108" s="1">
        <f t="shared" si="11"/>
        <v>0</v>
      </c>
      <c r="O108" s="1">
        <f t="shared" si="12"/>
        <v>0</v>
      </c>
      <c r="P108" s="36" t="str">
        <f t="shared" si="13"/>
        <v/>
      </c>
    </row>
    <row r="109" spans="1:16" ht="18" x14ac:dyDescent="0.35">
      <c r="A109" s="26" t="s">
        <v>123</v>
      </c>
      <c r="B109" s="26"/>
      <c r="C109" s="35">
        <v>100</v>
      </c>
      <c r="D109" s="51" t="s">
        <v>147</v>
      </c>
      <c r="E109" s="51"/>
      <c r="F109" s="51"/>
      <c r="G109" s="40" t="s">
        <v>167</v>
      </c>
      <c r="H109" s="41"/>
      <c r="J109" s="1">
        <f t="shared" si="7"/>
        <v>0</v>
      </c>
      <c r="K109" s="1">
        <f t="shared" si="8"/>
        <v>0</v>
      </c>
      <c r="L109" s="1">
        <f t="shared" si="9"/>
        <v>0</v>
      </c>
      <c r="M109" s="1">
        <f t="shared" si="10"/>
        <v>0</v>
      </c>
      <c r="N109" s="1">
        <f t="shared" si="11"/>
        <v>0</v>
      </c>
      <c r="O109" s="1">
        <f t="shared" si="12"/>
        <v>1</v>
      </c>
      <c r="P109" s="36" t="str">
        <f t="shared" si="13"/>
        <v/>
      </c>
    </row>
    <row r="110" spans="1:16" ht="18" x14ac:dyDescent="0.35">
      <c r="A110" s="26" t="s">
        <v>46</v>
      </c>
      <c r="B110" s="26"/>
      <c r="C110" s="35">
        <v>101</v>
      </c>
      <c r="D110" s="51" t="s">
        <v>225</v>
      </c>
      <c r="E110" s="51"/>
      <c r="F110" s="51"/>
      <c r="G110" s="40"/>
      <c r="H110" s="41" t="s">
        <v>167</v>
      </c>
      <c r="J110" s="1">
        <f t="shared" si="7"/>
        <v>0</v>
      </c>
      <c r="K110" s="1">
        <f t="shared" si="8"/>
        <v>0</v>
      </c>
      <c r="L110" s="1">
        <f t="shared" si="9"/>
        <v>0</v>
      </c>
      <c r="M110" s="1">
        <f t="shared" si="10"/>
        <v>0</v>
      </c>
      <c r="N110" s="1">
        <f t="shared" si="11"/>
        <v>0</v>
      </c>
      <c r="O110" s="1">
        <f t="shared" si="12"/>
        <v>0</v>
      </c>
      <c r="P110" s="36" t="str">
        <f t="shared" si="13"/>
        <v/>
      </c>
    </row>
    <row r="111" spans="1:16" ht="18" x14ac:dyDescent="0.35">
      <c r="A111" s="26" t="s">
        <v>73</v>
      </c>
      <c r="B111" s="26"/>
      <c r="C111" s="35">
        <v>102</v>
      </c>
      <c r="D111" s="51" t="s">
        <v>261</v>
      </c>
      <c r="E111" s="51"/>
      <c r="F111" s="51"/>
      <c r="G111" s="40"/>
      <c r="H111" s="41" t="s">
        <v>167</v>
      </c>
      <c r="J111" s="1">
        <f t="shared" si="7"/>
        <v>0</v>
      </c>
      <c r="K111" s="1">
        <f t="shared" si="8"/>
        <v>0</v>
      </c>
      <c r="L111" s="1">
        <f t="shared" si="9"/>
        <v>0</v>
      </c>
      <c r="M111" s="1">
        <f t="shared" si="10"/>
        <v>0</v>
      </c>
      <c r="N111" s="1">
        <f t="shared" si="11"/>
        <v>0</v>
      </c>
      <c r="O111" s="1">
        <f t="shared" si="12"/>
        <v>0</v>
      </c>
      <c r="P111" s="36" t="str">
        <f t="shared" si="13"/>
        <v/>
      </c>
    </row>
    <row r="112" spans="1:16" ht="18" x14ac:dyDescent="0.35">
      <c r="A112" s="26" t="s">
        <v>100</v>
      </c>
      <c r="B112" s="26"/>
      <c r="C112" s="35">
        <v>103</v>
      </c>
      <c r="D112" s="51" t="s">
        <v>140</v>
      </c>
      <c r="E112" s="51"/>
      <c r="F112" s="51"/>
      <c r="G112" s="40" t="s">
        <v>167</v>
      </c>
      <c r="H112" s="41"/>
      <c r="J112" s="1">
        <f t="shared" si="7"/>
        <v>0</v>
      </c>
      <c r="K112" s="1">
        <f t="shared" si="8"/>
        <v>0</v>
      </c>
      <c r="L112" s="1">
        <f t="shared" si="9"/>
        <v>0</v>
      </c>
      <c r="M112" s="1">
        <f t="shared" si="10"/>
        <v>1</v>
      </c>
      <c r="N112" s="1">
        <f t="shared" si="11"/>
        <v>0</v>
      </c>
      <c r="O112" s="1">
        <f t="shared" si="12"/>
        <v>0</v>
      </c>
      <c r="P112" s="36" t="str">
        <f t="shared" si="13"/>
        <v/>
      </c>
    </row>
    <row r="113" spans="1:16" ht="18" x14ac:dyDescent="0.35">
      <c r="A113" s="26" t="s">
        <v>76</v>
      </c>
      <c r="B113" s="26"/>
      <c r="C113" s="35">
        <v>104</v>
      </c>
      <c r="D113" s="51" t="s">
        <v>236</v>
      </c>
      <c r="E113" s="51"/>
      <c r="F113" s="51"/>
      <c r="G113" s="40"/>
      <c r="H113" s="41" t="s">
        <v>167</v>
      </c>
      <c r="J113" s="1">
        <f t="shared" si="7"/>
        <v>0</v>
      </c>
      <c r="K113" s="1">
        <f t="shared" si="8"/>
        <v>0</v>
      </c>
      <c r="L113" s="1">
        <f t="shared" si="9"/>
        <v>0</v>
      </c>
      <c r="M113" s="1">
        <f t="shared" si="10"/>
        <v>0</v>
      </c>
      <c r="N113" s="1">
        <f t="shared" si="11"/>
        <v>0</v>
      </c>
      <c r="O113" s="1">
        <f t="shared" si="12"/>
        <v>0</v>
      </c>
      <c r="P113" s="36" t="str">
        <f t="shared" si="13"/>
        <v/>
      </c>
    </row>
    <row r="114" spans="1:16" ht="18" x14ac:dyDescent="0.35">
      <c r="A114" s="26" t="s">
        <v>104</v>
      </c>
      <c r="B114" s="26"/>
      <c r="C114" s="35">
        <v>105</v>
      </c>
      <c r="D114" s="51" t="s">
        <v>269</v>
      </c>
      <c r="E114" s="51"/>
      <c r="F114" s="51"/>
      <c r="G114" s="40"/>
      <c r="H114" s="41" t="s">
        <v>167</v>
      </c>
      <c r="J114" s="1">
        <f t="shared" si="7"/>
        <v>0</v>
      </c>
      <c r="K114" s="1">
        <f t="shared" si="8"/>
        <v>0</v>
      </c>
      <c r="L114" s="1">
        <f t="shared" si="9"/>
        <v>0</v>
      </c>
      <c r="M114" s="1">
        <f t="shared" si="10"/>
        <v>0</v>
      </c>
      <c r="N114" s="1">
        <f t="shared" si="11"/>
        <v>0</v>
      </c>
      <c r="O114" s="1">
        <f t="shared" si="12"/>
        <v>0</v>
      </c>
      <c r="P114" s="36" t="str">
        <f t="shared" si="13"/>
        <v/>
      </c>
    </row>
    <row r="115" spans="1:16" ht="18" x14ac:dyDescent="0.35">
      <c r="A115" s="26" t="s">
        <v>114</v>
      </c>
      <c r="B115" s="26"/>
      <c r="C115" s="35">
        <v>106</v>
      </c>
      <c r="D115" s="51" t="s">
        <v>245</v>
      </c>
      <c r="E115" s="51"/>
      <c r="F115" s="51"/>
      <c r="G115" s="40"/>
      <c r="H115" s="41" t="s">
        <v>167</v>
      </c>
      <c r="J115" s="1">
        <f t="shared" si="7"/>
        <v>0</v>
      </c>
      <c r="K115" s="1">
        <f t="shared" si="8"/>
        <v>0</v>
      </c>
      <c r="L115" s="1">
        <f t="shared" si="9"/>
        <v>0</v>
      </c>
      <c r="M115" s="1">
        <f t="shared" si="10"/>
        <v>0</v>
      </c>
      <c r="N115" s="1">
        <f t="shared" si="11"/>
        <v>0</v>
      </c>
      <c r="O115" s="1">
        <f t="shared" si="12"/>
        <v>0</v>
      </c>
      <c r="P115" s="36" t="str">
        <f t="shared" si="13"/>
        <v/>
      </c>
    </row>
    <row r="116" spans="1:16" ht="18" x14ac:dyDescent="0.35">
      <c r="A116" s="26" t="s">
        <v>120</v>
      </c>
      <c r="B116" s="26"/>
      <c r="C116" s="35">
        <v>107</v>
      </c>
      <c r="D116" s="51" t="s">
        <v>249</v>
      </c>
      <c r="E116" s="51"/>
      <c r="F116" s="51"/>
      <c r="G116" s="40" t="s">
        <v>167</v>
      </c>
      <c r="H116" s="41"/>
      <c r="J116" s="1">
        <f t="shared" si="7"/>
        <v>0</v>
      </c>
      <c r="K116" s="1">
        <f t="shared" si="8"/>
        <v>0</v>
      </c>
      <c r="L116" s="1">
        <f t="shared" si="9"/>
        <v>0</v>
      </c>
      <c r="M116" s="1">
        <f t="shared" si="10"/>
        <v>0</v>
      </c>
      <c r="N116" s="1">
        <f t="shared" si="11"/>
        <v>0</v>
      </c>
      <c r="O116" s="1">
        <f t="shared" si="12"/>
        <v>1</v>
      </c>
      <c r="P116" s="36" t="str">
        <f t="shared" si="13"/>
        <v/>
      </c>
    </row>
    <row r="117" spans="1:16" ht="18" x14ac:dyDescent="0.35">
      <c r="A117" s="26" t="s">
        <v>122</v>
      </c>
      <c r="B117" s="26"/>
      <c r="C117" s="35">
        <v>108</v>
      </c>
      <c r="D117" s="51" t="s">
        <v>146</v>
      </c>
      <c r="E117" s="51"/>
      <c r="F117" s="51"/>
      <c r="G117" s="40" t="s">
        <v>167</v>
      </c>
      <c r="H117" s="41"/>
      <c r="J117" s="1">
        <f t="shared" si="7"/>
        <v>0</v>
      </c>
      <c r="K117" s="1">
        <f t="shared" si="8"/>
        <v>0</v>
      </c>
      <c r="L117" s="1">
        <f t="shared" si="9"/>
        <v>0</v>
      </c>
      <c r="M117" s="1">
        <f t="shared" si="10"/>
        <v>0</v>
      </c>
      <c r="N117" s="1">
        <f t="shared" si="11"/>
        <v>0</v>
      </c>
      <c r="O117" s="1">
        <f t="shared" si="12"/>
        <v>1</v>
      </c>
      <c r="P117" s="36" t="str">
        <f t="shared" si="13"/>
        <v/>
      </c>
    </row>
    <row r="118" spans="1:16" hidden="1" x14ac:dyDescent="0.25">
      <c r="C118" s="58"/>
      <c r="D118" s="58"/>
      <c r="E118" s="58"/>
      <c r="F118" s="58"/>
      <c r="G118" s="1">
        <f>COUNTA(G10:G117)</f>
        <v>37</v>
      </c>
      <c r="H118" s="1">
        <f>COUNTA(H10:H117)</f>
        <v>71</v>
      </c>
      <c r="J118" s="1">
        <f>SUM(J10:J117)</f>
        <v>4</v>
      </c>
      <c r="K118" s="1">
        <f t="shared" ref="K118:O118" si="14">SUM(K10:K117)</f>
        <v>10</v>
      </c>
      <c r="L118" s="1">
        <f t="shared" si="14"/>
        <v>2</v>
      </c>
      <c r="M118" s="1">
        <f t="shared" si="14"/>
        <v>1</v>
      </c>
      <c r="N118" s="1">
        <f t="shared" si="14"/>
        <v>2</v>
      </c>
      <c r="O118" s="1">
        <f t="shared" si="14"/>
        <v>18</v>
      </c>
      <c r="P118" s="36" t="str">
        <f t="shared" si="13"/>
        <v>Pilih Satu Jawaban</v>
      </c>
    </row>
    <row r="119" spans="1:16" ht="19.5" customHeight="1" x14ac:dyDescent="0.3">
      <c r="C119" s="59" t="s">
        <v>215</v>
      </c>
      <c r="D119" s="59"/>
      <c r="E119" s="59"/>
      <c r="F119" s="59"/>
      <c r="G119" s="60" t="str">
        <f>IF(G118+H118=108,"LENGKAP","TIDAK LENGKAP")</f>
        <v>LENGKAP</v>
      </c>
      <c r="H119" s="60"/>
      <c r="J119" s="37" t="s">
        <v>137</v>
      </c>
      <c r="K119" s="37" t="s">
        <v>173</v>
      </c>
      <c r="L119" s="37" t="s">
        <v>138</v>
      </c>
      <c r="M119" s="37" t="s">
        <v>164</v>
      </c>
      <c r="N119" s="37" t="s">
        <v>165</v>
      </c>
      <c r="O119" s="37" t="s">
        <v>166</v>
      </c>
      <c r="P119" s="36"/>
    </row>
  </sheetData>
  <sheetProtection algorithmName="SHA-512" hashValue="/sC/oQO1/wZ99Ylgd08aQk5rLwqi+yOYRMoxR6dkem57Ed4uR+D1mqV3lsV0hhQ2dUJtOCegiV5IXxpD56cTXQ==" saltValue="pkn1XZUmoBzHbqZtVtGqMw==" spinCount="100000" sheet="1" selectLockedCells="1"/>
  <mergeCells count="114">
    <mergeCell ref="D116:F116"/>
    <mergeCell ref="D117:F117"/>
    <mergeCell ref="C118:F118"/>
    <mergeCell ref="C119:F119"/>
    <mergeCell ref="G119:H119"/>
    <mergeCell ref="D110:F110"/>
    <mergeCell ref="D111:F111"/>
    <mergeCell ref="D112:F112"/>
    <mergeCell ref="D113:F113"/>
    <mergeCell ref="D114:F114"/>
    <mergeCell ref="D115:F115"/>
    <mergeCell ref="D104:F104"/>
    <mergeCell ref="D105:F105"/>
    <mergeCell ref="D106:F106"/>
    <mergeCell ref="D107:F107"/>
    <mergeCell ref="D108:F108"/>
    <mergeCell ref="D109:F109"/>
    <mergeCell ref="D98:F98"/>
    <mergeCell ref="D99:F99"/>
    <mergeCell ref="D100:F100"/>
    <mergeCell ref="D101:F101"/>
    <mergeCell ref="D102:F102"/>
    <mergeCell ref="D103:F103"/>
    <mergeCell ref="D92:F92"/>
    <mergeCell ref="D93:F93"/>
    <mergeCell ref="D94:F94"/>
    <mergeCell ref="D95:F95"/>
    <mergeCell ref="D96:F96"/>
    <mergeCell ref="D97:F97"/>
    <mergeCell ref="D86:F86"/>
    <mergeCell ref="D87:F87"/>
    <mergeCell ref="D88:F88"/>
    <mergeCell ref="D89:F89"/>
    <mergeCell ref="D90:F90"/>
    <mergeCell ref="D91:F91"/>
    <mergeCell ref="D80:F80"/>
    <mergeCell ref="D81:F81"/>
    <mergeCell ref="D82:F82"/>
    <mergeCell ref="D83:F83"/>
    <mergeCell ref="D84:F84"/>
    <mergeCell ref="D85:F85"/>
    <mergeCell ref="D74:F74"/>
    <mergeCell ref="D75:F75"/>
    <mergeCell ref="D76:F76"/>
    <mergeCell ref="D77:F77"/>
    <mergeCell ref="D78:F78"/>
    <mergeCell ref="D79:F79"/>
    <mergeCell ref="D68:F68"/>
    <mergeCell ref="D69:F69"/>
    <mergeCell ref="D70:F70"/>
    <mergeCell ref="D71:F71"/>
    <mergeCell ref="D72:F72"/>
    <mergeCell ref="D73:F73"/>
    <mergeCell ref="D62:F62"/>
    <mergeCell ref="D63:F63"/>
    <mergeCell ref="D64:F64"/>
    <mergeCell ref="D65:F65"/>
    <mergeCell ref="D66:F66"/>
    <mergeCell ref="D67:F67"/>
    <mergeCell ref="D56:F56"/>
    <mergeCell ref="D57:F57"/>
    <mergeCell ref="D58:F58"/>
    <mergeCell ref="D59:F59"/>
    <mergeCell ref="D60:F60"/>
    <mergeCell ref="D61:F61"/>
    <mergeCell ref="D50:F50"/>
    <mergeCell ref="D51:F51"/>
    <mergeCell ref="D52:F52"/>
    <mergeCell ref="D53:F53"/>
    <mergeCell ref="D54:F54"/>
    <mergeCell ref="D55:F55"/>
    <mergeCell ref="D44:F44"/>
    <mergeCell ref="D45:F45"/>
    <mergeCell ref="D46:F46"/>
    <mergeCell ref="D47:F47"/>
    <mergeCell ref="D48:F48"/>
    <mergeCell ref="D49:F49"/>
    <mergeCell ref="D38:F38"/>
    <mergeCell ref="D39:F39"/>
    <mergeCell ref="D40:F40"/>
    <mergeCell ref="D41:F41"/>
    <mergeCell ref="D42:F42"/>
    <mergeCell ref="D43:F43"/>
    <mergeCell ref="D32:F32"/>
    <mergeCell ref="D33:F33"/>
    <mergeCell ref="D34:F34"/>
    <mergeCell ref="D35:F35"/>
    <mergeCell ref="D36:F36"/>
    <mergeCell ref="D37:F37"/>
    <mergeCell ref="D26:F26"/>
    <mergeCell ref="D27:F27"/>
    <mergeCell ref="D28:F28"/>
    <mergeCell ref="D29:F29"/>
    <mergeCell ref="D30:F30"/>
    <mergeCell ref="D31:F31"/>
    <mergeCell ref="D23:F23"/>
    <mergeCell ref="D24:F24"/>
    <mergeCell ref="D25:F25"/>
    <mergeCell ref="D14:F14"/>
    <mergeCell ref="D15:F15"/>
    <mergeCell ref="D16:F16"/>
    <mergeCell ref="D17:F17"/>
    <mergeCell ref="D18:F18"/>
    <mergeCell ref="D19:F19"/>
    <mergeCell ref="C1:H1"/>
    <mergeCell ref="D9:F9"/>
    <mergeCell ref="D10:F10"/>
    <mergeCell ref="D11:F11"/>
    <mergeCell ref="D12:F12"/>
    <mergeCell ref="D13:F13"/>
    <mergeCell ref="D20:F20"/>
    <mergeCell ref="D21:F21"/>
    <mergeCell ref="D22:F22"/>
    <mergeCell ref="C7:H7"/>
  </mergeCells>
  <phoneticPr fontId="3" type="noConversion"/>
  <dataValidations count="1">
    <dataValidation type="list" allowBlank="1" showInputMessage="1" showErrorMessage="1" sqref="F4" xr:uid="{939C464F-50FB-4406-8CA7-65B0D80D9460}">
      <formula1>$H$4:$H$5</formula1>
    </dataValidation>
  </dataValidations>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CC2C-6E5C-440A-8D9C-C1BFE9759B2F}">
  <sheetPr>
    <pageSetUpPr fitToPage="1"/>
  </sheetPr>
  <dimension ref="A1:N56"/>
  <sheetViews>
    <sheetView showGridLines="0" topLeftCell="A31" zoomScaleNormal="100" zoomScaleSheetLayoutView="130" workbookViewId="0">
      <selection activeCell="C40" sqref="C40:L40"/>
    </sheetView>
  </sheetViews>
  <sheetFormatPr defaultColWidth="0" defaultRowHeight="15" zeroHeight="1" x14ac:dyDescent="0.25"/>
  <cols>
    <col min="1" max="1" width="5.28515625" customWidth="1"/>
    <col min="2" max="2" width="2.28515625" customWidth="1"/>
    <col min="3" max="12" width="9.140625" customWidth="1"/>
    <col min="13" max="13" width="2.28515625" customWidth="1"/>
    <col min="14" max="14" width="5.85546875" customWidth="1"/>
    <col min="15" max="16384" width="9.140625" hidden="1"/>
  </cols>
  <sheetData>
    <row r="1" spans="2:13" x14ac:dyDescent="0.25"/>
    <row r="2" spans="2:13" ht="11.25" customHeight="1" x14ac:dyDescent="0.25">
      <c r="B2" s="17"/>
      <c r="C2" s="18"/>
      <c r="D2" s="18"/>
      <c r="E2" s="18"/>
      <c r="F2" s="18"/>
      <c r="G2" s="18"/>
      <c r="H2" s="18"/>
      <c r="I2" s="18"/>
      <c r="J2" s="18"/>
      <c r="K2" s="18"/>
      <c r="L2" s="18"/>
      <c r="M2" s="19"/>
    </row>
    <row r="3" spans="2:13" ht="16.5" customHeight="1" x14ac:dyDescent="0.25">
      <c r="B3" s="20"/>
      <c r="C3" s="61" t="s">
        <v>214</v>
      </c>
      <c r="D3" s="61"/>
      <c r="E3" s="61"/>
      <c r="F3" s="61"/>
      <c r="G3" s="61"/>
      <c r="H3" s="61"/>
      <c r="I3" s="61"/>
      <c r="J3" s="61"/>
      <c r="K3" s="61"/>
      <c r="L3" s="61"/>
      <c r="M3" s="21"/>
    </row>
    <row r="4" spans="2:13" ht="11.25" customHeight="1" x14ac:dyDescent="0.25">
      <c r="B4" s="20"/>
      <c r="C4" s="22"/>
      <c r="D4" s="22"/>
      <c r="E4" s="22"/>
      <c r="F4" s="22"/>
      <c r="G4" s="22"/>
      <c r="H4" s="22"/>
      <c r="I4" s="22"/>
      <c r="J4" s="22"/>
      <c r="K4" s="22"/>
      <c r="L4" s="22"/>
      <c r="M4" s="21"/>
    </row>
    <row r="5" spans="2:13" x14ac:dyDescent="0.25">
      <c r="B5" s="4"/>
      <c r="C5" s="3"/>
      <c r="D5" s="3"/>
      <c r="E5" s="3"/>
      <c r="F5" s="3"/>
      <c r="G5" s="3"/>
      <c r="H5" s="3"/>
      <c r="I5" s="3"/>
      <c r="J5" s="3"/>
      <c r="K5" s="3"/>
      <c r="L5" s="3"/>
      <c r="M5" s="5"/>
    </row>
    <row r="6" spans="2:13" ht="16.5" x14ac:dyDescent="0.3">
      <c r="B6" s="4"/>
      <c r="C6" s="11" t="s">
        <v>169</v>
      </c>
      <c r="D6" s="11"/>
      <c r="E6" s="11" t="str">
        <f>": "&amp;Soal!F3</f>
        <v>: Dina</v>
      </c>
      <c r="F6" s="11"/>
      <c r="G6" s="11"/>
      <c r="H6" s="11" t="s">
        <v>194</v>
      </c>
      <c r="I6" s="11"/>
      <c r="J6" s="11" t="str">
        <f>": "&amp;TEXT(Soal!F5,"dd mmm yyy")</f>
        <v>: 24 Des 1989</v>
      </c>
      <c r="K6" s="11"/>
      <c r="L6" s="11"/>
      <c r="M6" s="10"/>
    </row>
    <row r="7" spans="2:13" ht="16.5" x14ac:dyDescent="0.3">
      <c r="B7" s="4"/>
      <c r="C7" s="11" t="s">
        <v>170</v>
      </c>
      <c r="D7" s="11"/>
      <c r="E7" s="11" t="str">
        <f>": "&amp;Soal!F4</f>
        <v>: Laki-laki</v>
      </c>
      <c r="F7" s="11"/>
      <c r="G7" s="11"/>
      <c r="H7" s="11" t="s">
        <v>172</v>
      </c>
      <c r="I7" s="11"/>
      <c r="J7" s="11" t="str">
        <f>": "&amp;Soal!F6</f>
        <v>: S1 - Akuntansi</v>
      </c>
      <c r="K7" s="11"/>
      <c r="L7" s="11"/>
      <c r="M7" s="10"/>
    </row>
    <row r="8" spans="2:13" x14ac:dyDescent="0.25">
      <c r="B8" s="6"/>
      <c r="C8" s="7"/>
      <c r="D8" s="7"/>
      <c r="E8" s="7"/>
      <c r="F8" s="7"/>
      <c r="G8" s="7"/>
      <c r="H8" s="7"/>
      <c r="I8" s="7"/>
      <c r="J8" s="7"/>
      <c r="K8" s="7"/>
      <c r="L8" s="7"/>
      <c r="M8" s="8"/>
    </row>
    <row r="9" spans="2:13" x14ac:dyDescent="0.25">
      <c r="B9" s="4"/>
      <c r="C9" s="9"/>
      <c r="D9" s="3"/>
      <c r="E9" s="9"/>
      <c r="F9" s="3"/>
      <c r="G9" s="3"/>
      <c r="H9" s="3"/>
      <c r="I9" s="3"/>
      <c r="J9" s="3"/>
      <c r="K9" s="3"/>
      <c r="L9" s="3"/>
      <c r="M9" s="5"/>
    </row>
    <row r="10" spans="2:13" ht="18" x14ac:dyDescent="0.25">
      <c r="B10" s="4"/>
      <c r="C10" s="12" t="s">
        <v>298</v>
      </c>
      <c r="D10" s="3"/>
      <c r="E10" s="3"/>
      <c r="F10" s="3"/>
      <c r="G10" s="3"/>
      <c r="H10" s="3"/>
      <c r="I10" s="3"/>
      <c r="J10" s="3"/>
      <c r="K10" s="3"/>
      <c r="L10" s="3"/>
      <c r="M10" s="5"/>
    </row>
    <row r="11" spans="2:13" ht="15.75" x14ac:dyDescent="0.25">
      <c r="B11" s="4"/>
      <c r="C11" s="13"/>
      <c r="D11" s="3"/>
      <c r="E11" s="3"/>
      <c r="F11" s="3"/>
      <c r="G11" s="3"/>
      <c r="H11" s="3"/>
      <c r="I11" s="3"/>
      <c r="J11" s="3"/>
      <c r="K11" s="3"/>
      <c r="L11" s="3"/>
      <c r="M11" s="5"/>
    </row>
    <row r="12" spans="2:13" ht="21.75" customHeight="1" x14ac:dyDescent="0.25">
      <c r="B12" s="4"/>
      <c r="C12" s="13"/>
      <c r="D12" s="3"/>
      <c r="E12" s="14" t="s">
        <v>137</v>
      </c>
      <c r="F12" s="14" t="s">
        <v>173</v>
      </c>
      <c r="G12" s="14" t="s">
        <v>138</v>
      </c>
      <c r="H12" s="14" t="s">
        <v>164</v>
      </c>
      <c r="I12" s="14" t="s">
        <v>165</v>
      </c>
      <c r="J12" s="14" t="s">
        <v>166</v>
      </c>
      <c r="K12" s="3"/>
      <c r="L12" s="3"/>
      <c r="M12" s="5"/>
    </row>
    <row r="13" spans="2:13" ht="6" customHeight="1" x14ac:dyDescent="0.25">
      <c r="B13" s="4"/>
      <c r="C13" s="13"/>
      <c r="D13" s="3"/>
      <c r="E13" s="15" t="s">
        <v>174</v>
      </c>
      <c r="F13" s="15" t="s">
        <v>175</v>
      </c>
      <c r="G13" s="15" t="s">
        <v>176</v>
      </c>
      <c r="H13" s="15" t="s">
        <v>177</v>
      </c>
      <c r="I13" s="15" t="s">
        <v>178</v>
      </c>
      <c r="J13" s="15" t="s">
        <v>179</v>
      </c>
      <c r="K13" s="3"/>
      <c r="L13" s="3"/>
      <c r="M13" s="5"/>
    </row>
    <row r="14" spans="2:13" ht="21" customHeight="1" x14ac:dyDescent="0.25">
      <c r="B14" s="4"/>
      <c r="C14" s="3"/>
      <c r="D14" s="3"/>
      <c r="E14" s="16">
        <f>Soal!J118</f>
        <v>4</v>
      </c>
      <c r="F14" s="16">
        <f>Soal!K118</f>
        <v>10</v>
      </c>
      <c r="G14" s="16">
        <f>Soal!L118</f>
        <v>2</v>
      </c>
      <c r="H14" s="16">
        <f>Soal!M118</f>
        <v>1</v>
      </c>
      <c r="I14" s="16">
        <f>Soal!N118</f>
        <v>2</v>
      </c>
      <c r="J14" s="16">
        <f>Soal!O118</f>
        <v>18</v>
      </c>
      <c r="K14" s="3"/>
      <c r="L14" s="3"/>
      <c r="M14" s="5"/>
    </row>
    <row r="15" spans="2:13" x14ac:dyDescent="0.25">
      <c r="B15" s="4"/>
      <c r="C15" s="3"/>
      <c r="D15" s="3"/>
      <c r="E15" s="3"/>
      <c r="F15" s="3"/>
      <c r="G15" s="3"/>
      <c r="H15" s="3"/>
      <c r="I15" s="3"/>
      <c r="J15" s="3"/>
      <c r="K15" s="3"/>
      <c r="L15" s="3"/>
      <c r="M15" s="5"/>
    </row>
    <row r="16" spans="2:13" x14ac:dyDescent="0.25">
      <c r="B16" s="4"/>
      <c r="C16" s="3"/>
      <c r="D16" s="3"/>
      <c r="E16" s="3"/>
      <c r="F16" s="3"/>
      <c r="G16" s="3"/>
      <c r="H16" s="3"/>
      <c r="I16" s="3"/>
      <c r="J16" s="3"/>
      <c r="K16" s="3"/>
      <c r="L16" s="3"/>
      <c r="M16" s="5"/>
    </row>
    <row r="17" spans="2:13" x14ac:dyDescent="0.25">
      <c r="B17" s="4"/>
      <c r="C17" s="3"/>
      <c r="D17" s="3"/>
      <c r="J17" s="3"/>
      <c r="K17" s="3"/>
      <c r="L17" s="3"/>
      <c r="M17" s="5"/>
    </row>
    <row r="18" spans="2:13" x14ac:dyDescent="0.25">
      <c r="B18" s="4"/>
      <c r="C18" s="3"/>
      <c r="D18" s="3"/>
      <c r="E18" s="47">
        <f>RANK(F18,$F$18:$G$23,1)+COUNTIF($F$18:F18,F18)-1</f>
        <v>3</v>
      </c>
      <c r="F18" s="47">
        <f>RANK($E$14,$E$14:$J$14)</f>
        <v>3</v>
      </c>
      <c r="G18" s="47" t="s">
        <v>137</v>
      </c>
      <c r="H18" s="47">
        <v>1</v>
      </c>
      <c r="I18" s="47" t="str">
        <f>VLOOKUP(H18,$E$18:$G$23,3,0)</f>
        <v>C</v>
      </c>
      <c r="J18" s="24" t="str">
        <f>HLOOKUP(I18,$E$12:$J$13,2,0)</f>
        <v>Conventional</v>
      </c>
      <c r="K18" s="24"/>
      <c r="L18" s="3"/>
      <c r="M18" s="5"/>
    </row>
    <row r="19" spans="2:13" x14ac:dyDescent="0.25">
      <c r="B19" s="4"/>
      <c r="C19" s="3"/>
      <c r="D19" s="3"/>
      <c r="E19" s="47">
        <f>RANK(F19,$F$18:$G$23,1)+COUNTIF($F$18:F19,F19)-1</f>
        <v>2</v>
      </c>
      <c r="F19" s="47">
        <f>RANK($F$14,$E$14:$J$14)</f>
        <v>2</v>
      </c>
      <c r="G19" s="47" t="s">
        <v>173</v>
      </c>
      <c r="H19" s="47">
        <v>2</v>
      </c>
      <c r="I19" s="47" t="str">
        <f t="shared" ref="I19:I23" si="0">VLOOKUP(H19,$E$18:$G$23,3,0)</f>
        <v>I</v>
      </c>
      <c r="J19" s="24" t="str">
        <f t="shared" ref="J19:J23" si="1">HLOOKUP(I19,$E$12:$J$13,2,0)</f>
        <v>Investigative</v>
      </c>
      <c r="K19" s="24"/>
      <c r="L19" s="3"/>
      <c r="M19" s="5"/>
    </row>
    <row r="20" spans="2:13" x14ac:dyDescent="0.25">
      <c r="B20" s="4"/>
      <c r="C20" s="3"/>
      <c r="D20" s="3"/>
      <c r="E20" s="47">
        <f>RANK(F20,$F$18:$G$23,1)+COUNTIF($F$18:F20,F20)-1</f>
        <v>4</v>
      </c>
      <c r="F20" s="47">
        <f>RANK($G$14,$E$14:$J$14)</f>
        <v>4</v>
      </c>
      <c r="G20" s="47" t="s">
        <v>138</v>
      </c>
      <c r="H20" s="47">
        <v>3</v>
      </c>
      <c r="I20" s="47" t="str">
        <f t="shared" si="0"/>
        <v>R</v>
      </c>
      <c r="J20" s="24" t="str">
        <f t="shared" si="1"/>
        <v>Realistic</v>
      </c>
      <c r="K20" s="24"/>
      <c r="L20" s="3"/>
      <c r="M20" s="5"/>
    </row>
    <row r="21" spans="2:13" x14ac:dyDescent="0.25">
      <c r="B21" s="4"/>
      <c r="C21" s="3"/>
      <c r="D21" s="3"/>
      <c r="E21" s="47">
        <f>RANK(F21,$F$18:$G$23,1)+COUNTIF($F$18:F21,F21)-1</f>
        <v>6</v>
      </c>
      <c r="F21" s="47">
        <f>RANK($H$14,$E$14:$J$14)</f>
        <v>6</v>
      </c>
      <c r="G21" s="47" t="s">
        <v>164</v>
      </c>
      <c r="H21" s="47">
        <v>4</v>
      </c>
      <c r="I21" s="47" t="str">
        <f t="shared" si="0"/>
        <v>A</v>
      </c>
      <c r="J21" s="24" t="str">
        <f t="shared" si="1"/>
        <v>Artistic</v>
      </c>
      <c r="K21" s="24"/>
      <c r="L21" s="3"/>
      <c r="M21" s="5"/>
    </row>
    <row r="22" spans="2:13" x14ac:dyDescent="0.25">
      <c r="B22" s="4"/>
      <c r="C22" s="3"/>
      <c r="D22" s="3"/>
      <c r="E22" s="47">
        <f>RANK(F22,$F$18:$G$23,1)+COUNTIF($F$18:F22,F22)-1</f>
        <v>5</v>
      </c>
      <c r="F22" s="47">
        <f>RANK($I$14,$E$14:$J$14)</f>
        <v>4</v>
      </c>
      <c r="G22" s="47" t="s">
        <v>165</v>
      </c>
      <c r="H22" s="47">
        <v>5</v>
      </c>
      <c r="I22" s="47" t="str">
        <f t="shared" si="0"/>
        <v>E</v>
      </c>
      <c r="J22" s="24" t="str">
        <f t="shared" si="1"/>
        <v>Enterprising</v>
      </c>
      <c r="K22" s="24"/>
      <c r="L22" s="3"/>
      <c r="M22" s="5"/>
    </row>
    <row r="23" spans="2:13" x14ac:dyDescent="0.25">
      <c r="B23" s="4"/>
      <c r="C23" s="3"/>
      <c r="D23" s="3"/>
      <c r="E23" s="47">
        <f>RANK(F23,$F$18:$G$23,1)+COUNTIF($F$18:F23,F23)-1</f>
        <v>1</v>
      </c>
      <c r="F23" s="47">
        <f>RANK($J$14,$E$14:$J$14)</f>
        <v>1</v>
      </c>
      <c r="G23" s="47" t="s">
        <v>166</v>
      </c>
      <c r="H23" s="47">
        <v>6</v>
      </c>
      <c r="I23" s="47" t="str">
        <f t="shared" si="0"/>
        <v>S</v>
      </c>
      <c r="J23" s="24" t="str">
        <f t="shared" si="1"/>
        <v>Social</v>
      </c>
      <c r="K23" s="24"/>
      <c r="L23" s="3"/>
      <c r="M23" s="5"/>
    </row>
    <row r="24" spans="2:13" x14ac:dyDescent="0.25">
      <c r="B24" s="4"/>
      <c r="C24" s="3"/>
      <c r="D24" s="3"/>
      <c r="E24" s="24"/>
      <c r="F24" s="24"/>
      <c r="G24" s="24"/>
      <c r="H24" s="24"/>
      <c r="I24" s="24"/>
      <c r="J24" s="24"/>
      <c r="K24" s="24"/>
      <c r="L24" s="3"/>
      <c r="M24" s="5"/>
    </row>
    <row r="25" spans="2:13" x14ac:dyDescent="0.25">
      <c r="B25" s="4"/>
      <c r="C25" s="3"/>
      <c r="D25" s="3"/>
      <c r="E25" s="3"/>
      <c r="F25" s="3"/>
      <c r="G25" s="3"/>
      <c r="H25" s="3"/>
      <c r="I25" s="3"/>
      <c r="J25" s="3"/>
      <c r="K25" s="3"/>
      <c r="L25" s="3"/>
      <c r="M25" s="5"/>
    </row>
    <row r="26" spans="2:13" x14ac:dyDescent="0.25">
      <c r="B26" s="4"/>
      <c r="C26" s="3"/>
      <c r="D26" s="3"/>
      <c r="E26" s="3"/>
      <c r="F26" s="3"/>
      <c r="G26" s="3"/>
      <c r="H26" s="3"/>
      <c r="I26" s="3"/>
      <c r="J26" s="3"/>
      <c r="K26" s="3"/>
      <c r="L26" s="3"/>
      <c r="M26" s="5"/>
    </row>
    <row r="27" spans="2:13" x14ac:dyDescent="0.25">
      <c r="B27" s="4"/>
      <c r="C27" s="3"/>
      <c r="D27" s="3"/>
      <c r="E27" s="3"/>
      <c r="F27" s="3"/>
      <c r="G27" s="3"/>
      <c r="H27" s="3"/>
      <c r="I27" s="3"/>
      <c r="J27" s="3"/>
      <c r="K27" s="3"/>
      <c r="L27" s="3"/>
      <c r="M27" s="5"/>
    </row>
    <row r="28" spans="2:13" x14ac:dyDescent="0.25">
      <c r="B28" s="4"/>
      <c r="C28" s="3"/>
      <c r="D28" s="3"/>
      <c r="E28" s="3"/>
      <c r="F28" s="3"/>
      <c r="G28" s="3"/>
      <c r="H28" s="3"/>
      <c r="I28" s="3"/>
      <c r="J28" s="3"/>
      <c r="K28" s="3"/>
      <c r="L28" s="3"/>
      <c r="M28" s="5"/>
    </row>
    <row r="29" spans="2:13" x14ac:dyDescent="0.25">
      <c r="B29" s="4"/>
      <c r="C29" s="3"/>
      <c r="D29" s="3"/>
      <c r="E29" s="3"/>
      <c r="F29" s="3"/>
      <c r="G29" s="3"/>
      <c r="H29" s="3"/>
      <c r="I29" s="3"/>
      <c r="J29" s="3"/>
      <c r="K29" s="3"/>
      <c r="L29" s="3"/>
      <c r="M29" s="5"/>
    </row>
    <row r="30" spans="2:13" x14ac:dyDescent="0.25">
      <c r="B30" s="4"/>
      <c r="C30" s="3"/>
      <c r="D30" s="3"/>
      <c r="E30" s="3"/>
      <c r="F30" s="3"/>
      <c r="G30" s="3"/>
      <c r="H30" s="3"/>
      <c r="I30" s="3"/>
      <c r="J30" s="3"/>
      <c r="K30" s="3"/>
      <c r="L30" s="3"/>
      <c r="M30" s="5"/>
    </row>
    <row r="31" spans="2:13" x14ac:dyDescent="0.25">
      <c r="B31" s="4"/>
      <c r="C31" s="3"/>
      <c r="D31" s="3"/>
      <c r="E31" s="3"/>
      <c r="F31" s="3"/>
      <c r="G31" s="3"/>
      <c r="H31" s="3"/>
      <c r="I31" s="3"/>
      <c r="J31" s="3"/>
      <c r="K31" s="3"/>
      <c r="L31" s="3"/>
      <c r="M31" s="5"/>
    </row>
    <row r="32" spans="2:13" ht="18" x14ac:dyDescent="0.25">
      <c r="B32" s="4"/>
      <c r="C32" s="12" t="s">
        <v>297</v>
      </c>
      <c r="D32" s="3"/>
      <c r="E32" s="3"/>
      <c r="F32" s="3"/>
      <c r="G32" s="3"/>
      <c r="H32" s="3"/>
      <c r="I32" s="3"/>
      <c r="J32" s="3"/>
      <c r="K32" s="3"/>
      <c r="L32" s="3"/>
      <c r="M32" s="5"/>
    </row>
    <row r="33" spans="2:13" ht="46.5" customHeight="1" x14ac:dyDescent="0.25">
      <c r="B33" s="4"/>
      <c r="C33" s="3"/>
      <c r="D33" s="3"/>
      <c r="E33" s="3"/>
      <c r="F33" s="62" t="s">
        <v>180</v>
      </c>
      <c r="G33" s="62"/>
      <c r="H33" s="62"/>
      <c r="I33" s="62"/>
      <c r="J33" s="3"/>
      <c r="K33" s="3"/>
      <c r="L33" s="3"/>
      <c r="M33" s="5"/>
    </row>
    <row r="34" spans="2:13" ht="21.75" customHeight="1" x14ac:dyDescent="0.25">
      <c r="B34" s="4"/>
      <c r="C34" s="3"/>
      <c r="D34" s="3"/>
      <c r="E34" s="3"/>
      <c r="F34" s="3"/>
      <c r="G34" s="71" t="str">
        <f>I18</f>
        <v>C</v>
      </c>
      <c r="H34" s="71"/>
      <c r="I34" s="3"/>
      <c r="J34" s="3"/>
      <c r="K34" s="3"/>
      <c r="L34" s="3"/>
      <c r="M34" s="5"/>
    </row>
    <row r="35" spans="2:13" ht="21" customHeight="1" x14ac:dyDescent="0.25">
      <c r="B35" s="4"/>
      <c r="C35" s="3"/>
      <c r="D35" s="3"/>
      <c r="E35" s="3"/>
      <c r="F35" s="3"/>
      <c r="G35" s="72" t="str">
        <f>J18</f>
        <v>Conventional</v>
      </c>
      <c r="H35" s="72"/>
      <c r="I35" s="3"/>
      <c r="J35" s="3"/>
      <c r="K35" s="3"/>
      <c r="L35" s="3"/>
      <c r="M35" s="5"/>
    </row>
    <row r="36" spans="2:13" ht="41.25" customHeight="1" x14ac:dyDescent="0.25">
      <c r="B36" s="4"/>
      <c r="C36" s="3"/>
      <c r="D36" s="3"/>
      <c r="E36" s="3"/>
      <c r="F36" s="3"/>
      <c r="G36" s="73" t="str">
        <f>I19</f>
        <v>I</v>
      </c>
      <c r="H36" s="74" t="str">
        <f>I20</f>
        <v>R</v>
      </c>
      <c r="I36" s="3"/>
      <c r="J36" s="3"/>
      <c r="K36" s="3"/>
      <c r="L36" s="3"/>
      <c r="M36" s="5"/>
    </row>
    <row r="37" spans="2:13" ht="24" customHeight="1" x14ac:dyDescent="0.25">
      <c r="B37" s="4"/>
      <c r="C37" s="3"/>
      <c r="D37" s="3"/>
      <c r="E37" s="39"/>
      <c r="F37" s="3"/>
      <c r="G37" s="63" t="s">
        <v>286</v>
      </c>
      <c r="H37" s="63"/>
      <c r="I37" s="3"/>
      <c r="J37" s="3"/>
      <c r="K37" s="3"/>
      <c r="L37" s="3"/>
      <c r="M37" s="5"/>
    </row>
    <row r="38" spans="2:13" ht="24" customHeight="1" x14ac:dyDescent="0.25">
      <c r="B38" s="4"/>
      <c r="C38" s="3"/>
      <c r="D38" s="3"/>
      <c r="E38" s="39"/>
      <c r="F38" s="3"/>
      <c r="G38" s="64" t="str">
        <f>VLOOKUP(G34&amp;G36,referensi!B11:C40,2,0)</f>
        <v>Sedang</v>
      </c>
      <c r="H38" s="64"/>
      <c r="I38" s="3"/>
      <c r="J38" s="3"/>
      <c r="K38" s="3"/>
      <c r="L38" s="3"/>
      <c r="M38" s="5"/>
    </row>
    <row r="39" spans="2:13" ht="31.5" customHeight="1" x14ac:dyDescent="0.25">
      <c r="B39" s="4"/>
      <c r="C39" s="3"/>
      <c r="D39" s="3"/>
      <c r="E39" s="3"/>
      <c r="F39" s="24" t="str">
        <f>$I$18&amp;$I$19</f>
        <v>CI</v>
      </c>
      <c r="G39" s="3"/>
      <c r="H39" s="3"/>
      <c r="I39" s="3"/>
      <c r="J39" s="3"/>
      <c r="K39" s="3"/>
      <c r="L39" s="3"/>
      <c r="M39" s="5"/>
    </row>
    <row r="40" spans="2:13" ht="89.25" customHeight="1" x14ac:dyDescent="0.25">
      <c r="B40" s="4"/>
      <c r="C40" s="65" t="str">
        <f>VLOOKUP(G34,referensi!A2:B7,2,0)</f>
        <v>Orang dengan minat  Convensial menghasilkan preferensi yang membawa individu untuk menyenangi aktivitas yang teratur dan sistematis seperti misalnya mengarsipkan sesuatu, mereproduksi material, mencatat data, mengolah data, menyukai pekerjaan yang mengikuti prosedur dan rutinitas yang ditetapkan. Kecenderungan ini me-ngantarkan individu memiliki kompetensi klerikal, menghitung dan kompetensi bisnis. Tapi mengurangi kompetensi artistik.</v>
      </c>
      <c r="D40" s="66"/>
      <c r="E40" s="66"/>
      <c r="F40" s="66"/>
      <c r="G40" s="66"/>
      <c r="H40" s="66"/>
      <c r="I40" s="66"/>
      <c r="J40" s="66"/>
      <c r="K40" s="66"/>
      <c r="L40" s="67"/>
      <c r="M40" s="5"/>
    </row>
    <row r="41" spans="2:13" x14ac:dyDescent="0.25">
      <c r="B41" s="4"/>
      <c r="C41" s="3"/>
      <c r="D41" s="3"/>
      <c r="E41" s="3"/>
      <c r="F41" s="3"/>
      <c r="G41" s="3"/>
      <c r="H41" s="3"/>
      <c r="I41" s="3"/>
      <c r="J41" s="3"/>
      <c r="K41" s="3"/>
      <c r="L41" s="3"/>
      <c r="M41" s="5"/>
    </row>
    <row r="42" spans="2:13" ht="18" x14ac:dyDescent="0.25">
      <c r="B42" s="4"/>
      <c r="C42" s="12" t="s">
        <v>272</v>
      </c>
      <c r="D42" s="3"/>
      <c r="E42" s="3"/>
      <c r="F42" s="3"/>
      <c r="G42" s="3"/>
      <c r="H42" s="3"/>
      <c r="I42" s="3"/>
      <c r="J42" s="3"/>
      <c r="K42" s="3"/>
      <c r="L42" s="3"/>
      <c r="M42" s="5"/>
    </row>
    <row r="43" spans="2:13" ht="6.75" customHeight="1" x14ac:dyDescent="0.25">
      <c r="B43" s="4"/>
      <c r="C43" s="12"/>
      <c r="D43" s="3"/>
      <c r="E43" s="3"/>
      <c r="F43" s="3"/>
      <c r="G43" s="3"/>
      <c r="H43" s="3"/>
      <c r="I43" s="3"/>
      <c r="J43" s="3"/>
      <c r="K43" s="3"/>
      <c r="L43" s="3"/>
      <c r="M43" s="5"/>
    </row>
    <row r="44" spans="2:13" ht="10.5" customHeight="1" x14ac:dyDescent="0.25">
      <c r="B44" s="4"/>
      <c r="C44" s="3"/>
      <c r="D44" s="3"/>
      <c r="E44" s="3"/>
      <c r="F44" s="3"/>
      <c r="G44" s="3"/>
      <c r="H44" s="3"/>
      <c r="I44" s="3"/>
      <c r="J44" s="3"/>
      <c r="K44" s="3"/>
      <c r="L44" s="3"/>
      <c r="M44" s="5"/>
    </row>
    <row r="45" spans="2:13" ht="48" customHeight="1" x14ac:dyDescent="0.25">
      <c r="B45" s="4"/>
      <c r="C45" s="68" t="str">
        <f>VLOOKUP(G34,referensi!A1:C7,3,0)</f>
        <v>Akuntan, Aktuaris, Ahli Statistik, Analis Keuangan, Operator komputer, Pustakawan, Programer Bisnis, Pengarsip, dan pekerjaan yang berhubungan dengan administrasi.</v>
      </c>
      <c r="D45" s="69"/>
      <c r="E45" s="69"/>
      <c r="F45" s="69"/>
      <c r="G45" s="69"/>
      <c r="H45" s="69"/>
      <c r="I45" s="69"/>
      <c r="J45" s="69"/>
      <c r="K45" s="69"/>
      <c r="L45" s="70"/>
      <c r="M45" s="5"/>
    </row>
    <row r="46" spans="2:13" x14ac:dyDescent="0.25">
      <c r="B46" s="4"/>
      <c r="C46" s="3"/>
      <c r="D46" s="3"/>
      <c r="E46" s="3"/>
      <c r="F46" s="3"/>
      <c r="G46" s="3"/>
      <c r="H46" s="3"/>
      <c r="I46" s="3"/>
      <c r="J46" s="3"/>
      <c r="K46" s="3"/>
      <c r="L46" s="3"/>
      <c r="M46" s="5"/>
    </row>
    <row r="47" spans="2:13" x14ac:dyDescent="0.25">
      <c r="B47" s="4"/>
      <c r="C47" s="3"/>
      <c r="D47" s="3"/>
      <c r="E47" s="3"/>
      <c r="F47" s="3"/>
      <c r="G47" s="3"/>
      <c r="H47" s="3"/>
      <c r="I47" s="3"/>
      <c r="J47" s="3"/>
      <c r="K47" s="3"/>
      <c r="L47" s="3"/>
      <c r="M47" s="5"/>
    </row>
    <row r="48" spans="2:13" x14ac:dyDescent="0.25">
      <c r="B48" s="4"/>
      <c r="C48" s="3"/>
      <c r="D48" s="3"/>
      <c r="E48" s="3"/>
      <c r="F48" s="3"/>
      <c r="G48" s="3"/>
      <c r="H48" s="3"/>
      <c r="I48" s="3"/>
      <c r="J48" s="3"/>
      <c r="K48" s="3"/>
      <c r="L48" s="3"/>
      <c r="M48" s="5"/>
    </row>
    <row r="49" spans="2:13" x14ac:dyDescent="0.25">
      <c r="B49" s="4"/>
      <c r="C49" s="3"/>
      <c r="D49" s="3"/>
      <c r="E49" s="3"/>
      <c r="F49" s="3"/>
      <c r="G49" s="3"/>
      <c r="H49" s="3"/>
      <c r="I49" s="3"/>
      <c r="J49" s="3"/>
      <c r="K49" s="3"/>
      <c r="L49" s="3"/>
      <c r="M49" s="5"/>
    </row>
    <row r="50" spans="2:13" x14ac:dyDescent="0.25">
      <c r="B50" s="4"/>
      <c r="C50" s="3"/>
      <c r="D50" s="3"/>
      <c r="E50" s="3"/>
      <c r="F50" s="3"/>
      <c r="G50" s="3"/>
      <c r="H50" s="3"/>
      <c r="I50" s="3"/>
      <c r="J50" s="3"/>
      <c r="K50" s="3"/>
      <c r="L50" s="3"/>
      <c r="M50" s="5"/>
    </row>
    <row r="51" spans="2:13" x14ac:dyDescent="0.25">
      <c r="B51" s="4"/>
      <c r="C51" s="3"/>
      <c r="D51" s="3"/>
      <c r="E51" s="3"/>
      <c r="F51" s="3"/>
      <c r="G51" s="3"/>
      <c r="H51" s="3"/>
      <c r="I51" s="3"/>
      <c r="J51" s="3"/>
      <c r="K51" s="3"/>
      <c r="L51" s="3"/>
      <c r="M51" s="5"/>
    </row>
    <row r="52" spans="2:13" x14ac:dyDescent="0.25">
      <c r="B52" s="4"/>
      <c r="C52" s="3"/>
      <c r="D52" s="3"/>
      <c r="E52" s="3"/>
      <c r="F52" s="3"/>
      <c r="G52" s="3"/>
      <c r="H52" s="3"/>
      <c r="I52" s="3"/>
      <c r="J52" s="3"/>
      <c r="K52" s="3"/>
      <c r="L52" s="3"/>
      <c r="M52" s="5"/>
    </row>
    <row r="53" spans="2:13" x14ac:dyDescent="0.25">
      <c r="B53" s="4"/>
      <c r="C53" s="3"/>
      <c r="D53" s="3"/>
      <c r="E53" s="3"/>
      <c r="F53" s="3"/>
      <c r="G53" s="3"/>
      <c r="H53" s="3"/>
      <c r="I53" s="3"/>
      <c r="J53" s="3"/>
      <c r="K53" s="3"/>
      <c r="L53" s="3"/>
      <c r="M53" s="5"/>
    </row>
    <row r="54" spans="2:13" ht="11.25" customHeight="1" x14ac:dyDescent="0.25">
      <c r="B54" s="6"/>
      <c r="C54" s="7"/>
      <c r="D54" s="7"/>
      <c r="E54" s="7"/>
      <c r="F54" s="7"/>
      <c r="G54" s="7"/>
      <c r="H54" s="7"/>
      <c r="I54" s="7"/>
      <c r="J54" s="7"/>
      <c r="K54" s="7"/>
      <c r="L54" s="7"/>
      <c r="M54" s="8"/>
    </row>
    <row r="55" spans="2:13" x14ac:dyDescent="0.25"/>
    <row r="56" spans="2:13" x14ac:dyDescent="0.25"/>
  </sheetData>
  <sheetProtection algorithmName="SHA-512" hashValue="UQzcM+4CWCL1OixVcu9UGeP9txEUXtTUy0Pp50qE6vuX1HyJdpXBp/beXyUEs3fL2Y72B7wu4KrPbDU27/h3tw==" saltValue="HfnIipgK/TwyGQlAynwxjQ==" spinCount="100000" sheet="1" objects="1" scenarios="1" selectLockedCells="1"/>
  <mergeCells count="8">
    <mergeCell ref="C40:L40"/>
    <mergeCell ref="C45:L45"/>
    <mergeCell ref="C3:L3"/>
    <mergeCell ref="F33:I33"/>
    <mergeCell ref="G34:H34"/>
    <mergeCell ref="G35:H35"/>
    <mergeCell ref="G37:H37"/>
    <mergeCell ref="G38:H38"/>
  </mergeCells>
  <printOptions horizontalCentered="1" verticalCentered="1"/>
  <pageMargins left="0.70866141732283472" right="0.70866141732283472" top="0.74803149606299213" bottom="0.74803149606299213" header="0.31496062992125984" footer="0.31496062992125984"/>
  <pageSetup paperSize="9" scale="75" orientation="portrait" horizontalDpi="4294967292"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7903-93AD-4E36-B65E-2185E9DDAEB7}">
  <dimension ref="A1:C40"/>
  <sheetViews>
    <sheetView topLeftCell="B1" workbookViewId="0">
      <selection activeCell="E13" sqref="A1:XFD1048576"/>
    </sheetView>
  </sheetViews>
  <sheetFormatPr defaultRowHeight="15" x14ac:dyDescent="0.25"/>
  <cols>
    <col min="2" max="2" width="9.28515625" customWidth="1"/>
  </cols>
  <sheetData>
    <row r="1" spans="1:3" x14ac:dyDescent="0.25">
      <c r="A1" t="s">
        <v>281</v>
      </c>
      <c r="B1" t="s">
        <v>280</v>
      </c>
      <c r="C1" t="s">
        <v>275</v>
      </c>
    </row>
    <row r="2" spans="1:3" x14ac:dyDescent="0.25">
      <c r="A2" t="s">
        <v>137</v>
      </c>
      <c r="B2" s="38" t="s">
        <v>289</v>
      </c>
      <c r="C2" t="s">
        <v>279</v>
      </c>
    </row>
    <row r="3" spans="1:3" x14ac:dyDescent="0.25">
      <c r="A3" t="s">
        <v>173</v>
      </c>
      <c r="B3" s="38" t="s">
        <v>296</v>
      </c>
      <c r="C3" t="s">
        <v>287</v>
      </c>
    </row>
    <row r="4" spans="1:3" x14ac:dyDescent="0.25">
      <c r="A4" t="s">
        <v>138</v>
      </c>
      <c r="B4" s="38" t="s">
        <v>292</v>
      </c>
      <c r="C4" t="s">
        <v>288</v>
      </c>
    </row>
    <row r="5" spans="1:3" x14ac:dyDescent="0.25">
      <c r="A5" t="s">
        <v>164</v>
      </c>
      <c r="B5" s="38" t="s">
        <v>293</v>
      </c>
      <c r="C5" t="s">
        <v>277</v>
      </c>
    </row>
    <row r="6" spans="1:3" x14ac:dyDescent="0.25">
      <c r="A6" t="s">
        <v>165</v>
      </c>
      <c r="B6" s="38" t="s">
        <v>290</v>
      </c>
      <c r="C6" t="s">
        <v>278</v>
      </c>
    </row>
    <row r="7" spans="1:3" x14ac:dyDescent="0.25">
      <c r="A7" t="s">
        <v>166</v>
      </c>
      <c r="B7" s="38" t="s">
        <v>291</v>
      </c>
      <c r="C7" t="s">
        <v>276</v>
      </c>
    </row>
    <row r="10" spans="1:3" x14ac:dyDescent="0.25">
      <c r="B10" t="s">
        <v>282</v>
      </c>
    </row>
    <row r="11" spans="1:3" x14ac:dyDescent="0.25">
      <c r="B11" t="s">
        <v>186</v>
      </c>
      <c r="C11" s="23" t="s">
        <v>283</v>
      </c>
    </row>
    <row r="12" spans="1:3" x14ac:dyDescent="0.25">
      <c r="B12" t="s">
        <v>196</v>
      </c>
      <c r="C12" s="23" t="s">
        <v>283</v>
      </c>
    </row>
    <row r="13" spans="1:3" x14ac:dyDescent="0.25">
      <c r="B13" t="s">
        <v>208</v>
      </c>
      <c r="C13" s="23" t="s">
        <v>283</v>
      </c>
    </row>
    <row r="14" spans="1:3" x14ac:dyDescent="0.25">
      <c r="B14" t="s">
        <v>181</v>
      </c>
      <c r="C14" s="23" t="s">
        <v>283</v>
      </c>
    </row>
    <row r="15" spans="1:3" x14ac:dyDescent="0.25">
      <c r="B15" t="s">
        <v>201</v>
      </c>
      <c r="C15" s="23" t="s">
        <v>283</v>
      </c>
    </row>
    <row r="16" spans="1:3" x14ac:dyDescent="0.25">
      <c r="B16" t="s">
        <v>193</v>
      </c>
      <c r="C16" s="23" t="s">
        <v>283</v>
      </c>
    </row>
    <row r="17" spans="2:3" x14ac:dyDescent="0.25">
      <c r="B17" t="s">
        <v>199</v>
      </c>
      <c r="C17" s="23" t="s">
        <v>283</v>
      </c>
    </row>
    <row r="18" spans="2:3" x14ac:dyDescent="0.25">
      <c r="B18" t="s">
        <v>191</v>
      </c>
      <c r="C18" s="23" t="s">
        <v>283</v>
      </c>
    </row>
    <row r="19" spans="2:3" x14ac:dyDescent="0.25">
      <c r="B19" t="s">
        <v>212</v>
      </c>
      <c r="C19" s="23" t="s">
        <v>283</v>
      </c>
    </row>
    <row r="20" spans="2:3" x14ac:dyDescent="0.25">
      <c r="B20" t="s">
        <v>200</v>
      </c>
      <c r="C20" s="23" t="s">
        <v>283</v>
      </c>
    </row>
    <row r="21" spans="2:3" x14ac:dyDescent="0.25">
      <c r="B21" t="s">
        <v>192</v>
      </c>
      <c r="C21" s="23" t="s">
        <v>283</v>
      </c>
    </row>
    <row r="22" spans="2:3" x14ac:dyDescent="0.25">
      <c r="B22" t="s">
        <v>211</v>
      </c>
      <c r="C22" s="23" t="s">
        <v>283</v>
      </c>
    </row>
    <row r="23" spans="2:3" x14ac:dyDescent="0.25">
      <c r="B23" t="s">
        <v>189</v>
      </c>
      <c r="C23" s="23" t="s">
        <v>284</v>
      </c>
    </row>
    <row r="24" spans="2:3" x14ac:dyDescent="0.25">
      <c r="B24" t="s">
        <v>184</v>
      </c>
      <c r="C24" s="23" t="s">
        <v>284</v>
      </c>
    </row>
    <row r="25" spans="2:3" x14ac:dyDescent="0.25">
      <c r="B25" t="s">
        <v>187</v>
      </c>
      <c r="C25" s="23" t="s">
        <v>284</v>
      </c>
    </row>
    <row r="26" spans="2:3" x14ac:dyDescent="0.25">
      <c r="B26" t="s">
        <v>182</v>
      </c>
      <c r="C26" s="23" t="s">
        <v>284</v>
      </c>
    </row>
    <row r="27" spans="2:3" x14ac:dyDescent="0.25">
      <c r="B27" t="s">
        <v>205</v>
      </c>
      <c r="C27" s="23" t="s">
        <v>284</v>
      </c>
    </row>
    <row r="28" spans="2:3" x14ac:dyDescent="0.25">
      <c r="B28" t="s">
        <v>195</v>
      </c>
      <c r="C28" s="23" t="s">
        <v>284</v>
      </c>
    </row>
    <row r="29" spans="2:3" x14ac:dyDescent="0.25">
      <c r="B29" t="s">
        <v>204</v>
      </c>
      <c r="C29" s="23" t="s">
        <v>284</v>
      </c>
    </row>
    <row r="30" spans="2:3" x14ac:dyDescent="0.25">
      <c r="B30" t="s">
        <v>185</v>
      </c>
      <c r="C30" s="23" t="s">
        <v>284</v>
      </c>
    </row>
    <row r="31" spans="2:3" x14ac:dyDescent="0.25">
      <c r="B31" t="s">
        <v>207</v>
      </c>
      <c r="C31" s="23" t="s">
        <v>284</v>
      </c>
    </row>
    <row r="32" spans="2:3" x14ac:dyDescent="0.25">
      <c r="B32" t="s">
        <v>206</v>
      </c>
      <c r="C32" s="23" t="s">
        <v>284</v>
      </c>
    </row>
    <row r="33" spans="2:3" x14ac:dyDescent="0.25">
      <c r="B33" t="s">
        <v>210</v>
      </c>
      <c r="C33" s="23" t="s">
        <v>284</v>
      </c>
    </row>
    <row r="34" spans="2:3" x14ac:dyDescent="0.25">
      <c r="B34" t="s">
        <v>202</v>
      </c>
      <c r="C34" s="23" t="s">
        <v>284</v>
      </c>
    </row>
    <row r="35" spans="2:3" x14ac:dyDescent="0.25">
      <c r="B35" t="s">
        <v>190</v>
      </c>
      <c r="C35" s="23" t="s">
        <v>285</v>
      </c>
    </row>
    <row r="36" spans="2:3" x14ac:dyDescent="0.25">
      <c r="B36" t="s">
        <v>188</v>
      </c>
      <c r="C36" s="23" t="s">
        <v>285</v>
      </c>
    </row>
    <row r="37" spans="2:3" x14ac:dyDescent="0.25">
      <c r="B37" t="s">
        <v>183</v>
      </c>
      <c r="C37" s="23" t="s">
        <v>285</v>
      </c>
    </row>
    <row r="38" spans="2:3" x14ac:dyDescent="0.25">
      <c r="B38" t="s">
        <v>209</v>
      </c>
      <c r="C38" s="23" t="s">
        <v>285</v>
      </c>
    </row>
    <row r="39" spans="2:3" x14ac:dyDescent="0.25">
      <c r="B39" t="s">
        <v>203</v>
      </c>
      <c r="C39" s="23" t="s">
        <v>285</v>
      </c>
    </row>
    <row r="40" spans="2:3" x14ac:dyDescent="0.25">
      <c r="B40" t="s">
        <v>198</v>
      </c>
      <c r="C40" s="23" t="s">
        <v>285</v>
      </c>
    </row>
  </sheetData>
  <sheetProtection algorithmName="SHA-512" hashValue="hXeIe9XKCWvA0o57JCyeoWVvAlDKmHmFtrEUEDBut4xj+GOM9g4hU8/+akFxeLANVPKrTkh/pjUF09OrDmU78w==" saltValue="Gmez7D3iI17kWi0wKTKvv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Soal</vt:lpstr>
      <vt:lpstr>Hasil</vt:lpstr>
      <vt:lpstr>referensi</vt:lpstr>
      <vt:lpstr>Hasil!Print_Area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2021-12-24T09:58:40Z</cp:lastPrinted>
  <dcterms:created xsi:type="dcterms:W3CDTF">2021-12-12T07:06:33Z</dcterms:created>
  <dcterms:modified xsi:type="dcterms:W3CDTF">2021-12-24T10:34:01Z</dcterms:modified>
</cp:coreProperties>
</file>