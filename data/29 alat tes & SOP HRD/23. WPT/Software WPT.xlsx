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60" windowWidth="15600" windowHeight="7650"/>
  </bookViews>
  <sheets>
    <sheet name="WPT" sheetId="4" r:id="rId1"/>
  </sheets>
  <calcPr calcId="124519"/>
</workbook>
</file>

<file path=xl/calcChain.xml><?xml version="1.0" encoding="utf-8"?>
<calcChain xmlns="http://schemas.openxmlformats.org/spreadsheetml/2006/main">
  <c r="E186" i="4"/>
  <c r="E185"/>
  <c r="E184"/>
  <c r="E183"/>
  <c r="E182"/>
  <c r="E181"/>
  <c r="E180"/>
  <c r="E179"/>
  <c r="E178"/>
  <c r="E177"/>
  <c r="E176"/>
  <c r="E175"/>
  <c r="E174"/>
  <c r="E173"/>
  <c r="E172"/>
  <c r="E171"/>
  <c r="E170"/>
  <c r="E169"/>
  <c r="E168"/>
  <c r="E167"/>
  <c r="E166"/>
  <c r="E165"/>
  <c r="E164"/>
  <c r="E163"/>
  <c r="E162"/>
  <c r="E161"/>
  <c r="E160"/>
  <c r="E159"/>
  <c r="E158"/>
  <c r="E157"/>
  <c r="E156"/>
  <c r="E155"/>
  <c r="E154"/>
  <c r="E153"/>
  <c r="E152"/>
  <c r="E151"/>
  <c r="E150"/>
  <c r="E149"/>
  <c r="E148"/>
  <c r="E147"/>
  <c r="E146"/>
  <c r="E145"/>
  <c r="E144"/>
  <c r="E143"/>
  <c r="E142"/>
  <c r="E141"/>
  <c r="E140"/>
  <c r="E139"/>
  <c r="E138"/>
  <c r="E137"/>
  <c r="C185"/>
  <c r="C179"/>
  <c r="C178"/>
  <c r="C177"/>
  <c r="C174"/>
  <c r="C172"/>
  <c r="C173"/>
  <c r="C171"/>
  <c r="C167"/>
  <c r="C163"/>
  <c r="C162"/>
  <c r="C159"/>
  <c r="C156"/>
  <c r="C144"/>
  <c r="C149"/>
  <c r="C140"/>
  <c r="C186"/>
  <c r="C184"/>
  <c r="C183"/>
  <c r="C182"/>
  <c r="C181"/>
  <c r="C180"/>
  <c r="C176"/>
  <c r="C175"/>
  <c r="C170"/>
  <c r="C169"/>
  <c r="C168"/>
  <c r="C166"/>
  <c r="C165"/>
  <c r="C164"/>
  <c r="C161"/>
  <c r="C160"/>
  <c r="C158"/>
  <c r="C157"/>
  <c r="C155"/>
  <c r="C154"/>
  <c r="C153"/>
  <c r="C152"/>
  <c r="C151"/>
  <c r="C150"/>
  <c r="C148"/>
  <c r="C147"/>
  <c r="C146"/>
  <c r="C145"/>
  <c r="C143"/>
  <c r="C142"/>
  <c r="C141"/>
  <c r="C139"/>
  <c r="C138"/>
  <c r="C137"/>
  <c r="E188" l="1"/>
  <c r="E189" s="1"/>
  <c r="F7" s="1"/>
  <c r="C187"/>
  <c r="F10" l="1"/>
  <c r="F8" s="1"/>
  <c r="F11"/>
  <c r="F12" s="1"/>
</calcChain>
</file>

<file path=xl/sharedStrings.xml><?xml version="1.0" encoding="utf-8"?>
<sst xmlns="http://schemas.openxmlformats.org/spreadsheetml/2006/main" count="36" uniqueCount="27">
  <si>
    <t>SOFTWAREPSIKOTES.COM</t>
  </si>
  <si>
    <t>TABEL PEMERIKSAAN LEMBAR JAWABAN</t>
  </si>
  <si>
    <t>No.</t>
  </si>
  <si>
    <t>Jawaban Testee</t>
  </si>
  <si>
    <t>Hasil</t>
  </si>
  <si>
    <t>Kunci Jawaban</t>
  </si>
  <si>
    <t>Skor</t>
  </si>
  <si>
    <t>A</t>
  </si>
  <si>
    <t>Wonderlic® Personnel Test (WPT)</t>
  </si>
  <si>
    <t>T,N,tidak,No</t>
  </si>
  <si>
    <t>s</t>
  </si>
  <si>
    <t>2,5</t>
  </si>
  <si>
    <t>ya</t>
  </si>
  <si>
    <t>6,9</t>
  </si>
  <si>
    <t>1,4</t>
  </si>
  <si>
    <t>3,22</t>
  </si>
  <si>
    <t>1,2,4,5</t>
  </si>
  <si>
    <t>Pertanyaan Terakhir yang Terjawab</t>
  </si>
  <si>
    <t>Jumlah yang Salah atau Ditinggalkan</t>
  </si>
  <si>
    <t>Total Skor Jawaban Benar</t>
  </si>
  <si>
    <t>Terjawab</t>
  </si>
  <si>
    <t>tidak</t>
  </si>
  <si>
    <t>Minimum Score by Job Family</t>
  </si>
  <si>
    <t>RS</t>
  </si>
  <si>
    <t>IQ</t>
  </si>
  <si>
    <t>IQ (Inteligensi Umum)</t>
  </si>
  <si>
    <t>Skor Minimal untuk beberapa posisi / jabatan</t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</si>
</sst>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7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0"/>
      <name val="Times New Roman"/>
      <family val="1"/>
    </font>
    <font>
      <sz val="12"/>
      <color theme="1"/>
      <name val="Times New Roman"/>
      <family val="1"/>
    </font>
    <font>
      <sz val="12"/>
      <color theme="0"/>
      <name val="Times New Roman"/>
      <family val="1"/>
    </font>
    <font>
      <b/>
      <sz val="12"/>
      <name val="Times New Roman"/>
      <family val="1"/>
    </font>
    <font>
      <b/>
      <sz val="12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5" fillId="4" borderId="1" xfId="0" applyFont="1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3" fillId="0" borderId="1" xfId="0" applyNumberFormat="1" applyFont="1" applyBorder="1" applyAlignment="1" applyProtection="1">
      <alignment horizontal="center"/>
      <protection locked="0"/>
    </xf>
    <xf numFmtId="0" fontId="3" fillId="0" borderId="0" xfId="0" quotePrefix="1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164" fontId="3" fillId="0" borderId="1" xfId="0" applyNumberFormat="1" applyFont="1" applyBorder="1" applyAlignment="1" applyProtection="1">
      <alignment horizontal="center"/>
      <protection locked="0"/>
    </xf>
    <xf numFmtId="165" fontId="3" fillId="0" borderId="0" xfId="0" applyNumberFormat="1" applyFont="1" applyAlignment="1" applyProtection="1">
      <alignment horizontal="center"/>
      <protection hidden="1"/>
    </xf>
    <xf numFmtId="165" fontId="3" fillId="0" borderId="1" xfId="0" applyNumberFormat="1" applyFont="1" applyBorder="1" applyAlignment="1" applyProtection="1">
      <alignment horizontal="center"/>
      <protection locked="0"/>
    </xf>
    <xf numFmtId="0" fontId="4" fillId="3" borderId="2" xfId="0" applyFont="1" applyFill="1" applyBorder="1"/>
    <xf numFmtId="0" fontId="3" fillId="5" borderId="1" xfId="0" applyFont="1" applyFill="1" applyBorder="1" applyAlignment="1" applyProtection="1">
      <alignment horizontal="center"/>
    </xf>
    <xf numFmtId="165" fontId="3" fillId="5" borderId="1" xfId="0" applyNumberFormat="1" applyFont="1" applyFill="1" applyBorder="1" applyAlignment="1" applyProtection="1">
      <alignment horizontal="center"/>
    </xf>
    <xf numFmtId="0" fontId="3" fillId="5" borderId="1" xfId="0" quotePrefix="1" applyFont="1" applyFill="1" applyBorder="1" applyAlignment="1" applyProtection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wrapText="1"/>
    </xf>
    <xf numFmtId="0" fontId="0" fillId="4" borderId="0" xfId="0" applyFill="1" applyAlignment="1">
      <alignment horizontal="center" wrapText="1"/>
    </xf>
    <xf numFmtId="0" fontId="2" fillId="3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/>
      <protection hidden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 applyProtection="1">
      <alignment horizontal="center" wrapText="1"/>
    </xf>
    <xf numFmtId="0" fontId="0" fillId="4" borderId="0" xfId="0" applyFill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0</xdr:row>
      <xdr:rowOff>161925</xdr:rowOff>
    </xdr:from>
    <xdr:to>
      <xdr:col>1</xdr:col>
      <xdr:colOff>533400</xdr:colOff>
      <xdr:row>4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28625" y="161925"/>
          <a:ext cx="714375" cy="6286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28576</xdr:colOff>
      <xdr:row>14</xdr:row>
      <xdr:rowOff>23218</xdr:rowOff>
    </xdr:from>
    <xdr:to>
      <xdr:col>6</xdr:col>
      <xdr:colOff>1</xdr:colOff>
      <xdr:row>28</xdr:row>
      <xdr:rowOff>38100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676526" y="3023593"/>
          <a:ext cx="3829050" cy="28152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295275</xdr:colOff>
      <xdr:row>14</xdr:row>
      <xdr:rowOff>9525</xdr:rowOff>
    </xdr:from>
    <xdr:to>
      <xdr:col>12</xdr:col>
      <xdr:colOff>19050</xdr:colOff>
      <xdr:row>36</xdr:row>
      <xdr:rowOff>85725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6800850" y="3009900"/>
          <a:ext cx="3381375" cy="4476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66676</xdr:colOff>
      <xdr:row>30</xdr:row>
      <xdr:rowOff>76200</xdr:rowOff>
    </xdr:from>
    <xdr:to>
      <xdr:col>5</xdr:col>
      <xdr:colOff>1535459</xdr:colOff>
      <xdr:row>49</xdr:row>
      <xdr:rowOff>152400</xdr:rowOff>
    </xdr:to>
    <xdr:pic>
      <xdr:nvPicPr>
        <xdr:cNvPr id="5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714626" y="6276975"/>
          <a:ext cx="3764308" cy="387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L189"/>
  <sheetViews>
    <sheetView showGridLines="0" showRowColHeaders="0" tabSelected="1" workbookViewId="0">
      <selection activeCell="C7" sqref="C7"/>
    </sheetView>
  </sheetViews>
  <sheetFormatPr defaultRowHeight="15"/>
  <cols>
    <col min="2" max="3" width="10.7109375" bestFit="1" customWidth="1"/>
    <col min="5" max="5" width="34.42578125" customWidth="1"/>
    <col min="6" max="6" width="23.42578125" customWidth="1"/>
    <col min="261" max="261" width="16" customWidth="1"/>
    <col min="517" max="517" width="16" customWidth="1"/>
    <col min="773" max="773" width="16" customWidth="1"/>
    <col min="1029" max="1029" width="16" customWidth="1"/>
    <col min="1285" max="1285" width="16" customWidth="1"/>
    <col min="1541" max="1541" width="16" customWidth="1"/>
    <col min="1797" max="1797" width="16" customWidth="1"/>
    <col min="2053" max="2053" width="16" customWidth="1"/>
    <col min="2309" max="2309" width="16" customWidth="1"/>
    <col min="2565" max="2565" width="16" customWidth="1"/>
    <col min="2821" max="2821" width="16" customWidth="1"/>
    <col min="3077" max="3077" width="16" customWidth="1"/>
    <col min="3333" max="3333" width="16" customWidth="1"/>
    <col min="3589" max="3589" width="16" customWidth="1"/>
    <col min="3845" max="3845" width="16" customWidth="1"/>
    <col min="4101" max="4101" width="16" customWidth="1"/>
    <col min="4357" max="4357" width="16" customWidth="1"/>
    <col min="4613" max="4613" width="16" customWidth="1"/>
    <col min="4869" max="4869" width="16" customWidth="1"/>
    <col min="5125" max="5125" width="16" customWidth="1"/>
    <col min="5381" max="5381" width="16" customWidth="1"/>
    <col min="5637" max="5637" width="16" customWidth="1"/>
    <col min="5893" max="5893" width="16" customWidth="1"/>
    <col min="6149" max="6149" width="16" customWidth="1"/>
    <col min="6405" max="6405" width="16" customWidth="1"/>
    <col min="6661" max="6661" width="16" customWidth="1"/>
    <col min="6917" max="6917" width="16" customWidth="1"/>
    <col min="7173" max="7173" width="16" customWidth="1"/>
    <col min="7429" max="7429" width="16" customWidth="1"/>
    <col min="7685" max="7685" width="16" customWidth="1"/>
    <col min="7941" max="7941" width="16" customWidth="1"/>
    <col min="8197" max="8197" width="16" customWidth="1"/>
    <col min="8453" max="8453" width="16" customWidth="1"/>
    <col min="8709" max="8709" width="16" customWidth="1"/>
    <col min="8965" max="8965" width="16" customWidth="1"/>
    <col min="9221" max="9221" width="16" customWidth="1"/>
    <col min="9477" max="9477" width="16" customWidth="1"/>
    <col min="9733" max="9733" width="16" customWidth="1"/>
    <col min="9989" max="9989" width="16" customWidth="1"/>
    <col min="10245" max="10245" width="16" customWidth="1"/>
    <col min="10501" max="10501" width="16" customWidth="1"/>
    <col min="10757" max="10757" width="16" customWidth="1"/>
    <col min="11013" max="11013" width="16" customWidth="1"/>
    <col min="11269" max="11269" width="16" customWidth="1"/>
    <col min="11525" max="11525" width="16" customWidth="1"/>
    <col min="11781" max="11781" width="16" customWidth="1"/>
    <col min="12037" max="12037" width="16" customWidth="1"/>
    <col min="12293" max="12293" width="16" customWidth="1"/>
    <col min="12549" max="12549" width="16" customWidth="1"/>
    <col min="12805" max="12805" width="16" customWidth="1"/>
    <col min="13061" max="13061" width="16" customWidth="1"/>
    <col min="13317" max="13317" width="16" customWidth="1"/>
    <col min="13573" max="13573" width="16" customWidth="1"/>
    <col min="13829" max="13829" width="16" customWidth="1"/>
    <col min="14085" max="14085" width="16" customWidth="1"/>
    <col min="14341" max="14341" width="16" customWidth="1"/>
    <col min="14597" max="14597" width="16" customWidth="1"/>
    <col min="14853" max="14853" width="16" customWidth="1"/>
    <col min="15109" max="15109" width="16" customWidth="1"/>
    <col min="15365" max="15365" width="16" customWidth="1"/>
    <col min="15621" max="15621" width="16" customWidth="1"/>
    <col min="15877" max="15877" width="16" customWidth="1"/>
    <col min="16133" max="16133" width="16" customWidth="1"/>
  </cols>
  <sheetData>
    <row r="2" spans="2:12" ht="15.75">
      <c r="C2" s="1" t="s">
        <v>0</v>
      </c>
    </row>
    <row r="3" spans="2:12" ht="15.75">
      <c r="C3" s="1" t="s">
        <v>1</v>
      </c>
    </row>
    <row r="4" spans="2:12" ht="15.75">
      <c r="C4" s="1" t="s">
        <v>8</v>
      </c>
    </row>
    <row r="6" spans="2:12" ht="33" customHeight="1">
      <c r="B6" s="2" t="s">
        <v>2</v>
      </c>
      <c r="C6" s="2" t="s">
        <v>3</v>
      </c>
      <c r="D6" s="2" t="s">
        <v>5</v>
      </c>
      <c r="E6" s="23" t="s">
        <v>4</v>
      </c>
      <c r="F6" s="20"/>
    </row>
    <row r="7" spans="2:12" ht="15.75">
      <c r="B7" s="3">
        <v>1</v>
      </c>
      <c r="C7" s="9"/>
      <c r="D7" s="17">
        <v>4</v>
      </c>
      <c r="E7" s="16" t="s">
        <v>17</v>
      </c>
      <c r="F7" s="4">
        <f>E189</f>
        <v>0</v>
      </c>
    </row>
    <row r="8" spans="2:12" ht="15.75">
      <c r="B8" s="3">
        <v>2</v>
      </c>
      <c r="C8" s="9"/>
      <c r="D8" s="17">
        <v>2</v>
      </c>
      <c r="E8" s="16" t="s">
        <v>18</v>
      </c>
      <c r="F8" s="4">
        <f>50-F10</f>
        <v>50</v>
      </c>
    </row>
    <row r="9" spans="2:12" ht="15.75">
      <c r="B9" s="3">
        <v>3</v>
      </c>
      <c r="C9" s="9"/>
      <c r="D9" s="17">
        <v>3</v>
      </c>
      <c r="E9" s="12"/>
      <c r="F9" s="12"/>
    </row>
    <row r="10" spans="2:12" ht="15.75">
      <c r="B10" s="3">
        <v>4</v>
      </c>
      <c r="C10" s="9"/>
      <c r="D10" s="17" t="s">
        <v>21</v>
      </c>
      <c r="E10" s="16" t="s">
        <v>19</v>
      </c>
      <c r="F10" s="4">
        <f>C187</f>
        <v>0</v>
      </c>
    </row>
    <row r="11" spans="2:12" ht="15.75" customHeight="1">
      <c r="B11" s="3">
        <v>5</v>
      </c>
      <c r="C11" s="9"/>
      <c r="D11" s="17">
        <v>3</v>
      </c>
      <c r="E11" s="25" t="s">
        <v>25</v>
      </c>
      <c r="F11" s="24">
        <f>VLOOKUP(C187,H137:I186,2)</f>
        <v>59</v>
      </c>
    </row>
    <row r="12" spans="2:12" ht="15.75">
      <c r="B12" s="3">
        <v>6</v>
      </c>
      <c r="C12" s="9"/>
      <c r="D12" s="17">
        <v>1</v>
      </c>
      <c r="E12" s="26"/>
      <c r="F12" s="24" t="str">
        <f>IF(F11&lt;=65,"Mentally Defective",IF(F11&lt;=79,"Borderline Defective",IF(F11&lt;=90,"Low Average",IF(F11&lt;=110,"Average",IF(F11&lt;=119,"High Average",IF(F11&lt;=127,"Superior",IF(F11&lt;=139,"Very Superior","Genius")))))))</f>
        <v>Mentally Defective</v>
      </c>
    </row>
    <row r="13" spans="2:12" ht="15.75">
      <c r="B13" s="3">
        <v>7</v>
      </c>
      <c r="C13" s="9"/>
      <c r="D13" s="17">
        <v>3</v>
      </c>
    </row>
    <row r="14" spans="2:12" ht="15.75">
      <c r="B14" s="3">
        <v>8</v>
      </c>
      <c r="C14" s="13"/>
      <c r="D14" s="18">
        <v>0.125</v>
      </c>
      <c r="E14" s="27" t="s">
        <v>26</v>
      </c>
      <c r="F14" s="28"/>
      <c r="G14" s="28"/>
      <c r="H14" s="28"/>
      <c r="I14" s="28"/>
      <c r="J14" s="28"/>
      <c r="K14" s="28"/>
      <c r="L14" s="28"/>
    </row>
    <row r="15" spans="2:12" ht="15.75">
      <c r="B15" s="3">
        <v>9</v>
      </c>
      <c r="C15" s="9"/>
      <c r="D15" s="17">
        <v>1</v>
      </c>
    </row>
    <row r="16" spans="2:12" ht="15.75">
      <c r="B16" s="3">
        <v>10</v>
      </c>
      <c r="C16" s="9"/>
      <c r="D16" s="17">
        <v>4</v>
      </c>
    </row>
    <row r="17" spans="2:6" ht="15.75">
      <c r="B17" s="3">
        <v>11</v>
      </c>
      <c r="C17" s="9"/>
      <c r="D17" s="17">
        <v>3</v>
      </c>
    </row>
    <row r="18" spans="2:6" ht="15.75">
      <c r="B18" s="3">
        <v>12</v>
      </c>
      <c r="C18" s="9"/>
      <c r="D18" s="17">
        <v>6000</v>
      </c>
    </row>
    <row r="19" spans="2:6" ht="15.75">
      <c r="B19" s="3">
        <v>13</v>
      </c>
      <c r="C19" s="9"/>
      <c r="D19" s="17">
        <v>1</v>
      </c>
    </row>
    <row r="20" spans="2:6" ht="15.75">
      <c r="B20" s="3">
        <v>14</v>
      </c>
      <c r="C20" s="9"/>
      <c r="D20" s="17">
        <v>2</v>
      </c>
    </row>
    <row r="21" spans="2:6" ht="15.75">
      <c r="B21" s="3">
        <v>15</v>
      </c>
      <c r="C21" s="9"/>
      <c r="D21" s="17">
        <v>20</v>
      </c>
    </row>
    <row r="22" spans="2:6" ht="15.75">
      <c r="B22" s="3">
        <v>16</v>
      </c>
      <c r="C22" s="9"/>
      <c r="D22" s="17">
        <v>2</v>
      </c>
    </row>
    <row r="23" spans="2:6" ht="15.75">
      <c r="B23" s="3">
        <v>17</v>
      </c>
      <c r="C23" s="9"/>
      <c r="D23" s="17" t="s">
        <v>7</v>
      </c>
    </row>
    <row r="24" spans="2:6" ht="15.75">
      <c r="B24" s="3">
        <v>18</v>
      </c>
      <c r="C24" s="9"/>
      <c r="D24" s="17">
        <v>13</v>
      </c>
    </row>
    <row r="25" spans="2:6" ht="15.75">
      <c r="B25" s="3">
        <v>19</v>
      </c>
      <c r="C25" s="9"/>
      <c r="D25" s="17">
        <v>3</v>
      </c>
    </row>
    <row r="26" spans="2:6" ht="15.75">
      <c r="B26" s="3">
        <v>20</v>
      </c>
      <c r="C26" s="9"/>
      <c r="D26" s="17">
        <v>1</v>
      </c>
    </row>
    <row r="27" spans="2:6" ht="15.75">
      <c r="B27" s="3">
        <v>21</v>
      </c>
      <c r="C27" s="9"/>
      <c r="D27" s="17">
        <v>20</v>
      </c>
    </row>
    <row r="28" spans="2:6" ht="15.75">
      <c r="B28" s="3">
        <v>22</v>
      </c>
      <c r="C28" s="9"/>
      <c r="D28" s="17" t="s">
        <v>10</v>
      </c>
    </row>
    <row r="29" spans="2:6" ht="15.75">
      <c r="B29" s="3">
        <v>23</v>
      </c>
      <c r="C29" s="9"/>
      <c r="D29" s="17" t="s">
        <v>11</v>
      </c>
    </row>
    <row r="30" spans="2:6" ht="15.75">
      <c r="B30" s="3">
        <v>24</v>
      </c>
      <c r="C30" s="9"/>
      <c r="D30" s="17">
        <v>2</v>
      </c>
      <c r="E30" s="21" t="s">
        <v>22</v>
      </c>
      <c r="F30" s="22"/>
    </row>
    <row r="31" spans="2:6" ht="15.75">
      <c r="B31" s="3">
        <v>25</v>
      </c>
      <c r="C31" s="9"/>
      <c r="D31" s="17">
        <v>3</v>
      </c>
    </row>
    <row r="32" spans="2:6" ht="15.75">
      <c r="B32" s="3">
        <v>26</v>
      </c>
      <c r="C32" s="9"/>
      <c r="D32" s="17">
        <v>1</v>
      </c>
    </row>
    <row r="33" spans="2:4" ht="15.75">
      <c r="B33" s="3">
        <v>27</v>
      </c>
      <c r="C33" s="15"/>
      <c r="D33" s="18">
        <v>3.3333333333333333E-2</v>
      </c>
    </row>
    <row r="34" spans="2:4" ht="15.75">
      <c r="B34" s="3">
        <v>28</v>
      </c>
      <c r="C34" s="9"/>
      <c r="D34" s="19">
        <v>3</v>
      </c>
    </row>
    <row r="35" spans="2:4" ht="15.75">
      <c r="B35" s="3">
        <v>29</v>
      </c>
      <c r="C35" s="9"/>
      <c r="D35" s="17">
        <v>6</v>
      </c>
    </row>
    <row r="36" spans="2:4" ht="15.75">
      <c r="B36" s="3">
        <v>30</v>
      </c>
      <c r="C36" s="9"/>
      <c r="D36" s="17">
        <v>10</v>
      </c>
    </row>
    <row r="37" spans="2:4" ht="15.75">
      <c r="B37" s="3">
        <v>31</v>
      </c>
      <c r="C37" s="15"/>
      <c r="D37" s="18">
        <v>0.1111111111111111</v>
      </c>
    </row>
    <row r="38" spans="2:4" ht="15.75">
      <c r="B38" s="3">
        <v>32</v>
      </c>
      <c r="C38" s="9"/>
      <c r="D38" s="17" t="s">
        <v>12</v>
      </c>
    </row>
    <row r="39" spans="2:4" ht="15.75">
      <c r="B39" s="3">
        <v>33</v>
      </c>
      <c r="C39" s="9"/>
      <c r="D39" s="17">
        <v>3</v>
      </c>
    </row>
    <row r="40" spans="2:4" ht="15.75">
      <c r="B40" s="3">
        <v>34</v>
      </c>
      <c r="C40" s="9"/>
      <c r="D40" s="17">
        <v>20</v>
      </c>
    </row>
    <row r="41" spans="2:4" ht="15.75">
      <c r="B41" s="3">
        <v>35</v>
      </c>
      <c r="C41" s="15"/>
      <c r="D41" s="18">
        <v>0.25</v>
      </c>
    </row>
    <row r="42" spans="2:4" ht="15.75">
      <c r="B42" s="3">
        <v>36</v>
      </c>
      <c r="C42" s="9"/>
      <c r="D42" s="17">
        <v>24</v>
      </c>
    </row>
    <row r="43" spans="2:4" ht="15.75">
      <c r="B43" s="3">
        <v>37</v>
      </c>
      <c r="C43" s="9"/>
      <c r="D43" s="17">
        <v>6.25E-2</v>
      </c>
    </row>
    <row r="44" spans="2:4" ht="15.75">
      <c r="B44" s="3">
        <v>38</v>
      </c>
      <c r="C44" s="9"/>
      <c r="D44" s="17" t="s">
        <v>13</v>
      </c>
    </row>
    <row r="45" spans="2:4" ht="15.75">
      <c r="B45" s="3">
        <v>39</v>
      </c>
      <c r="C45" s="9"/>
      <c r="D45" s="17">
        <v>2</v>
      </c>
    </row>
    <row r="46" spans="2:4" ht="15.75">
      <c r="B46" s="3">
        <v>40</v>
      </c>
      <c r="C46" s="9"/>
      <c r="D46" s="17">
        <v>1</v>
      </c>
    </row>
    <row r="47" spans="2:4" ht="15.75">
      <c r="B47" s="3">
        <v>41</v>
      </c>
      <c r="C47" s="9"/>
      <c r="D47" s="17" t="s">
        <v>14</v>
      </c>
    </row>
    <row r="48" spans="2:4" ht="15.75">
      <c r="B48" s="3">
        <v>42</v>
      </c>
      <c r="C48" s="9"/>
      <c r="D48" s="17" t="s">
        <v>15</v>
      </c>
    </row>
    <row r="49" spans="2:4" ht="15.75">
      <c r="B49" s="3">
        <v>43</v>
      </c>
      <c r="C49" s="9"/>
      <c r="D49" s="17">
        <v>0.33</v>
      </c>
    </row>
    <row r="50" spans="2:4" ht="15.75">
      <c r="B50" s="3">
        <v>44</v>
      </c>
      <c r="C50" s="9"/>
      <c r="D50" s="17">
        <v>2</v>
      </c>
    </row>
    <row r="51" spans="2:4" ht="15.75">
      <c r="B51" s="3">
        <v>45</v>
      </c>
      <c r="C51" s="9"/>
      <c r="D51" s="17">
        <v>24</v>
      </c>
    </row>
    <row r="52" spans="2:4" ht="15.75">
      <c r="B52" s="3">
        <v>46</v>
      </c>
      <c r="C52" s="9"/>
      <c r="D52" s="17">
        <v>2</v>
      </c>
    </row>
    <row r="53" spans="2:4" ht="15.75">
      <c r="B53" s="3">
        <v>47</v>
      </c>
      <c r="C53" s="9"/>
      <c r="D53" s="17">
        <v>3</v>
      </c>
    </row>
    <row r="54" spans="2:4" ht="15.75">
      <c r="B54" s="3">
        <v>48</v>
      </c>
      <c r="C54" s="9"/>
      <c r="D54" s="17">
        <v>175</v>
      </c>
    </row>
    <row r="55" spans="2:4" ht="15.75">
      <c r="B55" s="3">
        <v>49</v>
      </c>
      <c r="C55" s="9"/>
      <c r="D55" s="17" t="s">
        <v>16</v>
      </c>
    </row>
    <row r="56" spans="2:4" ht="15.75">
      <c r="B56" s="3">
        <v>50</v>
      </c>
      <c r="C56" s="9"/>
      <c r="D56" s="17">
        <v>12</v>
      </c>
    </row>
    <row r="71" ht="33" customHeight="1"/>
    <row r="136" spans="1:9" ht="31.5" hidden="1">
      <c r="A136" s="5"/>
      <c r="B136" s="6" t="s">
        <v>5</v>
      </c>
      <c r="C136" s="6" t="s">
        <v>6</v>
      </c>
      <c r="D136" s="5"/>
      <c r="E136" s="6" t="s">
        <v>20</v>
      </c>
      <c r="F136" s="5"/>
      <c r="G136" s="5"/>
      <c r="H136" s="6" t="s">
        <v>23</v>
      </c>
      <c r="I136" s="6" t="s">
        <v>24</v>
      </c>
    </row>
    <row r="137" spans="1:9" ht="15.75" hidden="1">
      <c r="A137" s="7">
        <v>1</v>
      </c>
      <c r="B137" s="8">
        <v>4</v>
      </c>
      <c r="C137" s="8">
        <f>IF(C7=B137,1,0)</f>
        <v>0</v>
      </c>
      <c r="D137" s="5"/>
      <c r="E137" s="8">
        <f>IF(C56&gt;0,1,0)</f>
        <v>0</v>
      </c>
      <c r="F137" s="8">
        <v>1</v>
      </c>
      <c r="G137" s="8">
        <v>50</v>
      </c>
      <c r="H137" s="8">
        <v>0</v>
      </c>
      <c r="I137" s="8">
        <v>59</v>
      </c>
    </row>
    <row r="138" spans="1:9" ht="15.75" hidden="1">
      <c r="A138" s="7">
        <v>2</v>
      </c>
      <c r="B138" s="8">
        <v>2</v>
      </c>
      <c r="C138" s="8">
        <f>IF(C8=B138,1,0)</f>
        <v>0</v>
      </c>
      <c r="D138" s="5"/>
      <c r="E138" s="8">
        <f>IF(C55&gt;0,1,0)</f>
        <v>0</v>
      </c>
      <c r="F138" s="8">
        <v>2</v>
      </c>
      <c r="G138" s="8">
        <v>49</v>
      </c>
      <c r="H138" s="8">
        <v>1</v>
      </c>
      <c r="I138" s="8">
        <v>59</v>
      </c>
    </row>
    <row r="139" spans="1:9" ht="15.75" hidden="1">
      <c r="A139" s="7">
        <v>3</v>
      </c>
      <c r="B139" s="8">
        <v>3</v>
      </c>
      <c r="C139" s="8">
        <f>IF(C9=B139,1,0)</f>
        <v>0</v>
      </c>
      <c r="D139" s="5"/>
      <c r="E139" s="8">
        <f>IF(C54&gt;0,1,0)</f>
        <v>0</v>
      </c>
      <c r="F139" s="8">
        <v>3</v>
      </c>
      <c r="G139" s="8">
        <v>48</v>
      </c>
      <c r="H139" s="8">
        <v>2</v>
      </c>
      <c r="I139" s="8">
        <v>61</v>
      </c>
    </row>
    <row r="140" spans="1:9" ht="15.75" hidden="1">
      <c r="A140" s="7">
        <v>4</v>
      </c>
      <c r="B140" s="8" t="s">
        <v>9</v>
      </c>
      <c r="C140" s="8">
        <f>IF(C10="t",1,IF(C10="n",1,IF(C10="tidak",1,IF(C10="no",1,0))))</f>
        <v>0</v>
      </c>
      <c r="D140" s="5"/>
      <c r="E140" s="8">
        <f>IF(C53&gt;0,1,0)</f>
        <v>0</v>
      </c>
      <c r="F140" s="8">
        <v>4</v>
      </c>
      <c r="G140" s="8">
        <v>47</v>
      </c>
      <c r="H140" s="8">
        <v>3</v>
      </c>
      <c r="I140" s="8">
        <v>64</v>
      </c>
    </row>
    <row r="141" spans="1:9" ht="15.75" hidden="1">
      <c r="A141" s="7">
        <v>5</v>
      </c>
      <c r="B141" s="8">
        <v>3</v>
      </c>
      <c r="C141" s="8">
        <f>IF(C11=B141,1,0)</f>
        <v>0</v>
      </c>
      <c r="D141" s="5"/>
      <c r="E141" s="8">
        <f>IF(C52&gt;0,1,0)</f>
        <v>0</v>
      </c>
      <c r="F141" s="8">
        <v>5</v>
      </c>
      <c r="G141" s="8">
        <v>46</v>
      </c>
      <c r="H141" s="8">
        <v>4</v>
      </c>
      <c r="I141" s="8">
        <v>67</v>
      </c>
    </row>
    <row r="142" spans="1:9" ht="15.75" hidden="1">
      <c r="A142" s="7">
        <v>6</v>
      </c>
      <c r="B142" s="8">
        <v>1</v>
      </c>
      <c r="C142" s="8">
        <f>IF(C12=B142,1,0)</f>
        <v>0</v>
      </c>
      <c r="D142" s="5"/>
      <c r="E142" s="8">
        <f>IF(C51&gt;0,1,0)</f>
        <v>0</v>
      </c>
      <c r="F142" s="8">
        <v>6</v>
      </c>
      <c r="G142" s="8">
        <v>45</v>
      </c>
      <c r="H142" s="8">
        <v>5</v>
      </c>
      <c r="I142" s="8">
        <v>69</v>
      </c>
    </row>
    <row r="143" spans="1:9" ht="15.75" hidden="1">
      <c r="A143" s="7">
        <v>7</v>
      </c>
      <c r="B143" s="8">
        <v>3</v>
      </c>
      <c r="C143" s="8">
        <f>IF(C13=B143,1,0)</f>
        <v>0</v>
      </c>
      <c r="D143" s="5"/>
      <c r="E143" s="8">
        <f>IF(C50&gt;0,1,0)</f>
        <v>0</v>
      </c>
      <c r="F143" s="8">
        <v>7</v>
      </c>
      <c r="G143" s="8">
        <v>44</v>
      </c>
      <c r="H143" s="8">
        <v>6</v>
      </c>
      <c r="I143" s="8">
        <v>71</v>
      </c>
    </row>
    <row r="144" spans="1:9" ht="15.75" hidden="1">
      <c r="A144" s="7">
        <v>8</v>
      </c>
      <c r="B144" s="14">
        <v>0.125</v>
      </c>
      <c r="C144" s="8">
        <f>IF(C14=B144,1,IF(C14=0.125,1,0))</f>
        <v>0</v>
      </c>
      <c r="D144" s="5"/>
      <c r="E144" s="8">
        <f>IF(C49&gt;0,1,0)</f>
        <v>0</v>
      </c>
      <c r="F144" s="8">
        <v>8</v>
      </c>
      <c r="G144" s="8">
        <v>43</v>
      </c>
      <c r="H144" s="8">
        <v>7</v>
      </c>
      <c r="I144" s="8">
        <v>73</v>
      </c>
    </row>
    <row r="145" spans="1:9" ht="15.75" hidden="1">
      <c r="A145" s="7">
        <v>9</v>
      </c>
      <c r="B145" s="8">
        <v>1</v>
      </c>
      <c r="C145" s="8">
        <f>IF(C15=B145,1,0)</f>
        <v>0</v>
      </c>
      <c r="D145" s="5"/>
      <c r="E145" s="8">
        <f>IF(C48&gt;0,1,0)</f>
        <v>0</v>
      </c>
      <c r="F145" s="8">
        <v>9</v>
      </c>
      <c r="G145" s="8">
        <v>42</v>
      </c>
      <c r="H145" s="8">
        <v>8</v>
      </c>
      <c r="I145" s="8">
        <v>75</v>
      </c>
    </row>
    <row r="146" spans="1:9" ht="15.75" hidden="1">
      <c r="A146" s="7">
        <v>10</v>
      </c>
      <c r="B146" s="8">
        <v>4</v>
      </c>
      <c r="C146" s="8">
        <f>IF(C16=B146,1,0)</f>
        <v>0</v>
      </c>
      <c r="D146" s="5"/>
      <c r="E146" s="8">
        <f>IF(C47&gt;0,1,0)</f>
        <v>0</v>
      </c>
      <c r="F146" s="8">
        <v>10</v>
      </c>
      <c r="G146" s="8">
        <v>41</v>
      </c>
      <c r="H146" s="8">
        <v>9</v>
      </c>
      <c r="I146" s="8">
        <v>78</v>
      </c>
    </row>
    <row r="147" spans="1:9" ht="15.75" hidden="1">
      <c r="A147" s="7">
        <v>11</v>
      </c>
      <c r="B147" s="8">
        <v>3</v>
      </c>
      <c r="C147" s="8">
        <f>IF(C17=B147,1,0)</f>
        <v>0</v>
      </c>
      <c r="D147" s="5"/>
      <c r="E147" s="8">
        <f>IF(C46&gt;0,1,0)</f>
        <v>0</v>
      </c>
      <c r="F147" s="8">
        <v>11</v>
      </c>
      <c r="G147" s="8">
        <v>40</v>
      </c>
      <c r="H147" s="8">
        <v>10</v>
      </c>
      <c r="I147" s="8">
        <v>80</v>
      </c>
    </row>
    <row r="148" spans="1:9" ht="15.75" hidden="1">
      <c r="A148" s="7">
        <v>12</v>
      </c>
      <c r="B148" s="8">
        <v>6000</v>
      </c>
      <c r="C148" s="8">
        <f>IF(C18=B148,1,0)</f>
        <v>0</v>
      </c>
      <c r="D148" s="5"/>
      <c r="E148" s="8">
        <f>IF(C45&gt;0,1,0)</f>
        <v>0</v>
      </c>
      <c r="F148" s="8">
        <v>12</v>
      </c>
      <c r="G148" s="8">
        <v>39</v>
      </c>
      <c r="H148" s="8">
        <v>11</v>
      </c>
      <c r="I148" s="8">
        <v>81</v>
      </c>
    </row>
    <row r="149" spans="1:9" ht="15.75" hidden="1">
      <c r="A149" s="7">
        <v>13</v>
      </c>
      <c r="B149" s="8">
        <v>1</v>
      </c>
      <c r="C149" s="8">
        <f>IF(C19=B149,1,IF(C19="t",1,IF(C19="b",1,IF(C19="benar",1,0))))</f>
        <v>0</v>
      </c>
      <c r="D149" s="5"/>
      <c r="E149" s="8">
        <f>IF(C44&gt;0,1,0)</f>
        <v>0</v>
      </c>
      <c r="F149" s="8">
        <v>13</v>
      </c>
      <c r="G149" s="8">
        <v>38</v>
      </c>
      <c r="H149" s="8">
        <v>12</v>
      </c>
      <c r="I149" s="8">
        <v>83</v>
      </c>
    </row>
    <row r="150" spans="1:9" ht="15.75" hidden="1">
      <c r="A150" s="7">
        <v>14</v>
      </c>
      <c r="B150" s="8">
        <v>2</v>
      </c>
      <c r="C150" s="8">
        <f>IF(C20=B150,1,0)</f>
        <v>0</v>
      </c>
      <c r="D150" s="5"/>
      <c r="E150" s="8">
        <f>IF(C43&gt;0,1,0)</f>
        <v>0</v>
      </c>
      <c r="F150" s="8">
        <v>14</v>
      </c>
      <c r="G150" s="8">
        <v>37</v>
      </c>
      <c r="H150" s="8">
        <v>13</v>
      </c>
      <c r="I150" s="8">
        <v>86</v>
      </c>
    </row>
    <row r="151" spans="1:9" ht="15.75" hidden="1">
      <c r="A151" s="7">
        <v>15</v>
      </c>
      <c r="B151" s="8">
        <v>20</v>
      </c>
      <c r="C151" s="8">
        <f>IF(C21=B151,1,0)</f>
        <v>0</v>
      </c>
      <c r="D151" s="5"/>
      <c r="E151" s="8">
        <f>IF(C42&gt;0,1,0)</f>
        <v>0</v>
      </c>
      <c r="F151" s="8">
        <v>15</v>
      </c>
      <c r="G151" s="8">
        <v>36</v>
      </c>
      <c r="H151" s="8">
        <v>14</v>
      </c>
      <c r="I151" s="8">
        <v>88</v>
      </c>
    </row>
    <row r="152" spans="1:9" ht="15.75" hidden="1">
      <c r="A152" s="7">
        <v>16</v>
      </c>
      <c r="B152" s="8">
        <v>2</v>
      </c>
      <c r="C152" s="8">
        <f>IF(C22=B152,1,0)</f>
        <v>0</v>
      </c>
      <c r="D152" s="5"/>
      <c r="E152" s="8">
        <f>IF(C41&gt;0,1,0)</f>
        <v>0</v>
      </c>
      <c r="F152" s="8">
        <v>16</v>
      </c>
      <c r="G152" s="8">
        <v>35</v>
      </c>
      <c r="H152" s="8">
        <v>15</v>
      </c>
      <c r="I152" s="8">
        <v>90</v>
      </c>
    </row>
    <row r="153" spans="1:9" ht="15.75" hidden="1">
      <c r="A153" s="7">
        <v>17</v>
      </c>
      <c r="B153" s="8" t="s">
        <v>7</v>
      </c>
      <c r="C153" s="8">
        <f>IF(C23=B153,1,0)</f>
        <v>0</v>
      </c>
      <c r="D153" s="5"/>
      <c r="E153" s="8">
        <f>IF(C40&gt;0,1,0)</f>
        <v>0</v>
      </c>
      <c r="F153" s="8">
        <v>17</v>
      </c>
      <c r="G153" s="8">
        <v>34</v>
      </c>
      <c r="H153" s="8">
        <v>16</v>
      </c>
      <c r="I153" s="8">
        <v>93</v>
      </c>
    </row>
    <row r="154" spans="1:9" ht="15.75" hidden="1">
      <c r="A154" s="7">
        <v>18</v>
      </c>
      <c r="B154" s="8">
        <v>13</v>
      </c>
      <c r="C154" s="8">
        <f>IF(C24=B154,1,0)</f>
        <v>0</v>
      </c>
      <c r="D154" s="5"/>
      <c r="E154" s="8">
        <f>IF(C39&gt;0,1,0)</f>
        <v>0</v>
      </c>
      <c r="F154" s="8">
        <v>18</v>
      </c>
      <c r="G154" s="8">
        <v>33</v>
      </c>
      <c r="H154" s="8">
        <v>17</v>
      </c>
      <c r="I154" s="8">
        <v>95</v>
      </c>
    </row>
    <row r="155" spans="1:9" ht="15.75" hidden="1">
      <c r="A155" s="7">
        <v>19</v>
      </c>
      <c r="B155" s="8">
        <v>3</v>
      </c>
      <c r="C155" s="8">
        <f>IF(C25=B155,1,0)</f>
        <v>0</v>
      </c>
      <c r="D155" s="5"/>
      <c r="E155" s="8">
        <f>IF(C38&gt;0,1,0)</f>
        <v>0</v>
      </c>
      <c r="F155" s="8">
        <v>19</v>
      </c>
      <c r="G155" s="8">
        <v>32</v>
      </c>
      <c r="H155" s="8">
        <v>18</v>
      </c>
      <c r="I155" s="8">
        <v>97</v>
      </c>
    </row>
    <row r="156" spans="1:9" ht="15.75" hidden="1">
      <c r="A156" s="7">
        <v>20</v>
      </c>
      <c r="B156" s="8">
        <v>1</v>
      </c>
      <c r="C156" s="8">
        <f>IF(C26=B156,1,IF(C26="t",1,IF(C26="b",1,IF(C26="benar",1,0))))</f>
        <v>0</v>
      </c>
      <c r="D156" s="5"/>
      <c r="E156" s="8">
        <f>IF(C37&gt;0,1,0)</f>
        <v>0</v>
      </c>
      <c r="F156" s="8">
        <v>20</v>
      </c>
      <c r="G156" s="8">
        <v>31</v>
      </c>
      <c r="H156" s="8">
        <v>19</v>
      </c>
      <c r="I156" s="8">
        <v>98</v>
      </c>
    </row>
    <row r="157" spans="1:9" ht="15.75" hidden="1">
      <c r="A157" s="7">
        <v>21</v>
      </c>
      <c r="B157" s="8">
        <v>20</v>
      </c>
      <c r="C157" s="8">
        <f>IF(C27=B157,1,0)</f>
        <v>0</v>
      </c>
      <c r="D157" s="5"/>
      <c r="E157" s="8">
        <f>IF(C36&gt;0,1,0)</f>
        <v>0</v>
      </c>
      <c r="F157" s="8">
        <v>21</v>
      </c>
      <c r="G157" s="8">
        <v>30</v>
      </c>
      <c r="H157" s="8">
        <v>20</v>
      </c>
      <c r="I157" s="8">
        <v>100</v>
      </c>
    </row>
    <row r="158" spans="1:9" ht="15.75" hidden="1">
      <c r="A158" s="7">
        <v>22</v>
      </c>
      <c r="B158" s="8" t="s">
        <v>10</v>
      </c>
      <c r="C158" s="8">
        <f>IF(C28=B158,1,0)</f>
        <v>0</v>
      </c>
      <c r="D158" s="5"/>
      <c r="E158" s="8">
        <f>IF(C35&gt;0,1,0)</f>
        <v>0</v>
      </c>
      <c r="F158" s="8">
        <v>22</v>
      </c>
      <c r="G158" s="8">
        <v>29</v>
      </c>
      <c r="H158" s="8">
        <v>21</v>
      </c>
      <c r="I158" s="8">
        <v>102</v>
      </c>
    </row>
    <row r="159" spans="1:9" ht="15.75" hidden="1">
      <c r="A159" s="7">
        <v>23</v>
      </c>
      <c r="B159" s="8" t="s">
        <v>11</v>
      </c>
      <c r="C159" s="8">
        <f>IF(C29=B159,1,IF(C29=2.5,1,0))</f>
        <v>0</v>
      </c>
      <c r="D159" s="5"/>
      <c r="E159" s="8">
        <f>IF(C34&gt;0,1,0)</f>
        <v>0</v>
      </c>
      <c r="F159" s="8">
        <v>23</v>
      </c>
      <c r="G159" s="8">
        <v>28</v>
      </c>
      <c r="H159" s="8">
        <v>22</v>
      </c>
      <c r="I159" s="8">
        <v>104</v>
      </c>
    </row>
    <row r="160" spans="1:9" ht="15.75" hidden="1">
      <c r="A160" s="7">
        <v>24</v>
      </c>
      <c r="B160" s="8">
        <v>2</v>
      </c>
      <c r="C160" s="8">
        <f>IF(C30=B160,1,0)</f>
        <v>0</v>
      </c>
      <c r="D160" s="5"/>
      <c r="E160" s="8">
        <f>IF(C33&gt;0,1,0)</f>
        <v>0</v>
      </c>
      <c r="F160" s="8">
        <v>24</v>
      </c>
      <c r="G160" s="8">
        <v>27</v>
      </c>
      <c r="H160" s="8">
        <v>23</v>
      </c>
      <c r="I160" s="8">
        <v>106</v>
      </c>
    </row>
    <row r="161" spans="1:9" ht="15.75" hidden="1">
      <c r="A161" s="7">
        <v>25</v>
      </c>
      <c r="B161" s="8">
        <v>3</v>
      </c>
      <c r="C161" s="8">
        <f>IF(C31=B161,1,0)</f>
        <v>0</v>
      </c>
      <c r="D161" s="5"/>
      <c r="E161" s="8">
        <f>IF(C32&gt;0,1,0)</f>
        <v>0</v>
      </c>
      <c r="F161" s="8">
        <v>25</v>
      </c>
      <c r="G161" s="8">
        <v>26</v>
      </c>
      <c r="H161" s="8">
        <v>24</v>
      </c>
      <c r="I161" s="8">
        <v>108</v>
      </c>
    </row>
    <row r="162" spans="1:9" ht="15.75" hidden="1">
      <c r="A162" s="7">
        <v>26</v>
      </c>
      <c r="B162" s="8">
        <v>1</v>
      </c>
      <c r="C162" s="8">
        <f>IF(C32=B162,1,IF(C32="t",1,IF(C32="b",1,IF(C32="benar",1,0))))</f>
        <v>0</v>
      </c>
      <c r="D162" s="5"/>
      <c r="E162" s="8">
        <f>IF(C31&gt;0,1,0)</f>
        <v>0</v>
      </c>
      <c r="F162" s="8">
        <v>26</v>
      </c>
      <c r="G162" s="8">
        <v>25</v>
      </c>
      <c r="H162" s="8">
        <v>25</v>
      </c>
      <c r="I162" s="8">
        <v>111</v>
      </c>
    </row>
    <row r="163" spans="1:9" ht="15.75" hidden="1">
      <c r="A163" s="7">
        <v>27</v>
      </c>
      <c r="B163" s="14">
        <v>3.3333333333333333E-2</v>
      </c>
      <c r="C163" s="8">
        <f>IF(C33=B163,1,IF(C33=1/30,1,0))</f>
        <v>0</v>
      </c>
      <c r="D163" s="5"/>
      <c r="E163" s="8">
        <f>IF(C30&gt;0,1,0)</f>
        <v>0</v>
      </c>
      <c r="F163" s="8">
        <v>27</v>
      </c>
      <c r="G163" s="8">
        <v>24</v>
      </c>
      <c r="H163" s="8">
        <v>26</v>
      </c>
      <c r="I163" s="8">
        <v>113</v>
      </c>
    </row>
    <row r="164" spans="1:9" ht="15.75" hidden="1">
      <c r="A164" s="7">
        <v>28</v>
      </c>
      <c r="B164" s="10">
        <v>3</v>
      </c>
      <c r="C164" s="8">
        <f>IF(C34=B164,1,0)</f>
        <v>0</v>
      </c>
      <c r="D164" s="5"/>
      <c r="E164" s="8">
        <f>IF(C29&gt;0,1,0)</f>
        <v>0</v>
      </c>
      <c r="F164" s="8">
        <v>28</v>
      </c>
      <c r="G164" s="8">
        <v>23</v>
      </c>
      <c r="H164" s="8">
        <v>27</v>
      </c>
      <c r="I164" s="8">
        <v>114</v>
      </c>
    </row>
    <row r="165" spans="1:9" ht="15.75" hidden="1">
      <c r="A165" s="7">
        <v>29</v>
      </c>
      <c r="B165" s="8">
        <v>6</v>
      </c>
      <c r="C165" s="8">
        <f>IF(C35=B165,1,0)</f>
        <v>0</v>
      </c>
      <c r="D165" s="5"/>
      <c r="E165" s="8">
        <f>IF(C28&gt;0,1,0)</f>
        <v>0</v>
      </c>
      <c r="F165" s="8">
        <v>29</v>
      </c>
      <c r="G165" s="8">
        <v>22</v>
      </c>
      <c r="H165" s="8">
        <v>28</v>
      </c>
      <c r="I165" s="8">
        <v>116</v>
      </c>
    </row>
    <row r="166" spans="1:9" ht="15.75" hidden="1">
      <c r="A166" s="7">
        <v>30</v>
      </c>
      <c r="B166" s="8">
        <v>10</v>
      </c>
      <c r="C166" s="8">
        <f>IF(C36=B166,1,0)</f>
        <v>0</v>
      </c>
      <c r="D166" s="5"/>
      <c r="E166" s="8">
        <f>IF(C27&gt;0,1,0)</f>
        <v>0</v>
      </c>
      <c r="F166" s="8">
        <v>30</v>
      </c>
      <c r="G166" s="8">
        <v>21</v>
      </c>
      <c r="H166" s="8">
        <v>29</v>
      </c>
      <c r="I166" s="8">
        <v>118</v>
      </c>
    </row>
    <row r="167" spans="1:9" ht="15.75" hidden="1">
      <c r="A167" s="7">
        <v>31</v>
      </c>
      <c r="B167" s="14">
        <v>0.1111111111111111</v>
      </c>
      <c r="C167" s="8">
        <f>IF(C37=B167,1,IF(C37=1/9,1,0))</f>
        <v>0</v>
      </c>
      <c r="D167" s="5"/>
      <c r="E167" s="8">
        <f>IF(C26&gt;0,1,0)</f>
        <v>0</v>
      </c>
      <c r="F167" s="8">
        <v>31</v>
      </c>
      <c r="G167" s="8">
        <v>20</v>
      </c>
      <c r="H167" s="8">
        <v>30</v>
      </c>
      <c r="I167" s="8">
        <v>120</v>
      </c>
    </row>
    <row r="168" spans="1:9" ht="15.75" hidden="1">
      <c r="A168" s="7">
        <v>32</v>
      </c>
      <c r="B168" s="8" t="s">
        <v>12</v>
      </c>
      <c r="C168" s="8">
        <f>IF(C38=B168,1,0)</f>
        <v>0</v>
      </c>
      <c r="D168" s="5"/>
      <c r="E168" s="8">
        <f>IF(C25&gt;0,1,0)</f>
        <v>0</v>
      </c>
      <c r="F168" s="8">
        <v>32</v>
      </c>
      <c r="G168" s="8">
        <v>19</v>
      </c>
      <c r="H168" s="8">
        <v>31</v>
      </c>
      <c r="I168" s="8">
        <v>121</v>
      </c>
    </row>
    <row r="169" spans="1:9" ht="15.75" hidden="1">
      <c r="A169" s="7">
        <v>33</v>
      </c>
      <c r="B169" s="8">
        <v>3</v>
      </c>
      <c r="C169" s="8">
        <f>IF(C39=B169,1,0)</f>
        <v>0</v>
      </c>
      <c r="D169" s="5"/>
      <c r="E169" s="8">
        <f>IF(C24&gt;0,1,0)</f>
        <v>0</v>
      </c>
      <c r="F169" s="8">
        <v>33</v>
      </c>
      <c r="G169" s="8">
        <v>18</v>
      </c>
      <c r="H169" s="8">
        <v>32</v>
      </c>
      <c r="I169" s="8">
        <v>123</v>
      </c>
    </row>
    <row r="170" spans="1:9" ht="15.75" hidden="1">
      <c r="A170" s="7">
        <v>34</v>
      </c>
      <c r="B170" s="8">
        <v>20</v>
      </c>
      <c r="C170" s="8">
        <f>IF(C40=B170,1,0)</f>
        <v>0</v>
      </c>
      <c r="D170" s="5"/>
      <c r="E170" s="8">
        <f>IF(C23&gt;0,1,0)</f>
        <v>0</v>
      </c>
      <c r="F170" s="8">
        <v>34</v>
      </c>
      <c r="G170" s="8">
        <v>17</v>
      </c>
      <c r="H170" s="8">
        <v>33</v>
      </c>
      <c r="I170" s="8">
        <v>125</v>
      </c>
    </row>
    <row r="171" spans="1:9" ht="15.75" hidden="1">
      <c r="A171" s="7">
        <v>35</v>
      </c>
      <c r="B171" s="14">
        <v>0.25</v>
      </c>
      <c r="C171" s="8">
        <f>IF(C41=B171,1,IF(C41=1/4,1,0))</f>
        <v>0</v>
      </c>
      <c r="D171" s="5"/>
      <c r="E171" s="8">
        <f>IF(C22&gt;0,1,0)</f>
        <v>0</v>
      </c>
      <c r="F171" s="8">
        <v>35</v>
      </c>
      <c r="G171" s="8">
        <v>16</v>
      </c>
      <c r="H171" s="8">
        <v>34</v>
      </c>
      <c r="I171" s="8">
        <v>126</v>
      </c>
    </row>
    <row r="172" spans="1:9" ht="15.75" hidden="1">
      <c r="A172" s="7">
        <v>36</v>
      </c>
      <c r="B172" s="8">
        <v>24</v>
      </c>
      <c r="C172" s="8">
        <f>IF(C42=B172,1,0)</f>
        <v>0</v>
      </c>
      <c r="D172" s="5"/>
      <c r="E172" s="8">
        <f>IF(C21&gt;0,1,0)</f>
        <v>0</v>
      </c>
      <c r="F172" s="8">
        <v>36</v>
      </c>
      <c r="G172" s="8">
        <v>15</v>
      </c>
      <c r="H172" s="8">
        <v>35</v>
      </c>
      <c r="I172" s="8">
        <v>128</v>
      </c>
    </row>
    <row r="173" spans="1:9" ht="15.75" hidden="1">
      <c r="A173" s="7">
        <v>37</v>
      </c>
      <c r="B173" s="8">
        <v>6.25E-2</v>
      </c>
      <c r="C173" s="8">
        <f>IF(C43=B173,1,IF(C43=0.0625,1,0))</f>
        <v>0</v>
      </c>
      <c r="D173" s="5"/>
      <c r="E173" s="8">
        <f>IF(C20&gt;0,1,0)</f>
        <v>0</v>
      </c>
      <c r="F173" s="8">
        <v>37</v>
      </c>
      <c r="G173" s="8">
        <v>14</v>
      </c>
      <c r="H173" s="8">
        <v>36</v>
      </c>
      <c r="I173" s="8">
        <v>130</v>
      </c>
    </row>
    <row r="174" spans="1:9" ht="15.75" hidden="1">
      <c r="A174" s="7">
        <v>38</v>
      </c>
      <c r="B174" s="8" t="s">
        <v>13</v>
      </c>
      <c r="C174" s="8">
        <f>IF(C44=B174,1,IF(C44=6.9,1,IF(C44=69,1,IF(C44="6 dan 9",1,0))))</f>
        <v>0</v>
      </c>
      <c r="D174" s="5"/>
      <c r="E174" s="8">
        <f>IF(C19&gt;0,1,0)</f>
        <v>0</v>
      </c>
      <c r="F174" s="8">
        <v>38</v>
      </c>
      <c r="G174" s="8">
        <v>13</v>
      </c>
      <c r="H174" s="8">
        <v>37</v>
      </c>
      <c r="I174" s="8">
        <v>132</v>
      </c>
    </row>
    <row r="175" spans="1:9" ht="15.75" hidden="1">
      <c r="A175" s="7">
        <v>39</v>
      </c>
      <c r="B175" s="8">
        <v>2</v>
      </c>
      <c r="C175" s="8">
        <f>IF(C45=B175,1,0)</f>
        <v>0</v>
      </c>
      <c r="D175" s="5"/>
      <c r="E175" s="8">
        <f>IF(C18&gt;0,1,0)</f>
        <v>0</v>
      </c>
      <c r="F175" s="8">
        <v>39</v>
      </c>
      <c r="G175" s="8">
        <v>12</v>
      </c>
      <c r="H175" s="8">
        <v>38</v>
      </c>
      <c r="I175" s="8">
        <v>134</v>
      </c>
    </row>
    <row r="176" spans="1:9" ht="15.75" hidden="1">
      <c r="A176" s="7">
        <v>40</v>
      </c>
      <c r="B176" s="8">
        <v>1</v>
      </c>
      <c r="C176" s="8">
        <f>IF(C46=B176,1,0)</f>
        <v>0</v>
      </c>
      <c r="D176" s="5"/>
      <c r="E176" s="8">
        <f>IF(C17&gt;0,1,0)</f>
        <v>0</v>
      </c>
      <c r="F176" s="8">
        <v>40</v>
      </c>
      <c r="G176" s="8">
        <v>11</v>
      </c>
      <c r="H176" s="8">
        <v>39</v>
      </c>
      <c r="I176" s="8">
        <v>136</v>
      </c>
    </row>
    <row r="177" spans="1:9" ht="15.75" hidden="1">
      <c r="A177" s="7">
        <v>41</v>
      </c>
      <c r="B177" s="8" t="s">
        <v>14</v>
      </c>
      <c r="C177" s="8">
        <f>IF(C47=B177,1,IF(C47=1.4,1,0))</f>
        <v>0</v>
      </c>
      <c r="D177" s="5"/>
      <c r="E177" s="8">
        <f>IF(C16&gt;0,1,0)</f>
        <v>0</v>
      </c>
      <c r="F177" s="8">
        <v>41</v>
      </c>
      <c r="G177" s="8">
        <v>10</v>
      </c>
      <c r="H177" s="8">
        <v>40</v>
      </c>
      <c r="I177" s="8">
        <v>138</v>
      </c>
    </row>
    <row r="178" spans="1:9" ht="15.75" hidden="1">
      <c r="A178" s="7">
        <v>42</v>
      </c>
      <c r="B178" s="8" t="s">
        <v>15</v>
      </c>
      <c r="C178" s="8">
        <f>IF(C48=B178,1,IF(C48=3.22,1,IF(C48=22.3,1,IF(C48="3 dan 22",1,IF(C48="22 dan 3",1,0)))))</f>
        <v>0</v>
      </c>
      <c r="D178" s="5"/>
      <c r="E178" s="8">
        <f>IF(C15&gt;0,1,0)</f>
        <v>0</v>
      </c>
      <c r="F178" s="8">
        <v>42</v>
      </c>
      <c r="G178" s="8">
        <v>9</v>
      </c>
      <c r="H178" s="8">
        <v>41</v>
      </c>
      <c r="I178" s="8">
        <v>140</v>
      </c>
    </row>
    <row r="179" spans="1:9" ht="15.75" hidden="1">
      <c r="A179" s="7">
        <v>43</v>
      </c>
      <c r="B179" s="8">
        <v>0.33</v>
      </c>
      <c r="C179" s="8">
        <f>IF(C49=B179,1,IF(C49=0.33,1,0))</f>
        <v>0</v>
      </c>
      <c r="D179" s="5"/>
      <c r="E179" s="8">
        <f>IF(C14&gt;0,1,0)</f>
        <v>0</v>
      </c>
      <c r="F179" s="8">
        <v>43</v>
      </c>
      <c r="G179" s="8">
        <v>8</v>
      </c>
      <c r="H179" s="8">
        <v>42</v>
      </c>
      <c r="I179" s="8">
        <v>142</v>
      </c>
    </row>
    <row r="180" spans="1:9" ht="15.75" hidden="1">
      <c r="A180" s="7">
        <v>44</v>
      </c>
      <c r="B180" s="8">
        <v>2</v>
      </c>
      <c r="C180" s="8">
        <f>IF(C50=B180,1,0)</f>
        <v>0</v>
      </c>
      <c r="D180" s="5"/>
      <c r="E180" s="8">
        <f>IF(C13&gt;0,1,0)</f>
        <v>0</v>
      </c>
      <c r="F180" s="8">
        <v>44</v>
      </c>
      <c r="G180" s="8">
        <v>7</v>
      </c>
      <c r="H180" s="8">
        <v>43</v>
      </c>
      <c r="I180" s="8">
        <v>143</v>
      </c>
    </row>
    <row r="181" spans="1:9" ht="15.75" hidden="1">
      <c r="A181" s="7">
        <v>45</v>
      </c>
      <c r="B181" s="8">
        <v>24</v>
      </c>
      <c r="C181" s="8">
        <f>IF(C51=B181,1,0)</f>
        <v>0</v>
      </c>
      <c r="D181" s="5"/>
      <c r="E181" s="8">
        <f>IF(C12&gt;0,1,0)</f>
        <v>0</v>
      </c>
      <c r="F181" s="8">
        <v>45</v>
      </c>
      <c r="G181" s="8">
        <v>6</v>
      </c>
      <c r="H181" s="8">
        <v>44</v>
      </c>
      <c r="I181" s="8">
        <v>146</v>
      </c>
    </row>
    <row r="182" spans="1:9" ht="15.75" hidden="1">
      <c r="A182" s="7">
        <v>46</v>
      </c>
      <c r="B182" s="8">
        <v>2</v>
      </c>
      <c r="C182" s="8">
        <f>IF(C52=B182,1,0)</f>
        <v>0</v>
      </c>
      <c r="D182" s="5"/>
      <c r="E182" s="8">
        <f>IF(C11&gt;0,1,0)</f>
        <v>0</v>
      </c>
      <c r="F182" s="8">
        <v>46</v>
      </c>
      <c r="G182" s="8">
        <v>5</v>
      </c>
      <c r="H182" s="8">
        <v>45</v>
      </c>
      <c r="I182" s="8">
        <v>146</v>
      </c>
    </row>
    <row r="183" spans="1:9" ht="15.75" hidden="1">
      <c r="A183" s="7">
        <v>47</v>
      </c>
      <c r="B183" s="8">
        <v>3</v>
      </c>
      <c r="C183" s="8">
        <f>IF(C53=B183,1,0)</f>
        <v>0</v>
      </c>
      <c r="D183" s="5"/>
      <c r="E183" s="8">
        <f>IF(C10&gt;0,1,0)</f>
        <v>0</v>
      </c>
      <c r="F183" s="8">
        <v>47</v>
      </c>
      <c r="G183" s="8">
        <v>4</v>
      </c>
      <c r="H183" s="8">
        <v>46</v>
      </c>
      <c r="I183" s="8">
        <v>146</v>
      </c>
    </row>
    <row r="184" spans="1:9" ht="15.75" hidden="1">
      <c r="A184" s="7">
        <v>48</v>
      </c>
      <c r="B184" s="8">
        <v>175</v>
      </c>
      <c r="C184" s="8">
        <f>IF(C54=B184,1,0)</f>
        <v>0</v>
      </c>
      <c r="D184" s="5"/>
      <c r="E184" s="8">
        <f>IF(C9&gt;0,1,0)</f>
        <v>0</v>
      </c>
      <c r="F184" s="8">
        <v>48</v>
      </c>
      <c r="G184" s="8">
        <v>3</v>
      </c>
      <c r="H184" s="8">
        <v>47</v>
      </c>
      <c r="I184" s="8">
        <v>146</v>
      </c>
    </row>
    <row r="185" spans="1:9" ht="15.75" hidden="1">
      <c r="A185" s="7">
        <v>49</v>
      </c>
      <c r="B185" s="8" t="s">
        <v>16</v>
      </c>
      <c r="C185" s="8">
        <f>IF(C55=B185,1,IF(C55=1245,1,0))</f>
        <v>0</v>
      </c>
      <c r="D185" s="5"/>
      <c r="E185" s="8">
        <f>IF(C8&gt;0,1,0)</f>
        <v>0</v>
      </c>
      <c r="F185" s="8">
        <v>49</v>
      </c>
      <c r="G185" s="8">
        <v>2</v>
      </c>
      <c r="H185" s="8">
        <v>48</v>
      </c>
      <c r="I185" s="8">
        <v>146</v>
      </c>
    </row>
    <row r="186" spans="1:9" ht="15.75" hidden="1">
      <c r="A186" s="7">
        <v>50</v>
      </c>
      <c r="B186" s="8">
        <v>12</v>
      </c>
      <c r="C186" s="8">
        <f>IF(C56=B186,1,0)</f>
        <v>0</v>
      </c>
      <c r="D186" s="5"/>
      <c r="E186" s="8">
        <f>IF(C7&gt;0,1,0)</f>
        <v>0</v>
      </c>
      <c r="F186" s="8">
        <v>50</v>
      </c>
      <c r="G186" s="8">
        <v>1</v>
      </c>
      <c r="H186" s="8">
        <v>49</v>
      </c>
      <c r="I186" s="8">
        <v>146</v>
      </c>
    </row>
    <row r="187" spans="1:9" ht="15.75" hidden="1">
      <c r="A187" s="5"/>
      <c r="B187" s="8"/>
      <c r="C187" s="11">
        <f>SUM(C137:C186)</f>
        <v>0</v>
      </c>
      <c r="D187" s="5"/>
      <c r="E187" s="8">
        <v>1</v>
      </c>
      <c r="F187" s="8">
        <v>51</v>
      </c>
      <c r="G187" s="8">
        <v>0</v>
      </c>
      <c r="H187" s="8">
        <v>50</v>
      </c>
      <c r="I187" s="8">
        <v>146</v>
      </c>
    </row>
    <row r="188" spans="1:9" ht="15.75" hidden="1">
      <c r="A188" s="5"/>
      <c r="B188" s="5"/>
      <c r="C188" s="5"/>
      <c r="D188" s="5"/>
      <c r="E188" s="8">
        <f>MATCH(1,E137:E187,0)</f>
        <v>51</v>
      </c>
      <c r="F188" s="5"/>
      <c r="G188" s="5"/>
      <c r="H188" s="5"/>
      <c r="I188" s="5"/>
    </row>
    <row r="189" spans="1:9" ht="15.75" hidden="1">
      <c r="A189" s="5"/>
      <c r="B189" s="5"/>
      <c r="C189" s="5"/>
      <c r="D189" s="5"/>
      <c r="E189" s="11">
        <f>VLOOKUP(E188,F137:G187,2)</f>
        <v>0</v>
      </c>
      <c r="F189" s="5"/>
      <c r="G189" s="5"/>
      <c r="H189" s="5"/>
      <c r="I189" s="5"/>
    </row>
  </sheetData>
  <sheetProtection password="BD0F" sheet="1" objects="1" scenarios="1"/>
  <mergeCells count="4">
    <mergeCell ref="E6:F6"/>
    <mergeCell ref="E11:E12"/>
    <mergeCell ref="E30:F30"/>
    <mergeCell ref="E14:L14"/>
  </mergeCells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Syifa</dc:creator>
  <cp:lastModifiedBy>Asyifa</cp:lastModifiedBy>
  <dcterms:created xsi:type="dcterms:W3CDTF">2013-01-11T03:08:41Z</dcterms:created>
  <dcterms:modified xsi:type="dcterms:W3CDTF">2013-08-14T05:07:57Z</dcterms:modified>
</cp:coreProperties>
</file>