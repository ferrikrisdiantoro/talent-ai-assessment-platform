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codeName="EsteLibro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2bb\AC\Temp\"/>
    </mc:Choice>
  </mc:AlternateContent>
  <xr:revisionPtr revIDLastSave="0" documentId="8_{99467728-30DE-B543-99ED-09C3CC4C99C2}" xr6:coauthVersionLast="45" xr6:coauthVersionMax="45" xr10:uidLastSave="{00000000-0000-0000-0000-000000000000}"/>
  <bookViews>
    <workbookView xWindow="-120" yWindow="-120" windowWidth="15600" windowHeight="11760" tabRatio="589" xr2:uid="{00000000-000D-0000-FFFF-FFFF00000000}"/>
  </bookViews>
  <sheets>
    <sheet name="Test" sheetId="1" r:id="rId1"/>
    <sheet name="Hasil" sheetId="2" r:id="rId2"/>
  </sheet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32" i="1" l="1"/>
  <c r="N6" i="2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8" i="1"/>
  <c r="G8" i="1"/>
  <c r="H8" i="1"/>
  <c r="I8" i="1"/>
  <c r="J8" i="1"/>
  <c r="G9" i="1"/>
  <c r="G10" i="1"/>
  <c r="H14" i="1"/>
  <c r="H15" i="1"/>
  <c r="G16" i="1"/>
  <c r="H17" i="1"/>
  <c r="G18" i="1"/>
  <c r="H19" i="1"/>
  <c r="H23" i="1"/>
  <c r="G24" i="1"/>
  <c r="G25" i="1"/>
  <c r="H29" i="1"/>
  <c r="H30" i="1"/>
  <c r="G31" i="1"/>
  <c r="G50" i="1"/>
  <c r="H51" i="1"/>
  <c r="G52" i="1"/>
  <c r="H53" i="1"/>
  <c r="G54" i="1"/>
  <c r="H55" i="1"/>
  <c r="H56" i="1"/>
  <c r="G57" i="1"/>
  <c r="H58" i="1"/>
  <c r="H59" i="1"/>
  <c r="G60" i="1"/>
  <c r="G61" i="1"/>
  <c r="H62" i="1"/>
  <c r="H63" i="1"/>
  <c r="G64" i="1"/>
  <c r="H65" i="1"/>
  <c r="G66" i="1"/>
  <c r="H67" i="1"/>
  <c r="H95" i="1"/>
  <c r="H96" i="1"/>
  <c r="G97" i="1"/>
  <c r="H98" i="1"/>
  <c r="G99" i="1"/>
  <c r="H100" i="1"/>
  <c r="H101" i="1"/>
  <c r="G102" i="1"/>
  <c r="G103" i="1"/>
  <c r="G104" i="1"/>
  <c r="H105" i="1"/>
  <c r="G106" i="1"/>
  <c r="H137" i="1"/>
  <c r="G138" i="1"/>
  <c r="H139" i="1"/>
  <c r="H149" i="1"/>
  <c r="H150" i="1"/>
  <c r="G151" i="1"/>
  <c r="H164" i="1"/>
  <c r="H165" i="1"/>
  <c r="G166" i="1"/>
  <c r="H185" i="1"/>
  <c r="H186" i="1"/>
  <c r="G187" i="1"/>
  <c r="H191" i="1"/>
  <c r="G192" i="1"/>
  <c r="G193" i="1"/>
  <c r="G222" i="1"/>
  <c r="H227" i="1"/>
  <c r="H228" i="1"/>
  <c r="G229" i="1"/>
  <c r="G230" i="1"/>
  <c r="H231" i="1"/>
  <c r="H232" i="1"/>
  <c r="G233" i="1"/>
  <c r="G234" i="1"/>
  <c r="H235" i="1"/>
  <c r="H260" i="1"/>
  <c r="G261" i="1"/>
  <c r="H262" i="1"/>
  <c r="G263" i="1"/>
  <c r="G264" i="1"/>
  <c r="H265" i="1"/>
  <c r="H269" i="1"/>
  <c r="G270" i="1"/>
  <c r="H271" i="1"/>
  <c r="H302" i="1"/>
  <c r="H303" i="1"/>
  <c r="G304" i="1"/>
  <c r="H320" i="1"/>
  <c r="G321" i="1"/>
  <c r="G322" i="1"/>
  <c r="H347" i="1"/>
  <c r="H386" i="1"/>
  <c r="G387" i="1"/>
  <c r="H388" i="1"/>
  <c r="H398" i="1"/>
  <c r="H399" i="1"/>
  <c r="G400" i="1"/>
  <c r="H404" i="1"/>
  <c r="G405" i="1"/>
  <c r="G406" i="1"/>
  <c r="H428" i="1"/>
  <c r="G429" i="1"/>
  <c r="G430" i="1"/>
  <c r="H431" i="1"/>
  <c r="G433" i="1"/>
  <c r="G434" i="1"/>
  <c r="H435" i="1"/>
  <c r="H436" i="1"/>
  <c r="H437" i="1"/>
  <c r="H438" i="1"/>
  <c r="G439" i="1"/>
  <c r="H473" i="1"/>
  <c r="H474" i="1"/>
  <c r="G475" i="1"/>
  <c r="H476" i="1"/>
  <c r="G477" i="1"/>
  <c r="H478" i="1"/>
  <c r="H479" i="1"/>
  <c r="G480" i="1"/>
  <c r="H481" i="1"/>
  <c r="G482" i="1"/>
  <c r="H483" i="1"/>
  <c r="H484" i="1"/>
  <c r="H488" i="1"/>
  <c r="G489" i="1"/>
  <c r="H490" i="1"/>
  <c r="C8" i="2"/>
  <c r="D8" i="2"/>
  <c r="E8" i="2"/>
  <c r="H9" i="1"/>
  <c r="I9" i="1"/>
  <c r="J9" i="1"/>
  <c r="H10" i="1"/>
  <c r="I10" i="1"/>
  <c r="J10" i="1"/>
  <c r="G11" i="1"/>
  <c r="H12" i="1"/>
  <c r="H13" i="1"/>
  <c r="G68" i="1"/>
  <c r="H69" i="1"/>
  <c r="H70" i="1"/>
  <c r="G74" i="1"/>
  <c r="H75" i="1"/>
  <c r="H76" i="1"/>
  <c r="H107" i="1"/>
  <c r="G108" i="1"/>
  <c r="H109" i="1"/>
  <c r="G113" i="1"/>
  <c r="H114" i="1"/>
  <c r="H115" i="1"/>
  <c r="H116" i="1"/>
  <c r="H117" i="1"/>
  <c r="G118" i="1"/>
  <c r="H122" i="1"/>
  <c r="G123" i="1"/>
  <c r="H124" i="1"/>
  <c r="H152" i="1"/>
  <c r="H153" i="1"/>
  <c r="G154" i="1"/>
  <c r="H158" i="1"/>
  <c r="H159" i="1"/>
  <c r="G160" i="1"/>
  <c r="H167" i="1"/>
  <c r="G168" i="1"/>
  <c r="H169" i="1"/>
  <c r="H179" i="1"/>
  <c r="H180" i="1"/>
  <c r="G181" i="1"/>
  <c r="H182" i="1"/>
  <c r="H183" i="1"/>
  <c r="G184" i="1"/>
  <c r="G185" i="1"/>
  <c r="H187" i="1"/>
  <c r="G203" i="1"/>
  <c r="H204" i="1"/>
  <c r="H205" i="1"/>
  <c r="G212" i="1"/>
  <c r="H213" i="1"/>
  <c r="H214" i="1"/>
  <c r="H242" i="1"/>
  <c r="G243" i="1"/>
  <c r="H244" i="1"/>
  <c r="H248" i="1"/>
  <c r="G249" i="1"/>
  <c r="H250" i="1"/>
  <c r="H254" i="1"/>
  <c r="H255" i="1"/>
  <c r="G256" i="1"/>
  <c r="H261" i="1"/>
  <c r="G262" i="1"/>
  <c r="G266" i="1"/>
  <c r="H267" i="1"/>
  <c r="H268" i="1"/>
  <c r="G278" i="1"/>
  <c r="H279" i="1"/>
  <c r="H280" i="1"/>
  <c r="H296" i="1"/>
  <c r="G297" i="1"/>
  <c r="G298" i="1"/>
  <c r="G302" i="1"/>
  <c r="H304" i="1"/>
  <c r="G323" i="1"/>
  <c r="H324" i="1"/>
  <c r="H325" i="1"/>
  <c r="H326" i="1"/>
  <c r="H327" i="1"/>
  <c r="G328" i="1"/>
  <c r="G344" i="1"/>
  <c r="H345" i="1"/>
  <c r="H346" i="1"/>
  <c r="G350" i="1"/>
  <c r="H351" i="1"/>
  <c r="H352" i="1"/>
  <c r="H353" i="1"/>
  <c r="H354" i="1"/>
  <c r="G355" i="1"/>
  <c r="G359" i="1"/>
  <c r="H360" i="1"/>
  <c r="H361" i="1"/>
  <c r="H362" i="1"/>
  <c r="G363" i="1"/>
  <c r="H364" i="1"/>
  <c r="G383" i="1"/>
  <c r="H384" i="1"/>
  <c r="H385" i="1"/>
  <c r="H407" i="1"/>
  <c r="G408" i="1"/>
  <c r="H409" i="1"/>
  <c r="H413" i="1"/>
  <c r="G414" i="1"/>
  <c r="H415" i="1"/>
  <c r="H422" i="1"/>
  <c r="H423" i="1"/>
  <c r="G424" i="1"/>
  <c r="H425" i="1"/>
  <c r="H426" i="1"/>
  <c r="G427" i="1"/>
  <c r="H452" i="1"/>
  <c r="H453" i="1"/>
  <c r="G454" i="1"/>
  <c r="H461" i="1"/>
  <c r="H462" i="1"/>
  <c r="G463" i="1"/>
  <c r="H494" i="1"/>
  <c r="H495" i="1"/>
  <c r="G496" i="1"/>
  <c r="H509" i="1"/>
  <c r="G510" i="1"/>
  <c r="H511" i="1"/>
  <c r="C16" i="2"/>
  <c r="D16" i="2"/>
  <c r="E16" i="2"/>
  <c r="H11" i="1"/>
  <c r="I11" i="1"/>
  <c r="J11" i="1"/>
  <c r="G12" i="1"/>
  <c r="H176" i="1"/>
  <c r="H177" i="1"/>
  <c r="G178" i="1"/>
  <c r="G179" i="1"/>
  <c r="H181" i="1"/>
  <c r="G182" i="1"/>
  <c r="H184" i="1"/>
  <c r="H224" i="1"/>
  <c r="G225" i="1"/>
  <c r="H226" i="1"/>
  <c r="G239" i="1"/>
  <c r="H240" i="1"/>
  <c r="H241" i="1"/>
  <c r="H245" i="1"/>
  <c r="G246" i="1"/>
  <c r="G247" i="1"/>
  <c r="G260" i="1"/>
  <c r="H281" i="1"/>
  <c r="G282" i="1"/>
  <c r="H283" i="1"/>
  <c r="G308" i="1"/>
  <c r="H309" i="1"/>
  <c r="H310" i="1"/>
  <c r="H323" i="1"/>
  <c r="G325" i="1"/>
  <c r="G327" i="1"/>
  <c r="H328" i="1"/>
  <c r="H329" i="1"/>
  <c r="G330" i="1"/>
  <c r="H331" i="1"/>
  <c r="H332" i="1"/>
  <c r="H333" i="1"/>
  <c r="G334" i="1"/>
  <c r="G347" i="1"/>
  <c r="H348" i="1"/>
  <c r="H349" i="1"/>
  <c r="H350" i="1"/>
  <c r="G351" i="1"/>
  <c r="H368" i="1"/>
  <c r="G369" i="1"/>
  <c r="H370" i="1"/>
  <c r="H371" i="1"/>
  <c r="G372" i="1"/>
  <c r="H373" i="1"/>
  <c r="H374" i="1"/>
  <c r="H375" i="1"/>
  <c r="G376" i="1"/>
  <c r="G392" i="1"/>
  <c r="H393" i="1"/>
  <c r="H394" i="1"/>
  <c r="H410" i="1"/>
  <c r="G411" i="1"/>
  <c r="H412" i="1"/>
  <c r="H416" i="1"/>
  <c r="H417" i="1"/>
  <c r="G418" i="1"/>
  <c r="G443" i="1"/>
  <c r="H444" i="1"/>
  <c r="H445" i="1"/>
  <c r="H455" i="1"/>
  <c r="H456" i="1"/>
  <c r="G457" i="1"/>
  <c r="G488" i="1"/>
  <c r="H489" i="1"/>
  <c r="G497" i="1"/>
  <c r="H498" i="1"/>
  <c r="H499" i="1"/>
  <c r="C10" i="2"/>
  <c r="D10" i="2"/>
  <c r="E10" i="2"/>
  <c r="I12" i="1"/>
  <c r="J12" i="1"/>
  <c r="G13" i="1"/>
  <c r="G29" i="1"/>
  <c r="H31" i="1"/>
  <c r="H35" i="1"/>
  <c r="G36" i="1"/>
  <c r="H37" i="1"/>
  <c r="H57" i="1"/>
  <c r="G58" i="1"/>
  <c r="H74" i="1"/>
  <c r="G75" i="1"/>
  <c r="H77" i="1"/>
  <c r="G78" i="1"/>
  <c r="H79" i="1"/>
  <c r="G80" i="1"/>
  <c r="H81" i="1"/>
  <c r="H82" i="1"/>
  <c r="H92" i="1"/>
  <c r="H93" i="1"/>
  <c r="G94" i="1"/>
  <c r="G134" i="1"/>
  <c r="H135" i="1"/>
  <c r="H136" i="1"/>
  <c r="G140" i="1"/>
  <c r="H141" i="1"/>
  <c r="H142" i="1"/>
  <c r="G149" i="1"/>
  <c r="H151" i="1"/>
  <c r="G158" i="1"/>
  <c r="H160" i="1"/>
  <c r="H161" i="1"/>
  <c r="G162" i="1"/>
  <c r="H163" i="1"/>
  <c r="G165" i="1"/>
  <c r="H166" i="1"/>
  <c r="G176" i="1"/>
  <c r="H178" i="1"/>
  <c r="G180" i="1"/>
  <c r="G186" i="1"/>
  <c r="G191" i="1"/>
  <c r="H192" i="1"/>
  <c r="H193" i="1"/>
  <c r="H194" i="1"/>
  <c r="H195" i="1"/>
  <c r="G196" i="1"/>
  <c r="H206" i="1"/>
  <c r="G207" i="1"/>
  <c r="H208" i="1"/>
  <c r="G224" i="1"/>
  <c r="H225" i="1"/>
  <c r="G226" i="1"/>
  <c r="H239" i="1"/>
  <c r="G241" i="1"/>
  <c r="G245" i="1"/>
  <c r="H246" i="1"/>
  <c r="H247" i="1"/>
  <c r="H266" i="1"/>
  <c r="G268" i="1"/>
  <c r="H275" i="1"/>
  <c r="G276" i="1"/>
  <c r="G277" i="1"/>
  <c r="H290" i="1"/>
  <c r="G291" i="1"/>
  <c r="H292" i="1"/>
  <c r="G305" i="1"/>
  <c r="H306" i="1"/>
  <c r="H307" i="1"/>
  <c r="H308" i="1"/>
  <c r="G309" i="1"/>
  <c r="H311" i="1"/>
  <c r="H312" i="1"/>
  <c r="G313" i="1"/>
  <c r="H314" i="1"/>
  <c r="G315" i="1"/>
  <c r="H316" i="1"/>
  <c r="H344" i="1"/>
  <c r="G345" i="1"/>
  <c r="G346" i="1"/>
  <c r="G349" i="1"/>
  <c r="G352" i="1"/>
  <c r="G354" i="1"/>
  <c r="H355" i="1"/>
  <c r="G389" i="1"/>
  <c r="H390" i="1"/>
  <c r="G391" i="1"/>
  <c r="H392" i="1"/>
  <c r="G393" i="1"/>
  <c r="G403" i="1"/>
  <c r="H434" i="1"/>
  <c r="G436" i="1"/>
  <c r="G437" i="1"/>
  <c r="H439" i="1"/>
  <c r="H470" i="1"/>
  <c r="H471" i="1"/>
  <c r="G472" i="1"/>
  <c r="H477" i="1"/>
  <c r="G478" i="1"/>
  <c r="G487" i="1"/>
  <c r="C12" i="2"/>
  <c r="I13" i="1"/>
  <c r="J13" i="1"/>
  <c r="G14" i="1"/>
  <c r="I14" i="1"/>
  <c r="J14" i="1"/>
  <c r="G15" i="1"/>
  <c r="I15" i="1"/>
  <c r="J15" i="1"/>
  <c r="H16" i="1"/>
  <c r="I16" i="1"/>
  <c r="J16" i="1"/>
  <c r="G17" i="1"/>
  <c r="I17" i="1"/>
  <c r="J17" i="1"/>
  <c r="H18" i="1"/>
  <c r="I18" i="1"/>
  <c r="J18" i="1"/>
  <c r="G19" i="1"/>
  <c r="I19" i="1"/>
  <c r="J19" i="1"/>
  <c r="G20" i="1"/>
  <c r="H21" i="1"/>
  <c r="H22" i="1"/>
  <c r="G92" i="1"/>
  <c r="H94" i="1"/>
  <c r="H108" i="1"/>
  <c r="G109" i="1"/>
  <c r="H140" i="1"/>
  <c r="G141" i="1"/>
  <c r="H143" i="1"/>
  <c r="H144" i="1"/>
  <c r="G145" i="1"/>
  <c r="G146" i="1"/>
  <c r="H147" i="1"/>
  <c r="H148" i="1"/>
  <c r="G152" i="1"/>
  <c r="H154" i="1"/>
  <c r="G183" i="1"/>
  <c r="H218" i="1"/>
  <c r="H219" i="1"/>
  <c r="G220" i="1"/>
  <c r="H236" i="1"/>
  <c r="H237" i="1"/>
  <c r="G238" i="1"/>
  <c r="H277" i="1"/>
  <c r="H278" i="1"/>
  <c r="G280" i="1"/>
  <c r="G353" i="1"/>
  <c r="H359" i="1"/>
  <c r="G360" i="1"/>
  <c r="H363" i="1"/>
  <c r="G364" i="1"/>
  <c r="G395" i="1"/>
  <c r="H396" i="1"/>
  <c r="H397" i="1"/>
  <c r="H401" i="1"/>
  <c r="G402" i="1"/>
  <c r="H403" i="1"/>
  <c r="G438" i="1"/>
  <c r="H446" i="1"/>
  <c r="G447" i="1"/>
  <c r="H448" i="1"/>
  <c r="H485" i="1"/>
  <c r="G486" i="1"/>
  <c r="H487" i="1"/>
  <c r="C14" i="2"/>
  <c r="D14" i="2"/>
  <c r="E14" i="2"/>
  <c r="H20" i="1"/>
  <c r="I20" i="1"/>
  <c r="J20" i="1"/>
  <c r="G21" i="1"/>
  <c r="I21" i="1"/>
  <c r="J21" i="1"/>
  <c r="G22" i="1"/>
  <c r="I22" i="1"/>
  <c r="J22" i="1"/>
  <c r="G23" i="1"/>
  <c r="I23" i="1"/>
  <c r="J23" i="1"/>
  <c r="H24" i="1"/>
  <c r="I24" i="1"/>
  <c r="J24" i="1"/>
  <c r="H25" i="1"/>
  <c r="I25" i="1"/>
  <c r="J25" i="1"/>
  <c r="G26" i="1"/>
  <c r="H26" i="1"/>
  <c r="H27" i="1"/>
  <c r="G28" i="1"/>
  <c r="G35" i="1"/>
  <c r="H36" i="1"/>
  <c r="H41" i="1"/>
  <c r="G42" i="1"/>
  <c r="H43" i="1"/>
  <c r="H68" i="1"/>
  <c r="G70" i="1"/>
  <c r="H83" i="1"/>
  <c r="G84" i="1"/>
  <c r="H85" i="1"/>
  <c r="G86" i="1"/>
  <c r="H87" i="1"/>
  <c r="H88" i="1"/>
  <c r="H89" i="1"/>
  <c r="G90" i="1"/>
  <c r="H91" i="1"/>
  <c r="H110" i="1"/>
  <c r="G111" i="1"/>
  <c r="H112" i="1"/>
  <c r="G117" i="1"/>
  <c r="H118" i="1"/>
  <c r="H119" i="1"/>
  <c r="H120" i="1"/>
  <c r="G121" i="1"/>
  <c r="H125" i="1"/>
  <c r="G126" i="1"/>
  <c r="H127" i="1"/>
  <c r="H128" i="1"/>
  <c r="H129" i="1"/>
  <c r="G130" i="1"/>
  <c r="G131" i="1"/>
  <c r="G132" i="1"/>
  <c r="H133" i="1"/>
  <c r="G153" i="1"/>
  <c r="G159" i="1"/>
  <c r="G167" i="1"/>
  <c r="H168" i="1"/>
  <c r="G170" i="1"/>
  <c r="H171" i="1"/>
  <c r="H172" i="1"/>
  <c r="H173" i="1"/>
  <c r="G174" i="1"/>
  <c r="H175" i="1"/>
  <c r="G194" i="1"/>
  <c r="H196" i="1"/>
  <c r="H200" i="1"/>
  <c r="G201" i="1"/>
  <c r="H202" i="1"/>
  <c r="H207" i="1"/>
  <c r="G208" i="1"/>
  <c r="H209" i="1"/>
  <c r="H210" i="1"/>
  <c r="G211" i="1"/>
  <c r="H212" i="1"/>
  <c r="G214" i="1"/>
  <c r="H230" i="1"/>
  <c r="G232" i="1"/>
  <c r="H233" i="1"/>
  <c r="H234" i="1"/>
  <c r="G235" i="1"/>
  <c r="G237" i="1"/>
  <c r="H238" i="1"/>
  <c r="G296" i="1"/>
  <c r="H298" i="1"/>
  <c r="H299" i="1"/>
  <c r="G300" i="1"/>
  <c r="H301" i="1"/>
  <c r="G380" i="1"/>
  <c r="G381" i="1"/>
  <c r="H382" i="1"/>
  <c r="H506" i="1"/>
  <c r="H507" i="1"/>
  <c r="G508" i="1"/>
  <c r="C11" i="2"/>
  <c r="D11" i="2"/>
  <c r="E11" i="2"/>
  <c r="I26" i="1"/>
  <c r="J26" i="1"/>
  <c r="G27" i="1"/>
  <c r="I27" i="1"/>
  <c r="J27" i="1"/>
  <c r="H28" i="1"/>
  <c r="I28" i="1"/>
  <c r="J28" i="1"/>
  <c r="G30" i="1"/>
  <c r="H47" i="1"/>
  <c r="G48" i="1"/>
  <c r="H49" i="1"/>
  <c r="H86" i="1"/>
  <c r="G88" i="1"/>
  <c r="H90" i="1"/>
  <c r="G91" i="1"/>
  <c r="G129" i="1"/>
  <c r="H130" i="1"/>
  <c r="H201" i="1"/>
  <c r="G202" i="1"/>
  <c r="H203" i="1"/>
  <c r="G204" i="1"/>
  <c r="H243" i="1"/>
  <c r="G244" i="1"/>
  <c r="G254" i="1"/>
  <c r="H256" i="1"/>
  <c r="G338" i="1"/>
  <c r="H339" i="1"/>
  <c r="H340" i="1"/>
  <c r="H383" i="1"/>
  <c r="G384" i="1"/>
  <c r="G423" i="1"/>
  <c r="H424" i="1"/>
  <c r="G452" i="1"/>
  <c r="H454" i="1"/>
  <c r="H458" i="1"/>
  <c r="H459" i="1"/>
  <c r="G460" i="1"/>
  <c r="H500" i="1"/>
  <c r="H501" i="1"/>
  <c r="G502" i="1"/>
  <c r="C15" i="2"/>
  <c r="D15" i="2"/>
  <c r="E15" i="2"/>
  <c r="I29" i="1"/>
  <c r="J29" i="1"/>
  <c r="I30" i="1"/>
  <c r="J30" i="1"/>
  <c r="I31" i="1"/>
  <c r="J31" i="1"/>
  <c r="G32" i="1"/>
  <c r="H32" i="1"/>
  <c r="H33" i="1"/>
  <c r="G34" i="1"/>
  <c r="H66" i="1"/>
  <c r="G67" i="1"/>
  <c r="H78" i="1"/>
  <c r="G79" i="1"/>
  <c r="G87" i="1"/>
  <c r="G93" i="1"/>
  <c r="H113" i="1"/>
  <c r="G115" i="1"/>
  <c r="G116" i="1"/>
  <c r="H126" i="1"/>
  <c r="G127" i="1"/>
  <c r="H131" i="1"/>
  <c r="H132" i="1"/>
  <c r="G133" i="1"/>
  <c r="G142" i="1"/>
  <c r="G144" i="1"/>
  <c r="H145" i="1"/>
  <c r="G150" i="1"/>
  <c r="H162" i="1"/>
  <c r="G163" i="1"/>
  <c r="H170" i="1"/>
  <c r="G171" i="1"/>
  <c r="G197" i="1"/>
  <c r="H198" i="1"/>
  <c r="H199" i="1"/>
  <c r="G209" i="1"/>
  <c r="H211" i="1"/>
  <c r="G219" i="1"/>
  <c r="H220" i="1"/>
  <c r="G248" i="1"/>
  <c r="H249" i="1"/>
  <c r="H251" i="1"/>
  <c r="H252" i="1"/>
  <c r="G253" i="1"/>
  <c r="G267" i="1"/>
  <c r="H272" i="1"/>
  <c r="G273" i="1"/>
  <c r="H274" i="1"/>
  <c r="H284" i="1"/>
  <c r="G285" i="1"/>
  <c r="H286" i="1"/>
  <c r="G287" i="1"/>
  <c r="H288" i="1"/>
  <c r="H289" i="1"/>
  <c r="G303" i="1"/>
  <c r="G307" i="1"/>
  <c r="G311" i="1"/>
  <c r="H313" i="1"/>
  <c r="G362" i="1"/>
  <c r="H369" i="1"/>
  <c r="G370" i="1"/>
  <c r="G375" i="1"/>
  <c r="G385" i="1"/>
  <c r="H395" i="1"/>
  <c r="G396" i="1"/>
  <c r="G397" i="1"/>
  <c r="G413" i="1"/>
  <c r="H414" i="1"/>
  <c r="H419" i="1"/>
  <c r="G420" i="1"/>
  <c r="H421" i="1"/>
  <c r="G422" i="1"/>
  <c r="H443" i="1"/>
  <c r="G445" i="1"/>
  <c r="G453" i="1"/>
  <c r="G456" i="1"/>
  <c r="G461" i="1"/>
  <c r="H463" i="1"/>
  <c r="H467" i="1"/>
  <c r="G468" i="1"/>
  <c r="H469" i="1"/>
  <c r="G470" i="1"/>
  <c r="G471" i="1"/>
  <c r="H472" i="1"/>
  <c r="G476" i="1"/>
  <c r="H482" i="1"/>
  <c r="G484" i="1"/>
  <c r="G485" i="1"/>
  <c r="H486" i="1"/>
  <c r="G490" i="1"/>
  <c r="H491" i="1"/>
  <c r="H492" i="1"/>
  <c r="G493" i="1"/>
  <c r="H510" i="1"/>
  <c r="G511" i="1"/>
  <c r="C17" i="2"/>
  <c r="D17" i="2"/>
  <c r="E17" i="2"/>
  <c r="I32" i="1"/>
  <c r="J32" i="1"/>
  <c r="G33" i="1"/>
  <c r="I33" i="1"/>
  <c r="J33" i="1"/>
  <c r="H34" i="1"/>
  <c r="I34" i="1"/>
  <c r="J34" i="1"/>
  <c r="G37" i="1"/>
  <c r="H38" i="1"/>
  <c r="H39" i="1"/>
  <c r="G40" i="1"/>
  <c r="H42" i="1"/>
  <c r="G43" i="1"/>
  <c r="G47" i="1"/>
  <c r="H48" i="1"/>
  <c r="G205" i="1"/>
  <c r="G210" i="1"/>
  <c r="G215" i="1"/>
  <c r="H216" i="1"/>
  <c r="H217" i="1"/>
  <c r="G240" i="1"/>
  <c r="G242" i="1"/>
  <c r="G251" i="1"/>
  <c r="H253" i="1"/>
  <c r="G255" i="1"/>
  <c r="G257" i="1"/>
  <c r="H258" i="1"/>
  <c r="H259" i="1"/>
  <c r="H282" i="1"/>
  <c r="G283" i="1"/>
  <c r="H291" i="1"/>
  <c r="G292" i="1"/>
  <c r="H293" i="1"/>
  <c r="G294" i="1"/>
  <c r="H295" i="1"/>
  <c r="H300" i="1"/>
  <c r="G301" i="1"/>
  <c r="G326" i="1"/>
  <c r="H341" i="1"/>
  <c r="G342" i="1"/>
  <c r="H343" i="1"/>
  <c r="G368" i="1"/>
  <c r="G374" i="1"/>
  <c r="H376" i="1"/>
  <c r="H380" i="1"/>
  <c r="H411" i="1"/>
  <c r="G412" i="1"/>
  <c r="G415" i="1"/>
  <c r="G417" i="1"/>
  <c r="H418" i="1"/>
  <c r="H457" i="1"/>
  <c r="G464" i="1"/>
  <c r="H465" i="1"/>
  <c r="H466" i="1"/>
  <c r="G467" i="1"/>
  <c r="H468" i="1"/>
  <c r="H497" i="1"/>
  <c r="G499" i="1"/>
  <c r="G506" i="1"/>
  <c r="H508" i="1"/>
  <c r="G509" i="1"/>
  <c r="C9" i="2"/>
  <c r="D9" i="2"/>
  <c r="E9" i="2"/>
  <c r="I35" i="1"/>
  <c r="J35" i="1"/>
  <c r="I36" i="1"/>
  <c r="J36" i="1"/>
  <c r="I37" i="1"/>
  <c r="J37" i="1"/>
  <c r="G38" i="1"/>
  <c r="I38" i="1"/>
  <c r="J38" i="1"/>
  <c r="G39" i="1"/>
  <c r="I39" i="1"/>
  <c r="J39" i="1"/>
  <c r="H40" i="1"/>
  <c r="I40" i="1"/>
  <c r="J40" i="1"/>
  <c r="G41" i="1"/>
  <c r="H44" i="1"/>
  <c r="H45" i="1"/>
  <c r="G46" i="1"/>
  <c r="G49" i="1"/>
  <c r="H80" i="1"/>
  <c r="G82" i="1"/>
  <c r="G83" i="1"/>
  <c r="H84" i="1"/>
  <c r="G164" i="1"/>
  <c r="G169" i="1"/>
  <c r="G173" i="1"/>
  <c r="H174" i="1"/>
  <c r="G206" i="1"/>
  <c r="G275" i="1"/>
  <c r="H276" i="1"/>
  <c r="G279" i="1"/>
  <c r="G290" i="1"/>
  <c r="G299" i="1"/>
  <c r="G324" i="1"/>
  <c r="G329" i="1"/>
  <c r="H330" i="1"/>
  <c r="H338" i="1"/>
  <c r="G339" i="1"/>
  <c r="G361" i="1"/>
  <c r="H372" i="1"/>
  <c r="G373" i="1"/>
  <c r="H381" i="1"/>
  <c r="G382" i="1"/>
  <c r="G401" i="1"/>
  <c r="H402" i="1"/>
  <c r="H447" i="1"/>
  <c r="G448" i="1"/>
  <c r="G495" i="1"/>
  <c r="H496" i="1"/>
  <c r="G501" i="1"/>
  <c r="H502" i="1"/>
  <c r="G507" i="1"/>
  <c r="C13" i="2"/>
  <c r="D13" i="2"/>
  <c r="E13" i="2"/>
  <c r="I41" i="1"/>
  <c r="J41" i="1"/>
  <c r="I42" i="1"/>
  <c r="J42" i="1"/>
  <c r="I43" i="1"/>
  <c r="J43" i="1"/>
  <c r="G44" i="1"/>
  <c r="I44" i="1"/>
  <c r="J44" i="1"/>
  <c r="G45" i="1"/>
  <c r="I45" i="1"/>
  <c r="J45" i="1"/>
  <c r="H46" i="1"/>
  <c r="I46" i="1"/>
  <c r="J46" i="1"/>
  <c r="I47" i="1"/>
  <c r="J47" i="1"/>
  <c r="I48" i="1"/>
  <c r="J48" i="1"/>
  <c r="I49" i="1"/>
  <c r="J49" i="1"/>
  <c r="H50" i="1"/>
  <c r="I50" i="1"/>
  <c r="J50" i="1"/>
  <c r="G51" i="1"/>
  <c r="I51" i="1"/>
  <c r="J51" i="1"/>
  <c r="H52" i="1"/>
  <c r="I52" i="1"/>
  <c r="J52" i="1"/>
  <c r="G53" i="1"/>
  <c r="I53" i="1"/>
  <c r="J53" i="1"/>
  <c r="H54" i="1"/>
  <c r="I54" i="1"/>
  <c r="J54" i="1"/>
  <c r="G55" i="1"/>
  <c r="I55" i="1"/>
  <c r="J55" i="1"/>
  <c r="G56" i="1"/>
  <c r="I56" i="1"/>
  <c r="J56" i="1"/>
  <c r="I57" i="1"/>
  <c r="J57" i="1"/>
  <c r="I58" i="1"/>
  <c r="J58" i="1"/>
  <c r="G59" i="1"/>
  <c r="I59" i="1"/>
  <c r="J59" i="1"/>
  <c r="H60" i="1"/>
  <c r="I60" i="1"/>
  <c r="J60" i="1"/>
  <c r="H61" i="1"/>
  <c r="I61" i="1"/>
  <c r="J61" i="1"/>
  <c r="G62" i="1"/>
  <c r="I62" i="1"/>
  <c r="J62" i="1"/>
  <c r="G63" i="1"/>
  <c r="I63" i="1"/>
  <c r="J63" i="1"/>
  <c r="H64" i="1"/>
  <c r="I64" i="1"/>
  <c r="J64" i="1"/>
  <c r="G65" i="1"/>
  <c r="I65" i="1"/>
  <c r="J65" i="1"/>
  <c r="I66" i="1"/>
  <c r="J66" i="1"/>
  <c r="I67" i="1"/>
  <c r="J67" i="1"/>
  <c r="I68" i="1"/>
  <c r="J68" i="1"/>
  <c r="G69" i="1"/>
  <c r="I69" i="1"/>
  <c r="J69" i="1"/>
  <c r="I70" i="1"/>
  <c r="J70" i="1"/>
  <c r="G71" i="1"/>
  <c r="H71" i="1"/>
  <c r="I71" i="1"/>
  <c r="J71" i="1"/>
  <c r="G72" i="1"/>
  <c r="H72" i="1"/>
  <c r="I72" i="1"/>
  <c r="J72" i="1"/>
  <c r="G73" i="1"/>
  <c r="H73" i="1"/>
  <c r="I73" i="1"/>
  <c r="J73" i="1"/>
  <c r="I74" i="1"/>
  <c r="J74" i="1"/>
  <c r="I75" i="1"/>
  <c r="J75" i="1"/>
  <c r="G76" i="1"/>
  <c r="I76" i="1"/>
  <c r="J76" i="1"/>
  <c r="G77" i="1"/>
  <c r="I77" i="1"/>
  <c r="J77" i="1"/>
  <c r="I78" i="1"/>
  <c r="J78" i="1"/>
  <c r="I79" i="1"/>
  <c r="J79" i="1"/>
  <c r="I80" i="1"/>
  <c r="J80" i="1"/>
  <c r="G81" i="1"/>
  <c r="I81" i="1"/>
  <c r="J81" i="1"/>
  <c r="I82" i="1"/>
  <c r="J82" i="1"/>
  <c r="I83" i="1"/>
  <c r="J83" i="1"/>
  <c r="I84" i="1"/>
  <c r="J84" i="1"/>
  <c r="G85" i="1"/>
  <c r="I85" i="1"/>
  <c r="J85" i="1"/>
  <c r="I86" i="1"/>
  <c r="J86" i="1"/>
  <c r="I87" i="1"/>
  <c r="J87" i="1"/>
  <c r="I88" i="1"/>
  <c r="J88" i="1"/>
  <c r="G89" i="1"/>
  <c r="I89" i="1"/>
  <c r="J89" i="1"/>
  <c r="I90" i="1"/>
  <c r="J90" i="1"/>
  <c r="I91" i="1"/>
  <c r="J91" i="1"/>
  <c r="I92" i="1"/>
  <c r="J92" i="1"/>
  <c r="I93" i="1"/>
  <c r="J93" i="1"/>
  <c r="I94" i="1"/>
  <c r="J94" i="1"/>
  <c r="G95" i="1"/>
  <c r="I95" i="1"/>
  <c r="J95" i="1"/>
  <c r="G96" i="1"/>
  <c r="I96" i="1"/>
  <c r="J96" i="1"/>
  <c r="H97" i="1"/>
  <c r="I97" i="1"/>
  <c r="J97" i="1"/>
  <c r="G98" i="1"/>
  <c r="I98" i="1"/>
  <c r="J98" i="1"/>
  <c r="H99" i="1"/>
  <c r="I99" i="1"/>
  <c r="J99" i="1"/>
  <c r="G100" i="1"/>
  <c r="I100" i="1"/>
  <c r="J100" i="1"/>
  <c r="G101" i="1"/>
  <c r="I101" i="1"/>
  <c r="J101" i="1"/>
  <c r="H102" i="1"/>
  <c r="I102" i="1"/>
  <c r="J102" i="1"/>
  <c r="H103" i="1"/>
  <c r="I103" i="1"/>
  <c r="J103" i="1"/>
  <c r="H104" i="1"/>
  <c r="I104" i="1"/>
  <c r="J104" i="1"/>
  <c r="G105" i="1"/>
  <c r="I105" i="1"/>
  <c r="J105" i="1"/>
  <c r="H106" i="1"/>
  <c r="I106" i="1"/>
  <c r="J106" i="1"/>
  <c r="G107" i="1"/>
  <c r="I107" i="1"/>
  <c r="J107" i="1"/>
  <c r="I108" i="1"/>
  <c r="J108" i="1"/>
  <c r="I109" i="1"/>
  <c r="J109" i="1"/>
  <c r="G110" i="1"/>
  <c r="I110" i="1"/>
  <c r="J110" i="1"/>
  <c r="H111" i="1"/>
  <c r="I111" i="1"/>
  <c r="J111" i="1"/>
  <c r="G112" i="1"/>
  <c r="I112" i="1"/>
  <c r="J112" i="1"/>
  <c r="I113" i="1"/>
  <c r="J113" i="1"/>
  <c r="G114" i="1"/>
  <c r="I114" i="1"/>
  <c r="J114" i="1"/>
  <c r="I115" i="1"/>
  <c r="J115" i="1"/>
  <c r="I116" i="1"/>
  <c r="J116" i="1"/>
  <c r="I117" i="1"/>
  <c r="J117" i="1"/>
  <c r="I118" i="1"/>
  <c r="J118" i="1"/>
  <c r="G119" i="1"/>
  <c r="I119" i="1"/>
  <c r="J119" i="1"/>
  <c r="G120" i="1"/>
  <c r="I120" i="1"/>
  <c r="J120" i="1"/>
  <c r="H121" i="1"/>
  <c r="I121" i="1"/>
  <c r="J121" i="1"/>
  <c r="G122" i="1"/>
  <c r="I122" i="1"/>
  <c r="J122" i="1"/>
  <c r="H123" i="1"/>
  <c r="I123" i="1"/>
  <c r="J123" i="1"/>
  <c r="G124" i="1"/>
  <c r="I124" i="1"/>
  <c r="J124" i="1"/>
  <c r="G125" i="1"/>
  <c r="I125" i="1"/>
  <c r="J125" i="1"/>
  <c r="I126" i="1"/>
  <c r="J126" i="1"/>
  <c r="I127" i="1"/>
  <c r="J127" i="1"/>
  <c r="G128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H134" i="1"/>
  <c r="I134" i="1"/>
  <c r="J134" i="1"/>
  <c r="G135" i="1"/>
  <c r="I135" i="1"/>
  <c r="J135" i="1"/>
  <c r="G136" i="1"/>
  <c r="I136" i="1"/>
  <c r="J136" i="1"/>
  <c r="G137" i="1"/>
  <c r="I137" i="1"/>
  <c r="J137" i="1"/>
  <c r="H138" i="1"/>
  <c r="I138" i="1"/>
  <c r="J138" i="1"/>
  <c r="G139" i="1"/>
  <c r="I139" i="1"/>
  <c r="J139" i="1"/>
  <c r="I140" i="1"/>
  <c r="J140" i="1"/>
  <c r="I141" i="1"/>
  <c r="J141" i="1"/>
  <c r="I142" i="1"/>
  <c r="J142" i="1"/>
  <c r="G143" i="1"/>
  <c r="I143" i="1"/>
  <c r="J143" i="1"/>
  <c r="I144" i="1"/>
  <c r="J144" i="1"/>
  <c r="I145" i="1"/>
  <c r="J145" i="1"/>
  <c r="H146" i="1"/>
  <c r="I146" i="1"/>
  <c r="J146" i="1"/>
  <c r="G147" i="1"/>
  <c r="I147" i="1"/>
  <c r="J147" i="1"/>
  <c r="G148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G155" i="1"/>
  <c r="H155" i="1"/>
  <c r="I155" i="1"/>
  <c r="J155" i="1"/>
  <c r="G156" i="1"/>
  <c r="H156" i="1"/>
  <c r="I156" i="1"/>
  <c r="J156" i="1"/>
  <c r="G157" i="1"/>
  <c r="H157" i="1"/>
  <c r="I157" i="1"/>
  <c r="J157" i="1"/>
  <c r="I158" i="1"/>
  <c r="J158" i="1"/>
  <c r="I159" i="1"/>
  <c r="J159" i="1"/>
  <c r="I160" i="1"/>
  <c r="J160" i="1"/>
  <c r="G161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G172" i="1"/>
  <c r="I172" i="1"/>
  <c r="J172" i="1"/>
  <c r="I173" i="1"/>
  <c r="J173" i="1"/>
  <c r="I174" i="1"/>
  <c r="J174" i="1"/>
  <c r="G175" i="1"/>
  <c r="I175" i="1"/>
  <c r="J175" i="1"/>
  <c r="I176" i="1"/>
  <c r="J176" i="1"/>
  <c r="G177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G188" i="1"/>
  <c r="H188" i="1"/>
  <c r="I188" i="1"/>
  <c r="J188" i="1"/>
  <c r="G189" i="1"/>
  <c r="H189" i="1"/>
  <c r="I189" i="1"/>
  <c r="J189" i="1"/>
  <c r="G190" i="1"/>
  <c r="H190" i="1"/>
  <c r="I190" i="1"/>
  <c r="J190" i="1"/>
  <c r="I191" i="1"/>
  <c r="J191" i="1"/>
  <c r="I192" i="1"/>
  <c r="J192" i="1"/>
  <c r="I193" i="1"/>
  <c r="J193" i="1"/>
  <c r="I194" i="1"/>
  <c r="J194" i="1"/>
  <c r="G195" i="1"/>
  <c r="I195" i="1"/>
  <c r="J195" i="1"/>
  <c r="I196" i="1"/>
  <c r="J196" i="1"/>
  <c r="H197" i="1"/>
  <c r="I197" i="1"/>
  <c r="J197" i="1"/>
  <c r="G198" i="1"/>
  <c r="I198" i="1"/>
  <c r="J198" i="1"/>
  <c r="G199" i="1"/>
  <c r="I199" i="1"/>
  <c r="J199" i="1"/>
  <c r="G200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G213" i="1"/>
  <c r="I213" i="1"/>
  <c r="J213" i="1"/>
  <c r="I214" i="1"/>
  <c r="J214" i="1"/>
  <c r="H215" i="1"/>
  <c r="I215" i="1"/>
  <c r="J215" i="1"/>
  <c r="G216" i="1"/>
  <c r="I216" i="1"/>
  <c r="J216" i="1"/>
  <c r="G217" i="1"/>
  <c r="I217" i="1"/>
  <c r="J217" i="1"/>
  <c r="G218" i="1"/>
  <c r="I218" i="1"/>
  <c r="J218" i="1"/>
  <c r="I219" i="1"/>
  <c r="J219" i="1"/>
  <c r="I220" i="1"/>
  <c r="J220" i="1"/>
  <c r="G221" i="1"/>
  <c r="H221" i="1"/>
  <c r="I221" i="1"/>
  <c r="J221" i="1"/>
  <c r="H222" i="1"/>
  <c r="I222" i="1"/>
  <c r="J222" i="1"/>
  <c r="G223" i="1"/>
  <c r="H223" i="1"/>
  <c r="I223" i="1"/>
  <c r="J223" i="1"/>
  <c r="I224" i="1"/>
  <c r="J224" i="1"/>
  <c r="I225" i="1"/>
  <c r="J225" i="1"/>
  <c r="I226" i="1"/>
  <c r="J226" i="1"/>
  <c r="G227" i="1"/>
  <c r="I227" i="1"/>
  <c r="J227" i="1"/>
  <c r="G228" i="1"/>
  <c r="I228" i="1"/>
  <c r="J228" i="1"/>
  <c r="H229" i="1"/>
  <c r="I229" i="1"/>
  <c r="J229" i="1"/>
  <c r="I230" i="1"/>
  <c r="J230" i="1"/>
  <c r="G231" i="1"/>
  <c r="I231" i="1"/>
  <c r="J231" i="1"/>
  <c r="I232" i="1"/>
  <c r="J232" i="1"/>
  <c r="I233" i="1"/>
  <c r="J233" i="1"/>
  <c r="I234" i="1"/>
  <c r="J234" i="1"/>
  <c r="I235" i="1"/>
  <c r="J235" i="1"/>
  <c r="G236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G250" i="1"/>
  <c r="I250" i="1"/>
  <c r="J250" i="1"/>
  <c r="I251" i="1"/>
  <c r="J251" i="1"/>
  <c r="G252" i="1"/>
  <c r="I252" i="1"/>
  <c r="J252" i="1"/>
  <c r="I253" i="1"/>
  <c r="J253" i="1"/>
  <c r="I254" i="1"/>
  <c r="J254" i="1"/>
  <c r="I255" i="1"/>
  <c r="J255" i="1"/>
  <c r="I256" i="1"/>
  <c r="J256" i="1"/>
  <c r="H257" i="1"/>
  <c r="I257" i="1"/>
  <c r="J257" i="1"/>
  <c r="G258" i="1"/>
  <c r="I258" i="1"/>
  <c r="J258" i="1"/>
  <c r="G259" i="1"/>
  <c r="I259" i="1"/>
  <c r="J259" i="1"/>
  <c r="I260" i="1"/>
  <c r="J260" i="1"/>
  <c r="I261" i="1"/>
  <c r="J261" i="1"/>
  <c r="I262" i="1"/>
  <c r="J262" i="1"/>
  <c r="H263" i="1"/>
  <c r="I263" i="1"/>
  <c r="J263" i="1"/>
  <c r="H264" i="1"/>
  <c r="I264" i="1"/>
  <c r="J264" i="1"/>
  <c r="G265" i="1"/>
  <c r="I265" i="1"/>
  <c r="J265" i="1"/>
  <c r="I266" i="1"/>
  <c r="J266" i="1"/>
  <c r="I267" i="1"/>
  <c r="J267" i="1"/>
  <c r="I268" i="1"/>
  <c r="J268" i="1"/>
  <c r="G269" i="1"/>
  <c r="I269" i="1"/>
  <c r="J269" i="1"/>
  <c r="H270" i="1"/>
  <c r="I270" i="1"/>
  <c r="J270" i="1"/>
  <c r="G271" i="1"/>
  <c r="I271" i="1"/>
  <c r="J271" i="1"/>
  <c r="G272" i="1"/>
  <c r="I272" i="1"/>
  <c r="J272" i="1"/>
  <c r="H273" i="1"/>
  <c r="I273" i="1"/>
  <c r="J273" i="1"/>
  <c r="G274" i="1"/>
  <c r="I274" i="1"/>
  <c r="J274" i="1"/>
  <c r="I275" i="1"/>
  <c r="J275" i="1"/>
  <c r="I276" i="1"/>
  <c r="J276" i="1"/>
  <c r="I277" i="1"/>
  <c r="J277" i="1"/>
  <c r="I278" i="1"/>
  <c r="J278" i="1"/>
  <c r="I279" i="1"/>
  <c r="J279" i="1"/>
  <c r="I280" i="1"/>
  <c r="J280" i="1"/>
  <c r="G281" i="1"/>
  <c r="I281" i="1"/>
  <c r="J281" i="1"/>
  <c r="I282" i="1"/>
  <c r="J282" i="1"/>
  <c r="I283" i="1"/>
  <c r="J283" i="1"/>
  <c r="G284" i="1"/>
  <c r="I284" i="1"/>
  <c r="J284" i="1"/>
  <c r="H285" i="1"/>
  <c r="I285" i="1"/>
  <c r="J285" i="1"/>
  <c r="G286" i="1"/>
  <c r="I286" i="1"/>
  <c r="J286" i="1"/>
  <c r="H287" i="1"/>
  <c r="I287" i="1"/>
  <c r="J287" i="1"/>
  <c r="G288" i="1"/>
  <c r="I288" i="1"/>
  <c r="J288" i="1"/>
  <c r="G289" i="1"/>
  <c r="I289" i="1"/>
  <c r="J289" i="1"/>
  <c r="I290" i="1"/>
  <c r="J290" i="1"/>
  <c r="I291" i="1"/>
  <c r="J291" i="1"/>
  <c r="I292" i="1"/>
  <c r="J292" i="1"/>
  <c r="G293" i="1"/>
  <c r="I293" i="1"/>
  <c r="J293" i="1"/>
  <c r="H294" i="1"/>
  <c r="I294" i="1"/>
  <c r="J294" i="1"/>
  <c r="G295" i="1"/>
  <c r="I295" i="1"/>
  <c r="J295" i="1"/>
  <c r="I296" i="1"/>
  <c r="J296" i="1"/>
  <c r="H297" i="1"/>
  <c r="I297" i="1"/>
  <c r="J297" i="1"/>
  <c r="I298" i="1"/>
  <c r="J298" i="1"/>
  <c r="I299" i="1"/>
  <c r="J299" i="1"/>
  <c r="I300" i="1"/>
  <c r="J300" i="1"/>
  <c r="I301" i="1"/>
  <c r="J301" i="1"/>
  <c r="I302" i="1"/>
  <c r="J302" i="1"/>
  <c r="I303" i="1"/>
  <c r="J303" i="1"/>
  <c r="I304" i="1"/>
  <c r="J304" i="1"/>
  <c r="H305" i="1"/>
  <c r="I305" i="1"/>
  <c r="J305" i="1"/>
  <c r="G306" i="1"/>
  <c r="I306" i="1"/>
  <c r="J306" i="1"/>
  <c r="I307" i="1"/>
  <c r="J307" i="1"/>
  <c r="I308" i="1"/>
  <c r="J308" i="1"/>
  <c r="I309" i="1"/>
  <c r="J309" i="1"/>
  <c r="G310" i="1"/>
  <c r="I310" i="1"/>
  <c r="J310" i="1"/>
  <c r="I311" i="1"/>
  <c r="J311" i="1"/>
  <c r="G312" i="1"/>
  <c r="I312" i="1"/>
  <c r="J312" i="1"/>
  <c r="I313" i="1"/>
  <c r="J313" i="1"/>
  <c r="G314" i="1"/>
  <c r="I314" i="1"/>
  <c r="J314" i="1"/>
  <c r="H315" i="1"/>
  <c r="I315" i="1"/>
  <c r="J315" i="1"/>
  <c r="G316" i="1"/>
  <c r="I316" i="1"/>
  <c r="J316" i="1"/>
  <c r="G317" i="1"/>
  <c r="H317" i="1"/>
  <c r="I317" i="1"/>
  <c r="J317" i="1"/>
  <c r="G318" i="1"/>
  <c r="H318" i="1"/>
  <c r="I318" i="1"/>
  <c r="J318" i="1"/>
  <c r="G319" i="1"/>
  <c r="H319" i="1"/>
  <c r="I319" i="1"/>
  <c r="J319" i="1"/>
  <c r="G320" i="1"/>
  <c r="I320" i="1"/>
  <c r="J320" i="1"/>
  <c r="H321" i="1"/>
  <c r="I321" i="1"/>
  <c r="J321" i="1"/>
  <c r="H322" i="1"/>
  <c r="I322" i="1"/>
  <c r="J322" i="1"/>
  <c r="I323" i="1"/>
  <c r="J323" i="1"/>
  <c r="I324" i="1"/>
  <c r="J324" i="1"/>
  <c r="I325" i="1"/>
  <c r="J325" i="1"/>
  <c r="I326" i="1"/>
  <c r="J326" i="1"/>
  <c r="I327" i="1"/>
  <c r="J327" i="1"/>
  <c r="I328" i="1"/>
  <c r="J328" i="1"/>
  <c r="I329" i="1"/>
  <c r="J329" i="1"/>
  <c r="I330" i="1"/>
  <c r="J330" i="1"/>
  <c r="G331" i="1"/>
  <c r="I331" i="1"/>
  <c r="J331" i="1"/>
  <c r="G332" i="1"/>
  <c r="I332" i="1"/>
  <c r="J332" i="1"/>
  <c r="G333" i="1"/>
  <c r="I333" i="1"/>
  <c r="J333" i="1"/>
  <c r="H334" i="1"/>
  <c r="I334" i="1"/>
  <c r="J334" i="1"/>
  <c r="G335" i="1"/>
  <c r="H335" i="1"/>
  <c r="I335" i="1"/>
  <c r="J335" i="1"/>
  <c r="G336" i="1"/>
  <c r="H336" i="1"/>
  <c r="I336" i="1"/>
  <c r="J336" i="1"/>
  <c r="G337" i="1"/>
  <c r="H337" i="1"/>
  <c r="I337" i="1"/>
  <c r="J337" i="1"/>
  <c r="I338" i="1"/>
  <c r="J338" i="1"/>
  <c r="I339" i="1"/>
  <c r="J339" i="1"/>
  <c r="G340" i="1"/>
  <c r="I340" i="1"/>
  <c r="J340" i="1"/>
  <c r="G341" i="1"/>
  <c r="I341" i="1"/>
  <c r="J341" i="1"/>
  <c r="H342" i="1"/>
  <c r="I342" i="1"/>
  <c r="J342" i="1"/>
  <c r="G343" i="1"/>
  <c r="I343" i="1"/>
  <c r="J343" i="1"/>
  <c r="I344" i="1"/>
  <c r="J344" i="1"/>
  <c r="I345" i="1"/>
  <c r="J345" i="1"/>
  <c r="I346" i="1"/>
  <c r="J346" i="1"/>
  <c r="I347" i="1"/>
  <c r="J347" i="1"/>
  <c r="G348" i="1"/>
  <c r="I348" i="1"/>
  <c r="J348" i="1"/>
  <c r="I349" i="1"/>
  <c r="J349" i="1"/>
  <c r="I350" i="1"/>
  <c r="J350" i="1"/>
  <c r="I351" i="1"/>
  <c r="J351" i="1"/>
  <c r="I352" i="1"/>
  <c r="J352" i="1"/>
  <c r="I353" i="1"/>
  <c r="J353" i="1"/>
  <c r="I354" i="1"/>
  <c r="J354" i="1"/>
  <c r="I355" i="1"/>
  <c r="J355" i="1"/>
  <c r="G356" i="1"/>
  <c r="H356" i="1"/>
  <c r="I356" i="1"/>
  <c r="J356" i="1"/>
  <c r="G357" i="1"/>
  <c r="H357" i="1"/>
  <c r="I357" i="1"/>
  <c r="J357" i="1"/>
  <c r="G358" i="1"/>
  <c r="H358" i="1"/>
  <c r="I358" i="1"/>
  <c r="J358" i="1"/>
  <c r="I359" i="1"/>
  <c r="J359" i="1"/>
  <c r="I360" i="1"/>
  <c r="J360" i="1"/>
  <c r="I361" i="1"/>
  <c r="J361" i="1"/>
  <c r="I362" i="1"/>
  <c r="J362" i="1"/>
  <c r="I363" i="1"/>
  <c r="J363" i="1"/>
  <c r="I364" i="1"/>
  <c r="J364" i="1"/>
  <c r="G365" i="1"/>
  <c r="H365" i="1"/>
  <c r="I365" i="1"/>
  <c r="J365" i="1"/>
  <c r="G366" i="1"/>
  <c r="H366" i="1"/>
  <c r="I366" i="1"/>
  <c r="J366" i="1"/>
  <c r="G367" i="1"/>
  <c r="H367" i="1"/>
  <c r="I367" i="1"/>
  <c r="J367" i="1"/>
  <c r="I368" i="1"/>
  <c r="J368" i="1"/>
  <c r="I369" i="1"/>
  <c r="J369" i="1"/>
  <c r="I370" i="1"/>
  <c r="J370" i="1"/>
  <c r="G371" i="1"/>
  <c r="I371" i="1"/>
  <c r="J371" i="1"/>
  <c r="I372" i="1"/>
  <c r="J372" i="1"/>
  <c r="I373" i="1"/>
  <c r="J373" i="1"/>
  <c r="I374" i="1"/>
  <c r="J374" i="1"/>
  <c r="I375" i="1"/>
  <c r="J375" i="1"/>
  <c r="I376" i="1"/>
  <c r="J376" i="1"/>
  <c r="G377" i="1"/>
  <c r="H377" i="1"/>
  <c r="I377" i="1"/>
  <c r="J377" i="1"/>
  <c r="G378" i="1"/>
  <c r="H378" i="1"/>
  <c r="I378" i="1"/>
  <c r="J378" i="1"/>
  <c r="G379" i="1"/>
  <c r="H379" i="1"/>
  <c r="I379" i="1"/>
  <c r="J379" i="1"/>
  <c r="I380" i="1"/>
  <c r="J380" i="1"/>
  <c r="I381" i="1"/>
  <c r="J381" i="1"/>
  <c r="I382" i="1"/>
  <c r="J382" i="1"/>
  <c r="I383" i="1"/>
  <c r="J383" i="1"/>
  <c r="I384" i="1"/>
  <c r="J384" i="1"/>
  <c r="I385" i="1"/>
  <c r="J385" i="1"/>
  <c r="G386" i="1"/>
  <c r="I386" i="1"/>
  <c r="J386" i="1"/>
  <c r="H387" i="1"/>
  <c r="I387" i="1"/>
  <c r="J387" i="1"/>
  <c r="G388" i="1"/>
  <c r="I388" i="1"/>
  <c r="J388" i="1"/>
  <c r="H389" i="1"/>
  <c r="I389" i="1"/>
  <c r="J389" i="1"/>
  <c r="G390" i="1"/>
  <c r="I390" i="1"/>
  <c r="J390" i="1"/>
  <c r="H391" i="1"/>
  <c r="I391" i="1"/>
  <c r="J391" i="1"/>
  <c r="I392" i="1"/>
  <c r="J392" i="1"/>
  <c r="I393" i="1"/>
  <c r="J393" i="1"/>
  <c r="G394" i="1"/>
  <c r="I394" i="1"/>
  <c r="J394" i="1"/>
  <c r="I395" i="1"/>
  <c r="J395" i="1"/>
  <c r="I396" i="1"/>
  <c r="J396" i="1"/>
  <c r="I397" i="1"/>
  <c r="J397" i="1"/>
  <c r="G398" i="1"/>
  <c r="I398" i="1"/>
  <c r="J398" i="1"/>
  <c r="G399" i="1"/>
  <c r="I399" i="1"/>
  <c r="J399" i="1"/>
  <c r="H400" i="1"/>
  <c r="I400" i="1"/>
  <c r="J400" i="1"/>
  <c r="I401" i="1"/>
  <c r="J401" i="1"/>
  <c r="I402" i="1"/>
  <c r="J402" i="1"/>
  <c r="I403" i="1"/>
  <c r="J403" i="1"/>
  <c r="G404" i="1"/>
  <c r="I404" i="1"/>
  <c r="J404" i="1"/>
  <c r="H405" i="1"/>
  <c r="I405" i="1"/>
  <c r="J405" i="1"/>
  <c r="H406" i="1"/>
  <c r="I406" i="1"/>
  <c r="J406" i="1"/>
  <c r="G407" i="1"/>
  <c r="I407" i="1"/>
  <c r="J407" i="1"/>
  <c r="H408" i="1"/>
  <c r="I408" i="1"/>
  <c r="J408" i="1"/>
  <c r="G409" i="1"/>
  <c r="I409" i="1"/>
  <c r="J409" i="1"/>
  <c r="G410" i="1"/>
  <c r="I410" i="1"/>
  <c r="J410" i="1"/>
  <c r="I411" i="1"/>
  <c r="J411" i="1"/>
  <c r="I412" i="1"/>
  <c r="J412" i="1"/>
  <c r="I413" i="1"/>
  <c r="J413" i="1"/>
  <c r="I414" i="1"/>
  <c r="J414" i="1"/>
  <c r="I415" i="1"/>
  <c r="J415" i="1"/>
  <c r="G416" i="1"/>
  <c r="I416" i="1"/>
  <c r="J416" i="1"/>
  <c r="I417" i="1"/>
  <c r="J417" i="1"/>
  <c r="I418" i="1"/>
  <c r="J418" i="1"/>
  <c r="G419" i="1"/>
  <c r="I419" i="1"/>
  <c r="J419" i="1"/>
  <c r="H420" i="1"/>
  <c r="I420" i="1"/>
  <c r="J420" i="1"/>
  <c r="G421" i="1"/>
  <c r="I421" i="1"/>
  <c r="J421" i="1"/>
  <c r="I422" i="1"/>
  <c r="J422" i="1"/>
  <c r="I423" i="1"/>
  <c r="J423" i="1"/>
  <c r="I424" i="1"/>
  <c r="J424" i="1"/>
  <c r="G425" i="1"/>
  <c r="I425" i="1"/>
  <c r="J425" i="1"/>
  <c r="G426" i="1"/>
  <c r="I426" i="1"/>
  <c r="J426" i="1"/>
  <c r="H427" i="1"/>
  <c r="I427" i="1"/>
  <c r="J427" i="1"/>
  <c r="G428" i="1"/>
  <c r="I428" i="1"/>
  <c r="J428" i="1"/>
  <c r="H429" i="1"/>
  <c r="I429" i="1"/>
  <c r="J429" i="1"/>
  <c r="H430" i="1"/>
  <c r="I430" i="1"/>
  <c r="J430" i="1"/>
  <c r="G431" i="1"/>
  <c r="I431" i="1"/>
  <c r="J431" i="1"/>
  <c r="G432" i="1"/>
  <c r="I432" i="1"/>
  <c r="J432" i="1"/>
  <c r="H433" i="1"/>
  <c r="I433" i="1"/>
  <c r="J433" i="1"/>
  <c r="I434" i="1"/>
  <c r="J434" i="1"/>
  <c r="G435" i="1"/>
  <c r="I435" i="1"/>
  <c r="J435" i="1"/>
  <c r="I436" i="1"/>
  <c r="J436" i="1"/>
  <c r="I437" i="1"/>
  <c r="J437" i="1"/>
  <c r="I438" i="1"/>
  <c r="J438" i="1"/>
  <c r="I439" i="1"/>
  <c r="J439" i="1"/>
  <c r="G440" i="1"/>
  <c r="H440" i="1"/>
  <c r="I440" i="1"/>
  <c r="J440" i="1"/>
  <c r="G441" i="1"/>
  <c r="H441" i="1"/>
  <c r="I441" i="1"/>
  <c r="J441" i="1"/>
  <c r="G442" i="1"/>
  <c r="H442" i="1"/>
  <c r="I442" i="1"/>
  <c r="J442" i="1"/>
  <c r="I443" i="1"/>
  <c r="J443" i="1"/>
  <c r="G444" i="1"/>
  <c r="I444" i="1"/>
  <c r="J444" i="1"/>
  <c r="I445" i="1"/>
  <c r="J445" i="1"/>
  <c r="G446" i="1"/>
  <c r="I446" i="1"/>
  <c r="J446" i="1"/>
  <c r="I447" i="1"/>
  <c r="J447" i="1"/>
  <c r="I448" i="1"/>
  <c r="J448" i="1"/>
  <c r="G449" i="1"/>
  <c r="H449" i="1"/>
  <c r="I449" i="1"/>
  <c r="J449" i="1"/>
  <c r="G450" i="1"/>
  <c r="H450" i="1"/>
  <c r="I450" i="1"/>
  <c r="J450" i="1"/>
  <c r="G451" i="1"/>
  <c r="H451" i="1"/>
  <c r="I451" i="1"/>
  <c r="J451" i="1"/>
  <c r="I452" i="1"/>
  <c r="J452" i="1"/>
  <c r="I453" i="1"/>
  <c r="J453" i="1"/>
  <c r="I454" i="1"/>
  <c r="J454" i="1"/>
  <c r="G455" i="1"/>
  <c r="I455" i="1"/>
  <c r="J455" i="1"/>
  <c r="I456" i="1"/>
  <c r="J456" i="1"/>
  <c r="I457" i="1"/>
  <c r="J457" i="1"/>
  <c r="G458" i="1"/>
  <c r="I458" i="1"/>
  <c r="J458" i="1"/>
  <c r="G459" i="1"/>
  <c r="I459" i="1"/>
  <c r="J459" i="1"/>
  <c r="H460" i="1"/>
  <c r="I460" i="1"/>
  <c r="J460" i="1"/>
  <c r="I461" i="1"/>
  <c r="J461" i="1"/>
  <c r="G462" i="1"/>
  <c r="I462" i="1"/>
  <c r="J462" i="1"/>
  <c r="I463" i="1"/>
  <c r="J463" i="1"/>
  <c r="H464" i="1"/>
  <c r="I464" i="1"/>
  <c r="J464" i="1"/>
  <c r="G465" i="1"/>
  <c r="I465" i="1"/>
  <c r="J465" i="1"/>
  <c r="G466" i="1"/>
  <c r="I466" i="1"/>
  <c r="J466" i="1"/>
  <c r="I467" i="1"/>
  <c r="J467" i="1"/>
  <c r="I468" i="1"/>
  <c r="J468" i="1"/>
  <c r="G469" i="1"/>
  <c r="I469" i="1"/>
  <c r="J469" i="1"/>
  <c r="I470" i="1"/>
  <c r="J470" i="1"/>
  <c r="I471" i="1"/>
  <c r="J471" i="1"/>
  <c r="I472" i="1"/>
  <c r="J472" i="1"/>
  <c r="G473" i="1"/>
  <c r="I473" i="1"/>
  <c r="J473" i="1"/>
  <c r="G474" i="1"/>
  <c r="I474" i="1"/>
  <c r="J474" i="1"/>
  <c r="H475" i="1"/>
  <c r="I475" i="1"/>
  <c r="J475" i="1"/>
  <c r="I476" i="1"/>
  <c r="J476" i="1"/>
  <c r="I477" i="1"/>
  <c r="J477" i="1"/>
  <c r="I478" i="1"/>
  <c r="J478" i="1"/>
  <c r="G479" i="1"/>
  <c r="I479" i="1"/>
  <c r="J479" i="1"/>
  <c r="H480" i="1"/>
  <c r="I480" i="1"/>
  <c r="J480" i="1"/>
  <c r="G481" i="1"/>
  <c r="I481" i="1"/>
  <c r="J481" i="1"/>
  <c r="I482" i="1"/>
  <c r="J482" i="1"/>
  <c r="G483" i="1"/>
  <c r="I483" i="1"/>
  <c r="J483" i="1"/>
  <c r="I484" i="1"/>
  <c r="J484" i="1"/>
  <c r="I485" i="1"/>
  <c r="J485" i="1"/>
  <c r="I486" i="1"/>
  <c r="J486" i="1"/>
  <c r="I487" i="1"/>
  <c r="J487" i="1"/>
  <c r="I488" i="1"/>
  <c r="J488" i="1"/>
  <c r="I489" i="1"/>
  <c r="J489" i="1"/>
  <c r="I490" i="1"/>
  <c r="J490" i="1"/>
  <c r="G491" i="1"/>
  <c r="I491" i="1"/>
  <c r="J491" i="1"/>
  <c r="G492" i="1"/>
  <c r="I492" i="1"/>
  <c r="J492" i="1"/>
  <c r="H493" i="1"/>
  <c r="I493" i="1"/>
  <c r="J493" i="1"/>
  <c r="G494" i="1"/>
  <c r="I494" i="1"/>
  <c r="J494" i="1"/>
  <c r="I495" i="1"/>
  <c r="J495" i="1"/>
  <c r="I496" i="1"/>
  <c r="J496" i="1"/>
  <c r="I497" i="1"/>
  <c r="J497" i="1"/>
  <c r="G498" i="1"/>
  <c r="I498" i="1"/>
  <c r="J498" i="1"/>
  <c r="I499" i="1"/>
  <c r="J499" i="1"/>
  <c r="G500" i="1"/>
  <c r="I500" i="1"/>
  <c r="J500" i="1"/>
  <c r="I501" i="1"/>
  <c r="J501" i="1"/>
  <c r="I502" i="1"/>
  <c r="J502" i="1"/>
  <c r="G503" i="1"/>
  <c r="H503" i="1"/>
  <c r="I503" i="1"/>
  <c r="J503" i="1"/>
  <c r="G504" i="1"/>
  <c r="H504" i="1"/>
  <c r="I504" i="1"/>
  <c r="J504" i="1"/>
  <c r="G505" i="1"/>
  <c r="H505" i="1"/>
  <c r="I505" i="1"/>
  <c r="J505" i="1"/>
  <c r="I506" i="1"/>
  <c r="J506" i="1"/>
  <c r="I507" i="1"/>
  <c r="J507" i="1"/>
  <c r="I508" i="1"/>
  <c r="J508" i="1"/>
  <c r="I509" i="1"/>
  <c r="J509" i="1"/>
  <c r="I510" i="1"/>
  <c r="J510" i="1"/>
  <c r="I511" i="1"/>
  <c r="J511" i="1"/>
  <c r="D12" i="2"/>
  <c r="E12" i="2"/>
  <c r="C7" i="2"/>
  <c r="D7" i="2"/>
  <c r="E7" i="2"/>
</calcChain>
</file>

<file path=xl/sharedStrings.xml><?xml version="1.0" encoding="utf-8"?>
<sst xmlns="http://schemas.openxmlformats.org/spreadsheetml/2006/main" count="1067" uniqueCount="580">
  <si>
    <t>F</t>
  </si>
  <si>
    <t>K</t>
  </si>
  <si>
    <t>L</t>
  </si>
  <si>
    <t>D</t>
  </si>
  <si>
    <t>V</t>
  </si>
  <si>
    <t>N</t>
  </si>
  <si>
    <t>E</t>
  </si>
  <si>
    <t>Laki-laki</t>
  </si>
  <si>
    <t>Perempuan</t>
  </si>
  <si>
    <t>+</t>
  </si>
  <si>
    <t>-</t>
  </si>
  <si>
    <t>Pertanyaan</t>
  </si>
  <si>
    <t>RS</t>
  </si>
  <si>
    <t>Skor</t>
  </si>
  <si>
    <t>Jawaban Klien</t>
  </si>
  <si>
    <t>T Score</t>
  </si>
  <si>
    <t>Jenis Kelamin</t>
  </si>
  <si>
    <t>Raw Skor</t>
  </si>
  <si>
    <t>x</t>
  </si>
  <si>
    <t>a</t>
  </si>
  <si>
    <t>b</t>
  </si>
  <si>
    <t>c</t>
  </si>
  <si>
    <t>d</t>
  </si>
  <si>
    <t>e</t>
  </si>
  <si>
    <t>f</t>
  </si>
  <si>
    <t>g</t>
  </si>
  <si>
    <t>h</t>
  </si>
  <si>
    <t>k</t>
  </si>
  <si>
    <t>l</t>
  </si>
  <si>
    <t>m</t>
  </si>
  <si>
    <t>n</t>
  </si>
  <si>
    <t>p</t>
  </si>
  <si>
    <t>q</t>
  </si>
  <si>
    <t>r</t>
  </si>
  <si>
    <t>s</t>
  </si>
  <si>
    <t>t</t>
  </si>
  <si>
    <t>u</t>
  </si>
  <si>
    <t>v</t>
  </si>
  <si>
    <t>w</t>
  </si>
  <si>
    <t>y</t>
  </si>
  <si>
    <t>z</t>
  </si>
  <si>
    <t>A</t>
  </si>
  <si>
    <t>B</t>
  </si>
  <si>
    <t>C</t>
  </si>
  <si>
    <t>G</t>
  </si>
  <si>
    <t>H</t>
  </si>
  <si>
    <t>J</t>
  </si>
  <si>
    <t>M</t>
  </si>
  <si>
    <t>R</t>
  </si>
  <si>
    <t>S</t>
  </si>
  <si>
    <t>T</t>
  </si>
  <si>
    <t>P</t>
  </si>
  <si>
    <t>Q</t>
  </si>
  <si>
    <t>U</t>
  </si>
  <si>
    <t>W</t>
  </si>
  <si>
    <t>X</t>
  </si>
  <si>
    <t>Y</t>
  </si>
  <si>
    <t>Z</t>
  </si>
  <si>
    <t>j</t>
  </si>
  <si>
    <t>T skor untuk skala klinis dan validitas Kuder</t>
  </si>
  <si>
    <t>Out</t>
  </si>
  <si>
    <t>Me</t>
  </si>
  <si>
    <t>Com</t>
  </si>
  <si>
    <t>Sci</t>
  </si>
  <si>
    <t>Per</t>
  </si>
  <si>
    <t>Art</t>
  </si>
  <si>
    <t>Lit</t>
  </si>
  <si>
    <t>Mus</t>
  </si>
  <si>
    <t>S.S</t>
  </si>
  <si>
    <t>Cler</t>
  </si>
  <si>
    <t>Jika bepergian memperhatikan orang lain</t>
  </si>
  <si>
    <t>Jika bepergian memperhatikan pemandangan alam</t>
  </si>
  <si>
    <t>Jika bepergian memperhatikan hasil-hasil tanaman</t>
  </si>
  <si>
    <t>Isikan x pada kolom + (Paling disukai) atau - (Paling tidak disukai)</t>
  </si>
  <si>
    <t>TES KPR-V (Kuder Preference Record-Vocational)</t>
  </si>
  <si>
    <t>Nama</t>
  </si>
  <si>
    <t>Usia</t>
  </si>
  <si>
    <t>:</t>
  </si>
  <si>
    <t>Minat</t>
  </si>
  <si>
    <t>Verification</t>
  </si>
  <si>
    <t>Outdoor</t>
  </si>
  <si>
    <t>Mechanical</t>
  </si>
  <si>
    <t>Computational</t>
  </si>
  <si>
    <t>Scientific</t>
  </si>
  <si>
    <t>Persuasive</t>
  </si>
  <si>
    <t>Artistic</t>
  </si>
  <si>
    <t>Literacy</t>
  </si>
  <si>
    <t>Musical</t>
  </si>
  <si>
    <t>Social Service</t>
  </si>
  <si>
    <t>Clerical</t>
  </si>
  <si>
    <t>Kategori</t>
  </si>
  <si>
    <t>Bertanggung jawab untuk berbicara kepada pegawai yang tidak mengerjakan tugasnya dengan baik</t>
  </si>
  <si>
    <t>Membacakan pelajaran untuk mahasiswa tuna netra</t>
  </si>
  <si>
    <t>Mencatat kendaraan yang lewat di suatu tempat tertentu</t>
  </si>
  <si>
    <t>Mewawancarai orang-orang untuk lembaga pendapat umum / survey</t>
  </si>
  <si>
    <t>Pergi ke tempat hiburan di mall</t>
  </si>
  <si>
    <t>Melihat pameran bahan makanan dalam kaleng di mall</t>
  </si>
  <si>
    <t>Melihat pameran hewan peliharaan di mall</t>
  </si>
  <si>
    <t>Melatih pendidikan jasmani/olahraga di sekolah</t>
  </si>
  <si>
    <t>Pergi memancing</t>
  </si>
  <si>
    <t>Bermain sepak bola</t>
  </si>
  <si>
    <t>Membaca di perpustakaan</t>
  </si>
  <si>
    <t>Melihat latihan umum dari orkes simfoni</t>
  </si>
  <si>
    <t>Mengunjungi kebun binatang</t>
  </si>
  <si>
    <t>Mengumpulkan tanda tangan dari orang-orang terkenal</t>
  </si>
  <si>
    <t>Mengumpulkan kupu-kupu</t>
  </si>
  <si>
    <t>Mengumpulkan potongan dari bermacam-macam kayu</t>
  </si>
  <si>
    <t>Mengunjungi pameran lukisan-lukisan yang terkenal</t>
  </si>
  <si>
    <t>Mengunjungi pameran alat-alat transportasi</t>
  </si>
  <si>
    <t>Mengunjungi pameran alat-alat laboratorium</t>
  </si>
  <si>
    <t>Menjual sayur-mayur</t>
  </si>
  <si>
    <t>Menjadi pemain piano</t>
  </si>
  <si>
    <t>Menanam sayur-mayur</t>
  </si>
  <si>
    <t>Menjadi ketua panitia sosial dari sebuah pesta</t>
  </si>
  <si>
    <t>Menghias ruangan untuk pesta</t>
  </si>
  <si>
    <t>Mengirim kartu undangan untuk pesta</t>
  </si>
  <si>
    <t>Mengunjungi museum ilmu pengetahuan</t>
  </si>
  <si>
    <t>Mengunjungi biro iklan</t>
  </si>
  <si>
    <t>Mengunjungi pabrik komputer</t>
  </si>
  <si>
    <t>Membacakan cerita untuk orang sakit</t>
  </si>
  <si>
    <t>Melatih anjing</t>
  </si>
  <si>
    <t>Membongkar permainan anak-anak untuk mengetahui bagaimana memperbaikinya</t>
  </si>
  <si>
    <t>Mengikuti kursus menggambar sketsa</t>
  </si>
  <si>
    <t>Mengikuti kursus ilmu biologi</t>
  </si>
  <si>
    <t>Mengikuti kursus pertukangan logam</t>
  </si>
  <si>
    <t>Membuat sangkar burung</t>
  </si>
  <si>
    <t>Membuat tulisan tentang burung</t>
  </si>
  <si>
    <t>Menggambar sketsa burung</t>
  </si>
  <si>
    <t>Mencoba memperbaiki perlatan yang rusak</t>
  </si>
  <si>
    <t>Bermain piano</t>
  </si>
  <si>
    <t>Menggambar pemandangan yang indah</t>
  </si>
  <si>
    <t>Menonton televisi tentang cara menanam buah-buahan</t>
  </si>
  <si>
    <t>Menonton televisi tentang pembuatan barang-barang plastik</t>
  </si>
  <si>
    <t>Menonton televisi tentang pengambilan foto hewan-hewan liar</t>
  </si>
  <si>
    <t>Menulis di surat kabar/majalah tentang konsultasi masalah pribadi</t>
  </si>
  <si>
    <t>Memelihara anjing yang baik</t>
  </si>
  <si>
    <t>Mencaritahu manfaat dari bermacam-macam surat bisnis</t>
  </si>
  <si>
    <t>Menjadi ahli dalam permainan kartu remi/bridge</t>
  </si>
  <si>
    <t>Menjadi ahli dalam erosi tanah</t>
  </si>
  <si>
    <t>Menjadi ahli dalam poster iklan</t>
  </si>
  <si>
    <t>Mengunjungi studio film</t>
  </si>
  <si>
    <t>Mengunjungi kebun raya yang terkenal pemandangannya</t>
  </si>
  <si>
    <t>Mengunjungi bekas tempat peperangan</t>
  </si>
  <si>
    <t>Membaca biografi orang-orang terkenal</t>
  </si>
  <si>
    <t>Membaca uraian dari berbagai penulis mengenai dunia yang dicita-citakan</t>
  </si>
  <si>
    <t>Membaca biografi pelopor-pelopor bangsa</t>
  </si>
  <si>
    <t>Memberi nasihat kepada orang lain untuk memperbaiki kepribadiannya</t>
  </si>
  <si>
    <t>Menangkap hewan langka untuk museum</t>
  </si>
  <si>
    <r>
      <t xml:space="preserve">Menukar </t>
    </r>
    <r>
      <rPr>
        <i/>
        <sz val="10"/>
        <rFont val="Arial"/>
        <family val="2"/>
      </rPr>
      <t>cheque</t>
    </r>
    <r>
      <rPr>
        <sz val="10"/>
        <rFont val="Arial"/>
        <family val="2"/>
      </rPr>
      <t xml:space="preserve"> di bank</t>
    </r>
  </si>
  <si>
    <t>Menjadi anggota kelompok diskusi persoalan kehidupan modern</t>
  </si>
  <si>
    <t>Menjadi anggota kelompok ilmu astronomi amatir</t>
  </si>
  <si>
    <t>Bergaul dengan orang-orang biasa</t>
  </si>
  <si>
    <t>Bergaul dengan orang-orang aneh dan mempunyai pandangan yang luar biasa</t>
  </si>
  <si>
    <t>Bergaul dengan orang-orang yang tingkah lakunya serba menarik</t>
  </si>
  <si>
    <t>Mengajar bahasa Indonesia pada calon WNI</t>
  </si>
  <si>
    <t>Menjual persediaan barang-barang dan obligasi</t>
  </si>
  <si>
    <t>Menjadi kepala juru masak di restoran yang terkenal</t>
  </si>
  <si>
    <t>Mengadakan percobaan untuk mendapatkan jenis bunga baru</t>
  </si>
  <si>
    <t>Membuat iklan untuk toko bunga</t>
  </si>
  <si>
    <t>Menerima pesanan melalui telepon untuk toko bunga</t>
  </si>
  <si>
    <t>Menjadi kepala kelompok penelitian mengenai cara promosi</t>
  </si>
  <si>
    <t>Menjadi dekan fakultas</t>
  </si>
  <si>
    <t>Menjadi ahli fotografi</t>
  </si>
  <si>
    <t>Membuat lukisan untuk sejarah kuno</t>
  </si>
  <si>
    <t>Membuat eksperimen untuk mendapatkan jenis buah-buahan yang tak berbiji</t>
  </si>
  <si>
    <t>Melatih kelompok teater yang menang dalam kejuaraan nasional</t>
  </si>
  <si>
    <t>Mendapat sebagian penghasilannya dengan menjadi asisten laboratorium</t>
  </si>
  <si>
    <t>Mendapat sebagian penghasilannya dengan mengkoreksi hasil ujian</t>
  </si>
  <si>
    <t>Mendapat sebagian penghasilannya dengan bermain orkestra</t>
  </si>
  <si>
    <t>Menulis sejarah Palang Merah</t>
  </si>
  <si>
    <t>Mencari informasi yang memberi pandangan baru tentang peristiwa sejarah yang terkenal</t>
  </si>
  <si>
    <t>Mengarang pertunjukkan musik komedi</t>
  </si>
  <si>
    <t>Mengajar bahasa Indonesia</t>
  </si>
  <si>
    <t>Menerima pesanan barang dagangan melalui telepon</t>
  </si>
  <si>
    <t>Menanyakan pendapat orang melalui telepon untuk survey/jajak pendapat</t>
  </si>
  <si>
    <t>Menjadi pembeli barang dagangan yang jual di toko miliki pemerintah</t>
  </si>
  <si>
    <t>Mewawancarai para pelamar pekerjaan pada sebuah toko</t>
  </si>
  <si>
    <t>Menjadi seorang pengembala sapi</t>
  </si>
  <si>
    <t>Bertugas mencari pegawai untuk suatu perusahaan</t>
  </si>
  <si>
    <t>Menulis cerita tentang hewan-hewan buas</t>
  </si>
  <si>
    <t>Menulis satu kolom dalam sebuah surat kabar/majalah mengenai konsultasi pribadi</t>
  </si>
  <si>
    <t>Membaca tentang syarat-syarat perusahaan yang baru</t>
  </si>
  <si>
    <t>Membaca tentang kebiasaan-kebiasaan orang di negara lain</t>
  </si>
  <si>
    <t>Membaca tentang cara bercocok tanam secara modern</t>
  </si>
  <si>
    <t>Bekerja pada sebuah stasiun meteorologi di sebuah kota</t>
  </si>
  <si>
    <t>Bekerja pada sebuah stasiun meteorologi di Atlantik</t>
  </si>
  <si>
    <t>Bekerja pada sebuah stasiun meteorologi di pegunungan</t>
  </si>
  <si>
    <t>Terkenal sebagai seorang direktur penelitian ilmiah</t>
  </si>
  <si>
    <t>Terkenal sebagai seorang ahli bidang sosial</t>
  </si>
  <si>
    <t>Terkenal sebagai kritikus kesusasteraan</t>
  </si>
  <si>
    <t>Menjadi anggota kelompok diskusi kesusastraan</t>
  </si>
  <si>
    <t>Menulis skenario untuk sebuah sandiwara</t>
  </si>
  <si>
    <t>Membuat analisis kimia untuk pasta gigi baru</t>
  </si>
  <si>
    <t>Menulis petunjuk bagi ibu rumah tangga mengenai cara memperbaiki perkakas rumah tangga</t>
  </si>
  <si>
    <t>Mewawancarai pelamar untuk menjadi pembantu</t>
  </si>
  <si>
    <t>Memilih contoh surat-surat bisnis yang paling baik</t>
  </si>
  <si>
    <t>Meneliti metode yang lebih efisien mengenai cara bekerja di kantor</t>
  </si>
  <si>
    <t>Menulis berita keuangan untuk sebuah surat kabar/majalah</t>
  </si>
  <si>
    <t>Meneliti jenis logam yang paling kuat dan paling ringan</t>
  </si>
  <si>
    <t>Mengurus sebuah pemukiman untuk para pegawai pabrik</t>
  </si>
  <si>
    <t>Mengunjungi sebuah museum kesenian yang indah</t>
  </si>
  <si>
    <t>Mengunjungi tempat berlibur untuk orang pedesaan</t>
  </si>
  <si>
    <t>Mengunjungi laboratorium penelitian kedokteran yang terkenal</t>
  </si>
  <si>
    <t>Bertanggung jawab atas pemecatan pegawai yang tidak memuaskan pada perusahaan bersama</t>
  </si>
  <si>
    <t>Bertanggung jawab atas penerimaan pegawai baru pada suatu perusahaan bersama</t>
  </si>
  <si>
    <t>Menyusun sebuah kamus bahasa daerah</t>
  </si>
  <si>
    <t>Menemukan obat untuk penyakit demam</t>
  </si>
  <si>
    <t>Membuat prosedur kerja yang lebih baik dalam perusahaan besar</t>
  </si>
  <si>
    <t>Membaca tentang sejarah sandiwara</t>
  </si>
  <si>
    <t>Membaca tentang bentuk musik pada jaman dahulu</t>
  </si>
  <si>
    <t>Membaca tentang penelitian pengaruh bahasa terhadap tingkah laku</t>
  </si>
  <si>
    <t>Membuat analisis kimia mengenai hasil-hasil bumi yang baru</t>
  </si>
  <si>
    <t>Membuat paru-paru buatan sehingga memungkinkan pasien dapat bergerak bebas</t>
  </si>
  <si>
    <t>Membuat deskripsi statistik tentang keadaan perusahaan</t>
  </si>
  <si>
    <t>Menempelkan stiker pada kendaraan yang lewat di jalan</t>
  </si>
  <si>
    <t>Menghitung jumlah kendaraan yang lewat pada waktu-waktu tertentu</t>
  </si>
  <si>
    <t>Mengatur lalu lintas di persimpangan jalan</t>
  </si>
  <si>
    <t>Memberi latihan pada anak-anak cacat</t>
  </si>
  <si>
    <t>Menanam sayur-sayuran untuk dijual di pasar</t>
  </si>
  <si>
    <t>Mengajar cara menganyam keranjang dan menenun</t>
  </si>
  <si>
    <t>Mengumpulkan uang untuk kas masyarakat</t>
  </si>
  <si>
    <t>Menulis laporan harian mengenai kas masyarakat</t>
  </si>
  <si>
    <t>Menyelenggarakan pembukuan keuangan masyarakat</t>
  </si>
  <si>
    <t>Bertugas menyelenggarakan pesta besar untuk suatu pernikahan</t>
  </si>
  <si>
    <t>Mengirimkan undangan pesta besar suatu pernikahan</t>
  </si>
  <si>
    <t>Menulis artikel tentang suatu pernikahan besar</t>
  </si>
  <si>
    <t>Mengarang cerita</t>
  </si>
  <si>
    <t>Memimpin penelitian tentang psikologi musik</t>
  </si>
  <si>
    <t>Membuat barang dari tanah liat</t>
  </si>
  <si>
    <t>Memimpin penelitian tentang cara penjualan yang efektif</t>
  </si>
  <si>
    <t>Menyortir surat di kantor pos</t>
  </si>
  <si>
    <t>Beternak ayam</t>
  </si>
  <si>
    <t>Menulis dalam surat kabar tentang berita sehari-hari</t>
  </si>
  <si>
    <t>Memberi kuliah kimia secara populer</t>
  </si>
  <si>
    <t>Menolong anak muda dalam memilih pekerjaan</t>
  </si>
  <si>
    <t>Ada seseorang yang dipercayai selalu mengambilkan keputusan untuk Anda</t>
  </si>
  <si>
    <t>Ada seseorang yang dipercayai sekali-sekali mengambilkan keputusan untuk Anda</t>
  </si>
  <si>
    <t>Mengambil keputusan sendiri</t>
  </si>
  <si>
    <t>Mengawasi suatu bagian yang besar di sebuah toko besar</t>
  </si>
  <si>
    <t>Memimpin penelitian tentang televisi</t>
  </si>
  <si>
    <t>Menjadi kepala penyelenggaraan hiburan untuk bagian kesejahteraan</t>
  </si>
  <si>
    <t>Mengawasi pekerjaan juru ketik</t>
  </si>
  <si>
    <t>Mewawancarai orang-orang yang melamar pekerjaan</t>
  </si>
  <si>
    <t>Menjadi sekretaris pribadi</t>
  </si>
  <si>
    <t>Melukis gambar-gambar komik</t>
  </si>
  <si>
    <t>Menyusun iklan mengenai alat-alat listrik</t>
  </si>
  <si>
    <t>Membuka perusahaan jasa pengangkutan</t>
  </si>
  <si>
    <t>Membuat makanan yang tidak dikenal resepnya</t>
  </si>
  <si>
    <t>Mengisahkan cerita kepada anak-anak</t>
  </si>
  <si>
    <t>Melukis dengan cat air</t>
  </si>
  <si>
    <t>Mengadakan penelitian kimia</t>
  </si>
  <si>
    <t>Mewawancarai pelamar pekerjaan</t>
  </si>
  <si>
    <t>Membuat masalah utama untuk suatu surat kabar</t>
  </si>
  <si>
    <t>Melukis suatu pemandangan indah</t>
  </si>
  <si>
    <t>Mencoba bermacam-macam bentuk layar pada suatu perahu mainan untuk melihat mana yang baik</t>
  </si>
  <si>
    <t>Menulis cerita pendek dengan gaya seseorang pengarang tertentu</t>
  </si>
  <si>
    <t>Menentukan biaya pembuatan komputer model baru</t>
  </si>
  <si>
    <t>Mengajurkan hartawan-hartawan untuk membuat pabrik komputer</t>
  </si>
  <si>
    <t>Mengajarkan cara menggunakan komputer</t>
  </si>
  <si>
    <t>Menyelenggarakan hasil pengawasan pendapat umum/survey</t>
  </si>
  <si>
    <t>Menulis tajuk rencana untuk sebuah surat kabar</t>
  </si>
  <si>
    <t>Mengajar kerajinan tangan dalam suatu perkemahan</t>
  </si>
  <si>
    <t>Membaca tentang penyebab berbagai penyakit</t>
  </si>
  <si>
    <t>Membaca tentang cara-cara pemimpin perusahaan memperoleh sukses</t>
  </si>
  <si>
    <t>Membaca tentang cara-cara mengolah bahan tanaman</t>
  </si>
  <si>
    <t>Pergi ke suatu pesta yang orang-orangnya asing sama sekali</t>
  </si>
  <si>
    <t>Pergi ke suatu pesta yang orang-orangnya sebagian besar dikenal</t>
  </si>
  <si>
    <t>Pergi ke suatu pesta yang sebagian orang-orangnya dikenal dan sebagian lagi orang asing</t>
  </si>
  <si>
    <t>Menjual hasil-hasil seni</t>
  </si>
  <si>
    <t>Menanam bibit untuk perusahaan bunga</t>
  </si>
  <si>
    <t>Memelihara tikus putih untuk penelitian para ahli ilmu pengetahuan</t>
  </si>
  <si>
    <t>Mengadakan eksperimen di laboratorium</t>
  </si>
  <si>
    <t>Membuat perkakas rumah tangga</t>
  </si>
  <si>
    <t>Menjual asuransi</t>
  </si>
  <si>
    <t>Menimbang barang untuk menentukan biaya pengirimannya</t>
  </si>
  <si>
    <t>Membaca naskah-naskah yang akan dipublikasikan</t>
  </si>
  <si>
    <t>Mencoba mobil baru untuk mengadakan perbaikan</t>
  </si>
  <si>
    <t>Menjadi ahli pengasah batu permata</t>
  </si>
  <si>
    <t>Memimpin penelitian untuk mengembangkan cara mencampur karet</t>
  </si>
  <si>
    <t>Menjadi penyiar musik di radio</t>
  </si>
  <si>
    <t>Menolong di rumah sakit</t>
  </si>
  <si>
    <t>Menjual alat-alat musik</t>
  </si>
  <si>
    <t>Memperbaiki perkakas rumah tangga</t>
  </si>
  <si>
    <t>Merancang berbagai bentuk pot bunga</t>
  </si>
  <si>
    <t>Mengawasi perusahaan pot bunga</t>
  </si>
  <si>
    <t>Mencari cara efisien untuk membuat pot bunga</t>
  </si>
  <si>
    <t>Menghitung kwitansi di sebuah rumah makan</t>
  </si>
  <si>
    <t>Mengajar anak-anak untuk membuat model kapal terbang</t>
  </si>
  <si>
    <t>Membuatkan catatan bagi pemimpin penelitian kedokteran</t>
  </si>
  <si>
    <t>Mengatur lapangan bermain bagi anak-anak cacat</t>
  </si>
  <si>
    <t>Menjadi juru masak untuk sebuah restoran</t>
  </si>
  <si>
    <t>Menjual alat-alat kimia</t>
  </si>
  <si>
    <t>Mengumpulkan alat-alat tukang kayu secara lengkap</t>
  </si>
  <si>
    <t>Mengumpulkan lukisan-lukisan yang digemari</t>
  </si>
  <si>
    <t>Mengumpulkan perlengkapan alat-alat pertolongan pertama yang dipakai dalam bahaya</t>
  </si>
  <si>
    <t>Mencetak acara dan karcis pertunjukkan</t>
  </si>
  <si>
    <t>Memimpin sebuah pertunjukkan amatir</t>
  </si>
  <si>
    <t>Menjual tiket untuk pertunjukkan amatir</t>
  </si>
  <si>
    <t>Menyiapkan rencana acara dan karcis untuk pertunjukkan</t>
  </si>
  <si>
    <t>Menjadi bendaharawan dari pertunjukkan</t>
  </si>
  <si>
    <t>Menulis cerita pertunjukkan</t>
  </si>
  <si>
    <t>Bermain catur dengan orang yang biasanya mengalahkan Anda</t>
  </si>
  <si>
    <t>Bermain catur dengan orang yang pernah mengalahkan Anda</t>
  </si>
  <si>
    <t>Bermain catur dengan orang yang sama kuatnya dengan Anda</t>
  </si>
  <si>
    <t>Menyiapkan naskah iklan untuk komputer baru</t>
  </si>
  <si>
    <t>Menghitung biaya untuk pembuatan komputer</t>
  </si>
  <si>
    <t>Menjual mesin komputer</t>
  </si>
  <si>
    <t>Menulis satu kolom gosip untuk sebuah surat kabar</t>
  </si>
  <si>
    <t>Menulis satu kolom konsultasi pribadi untuk sebuah surat kabar</t>
  </si>
  <si>
    <t>Menulis satu kolom tentang tanaman untuk sebuah surat kabar</t>
  </si>
  <si>
    <t>Menjadi seorang peneliti</t>
  </si>
  <si>
    <t>Menjadi seorang perancang</t>
  </si>
  <si>
    <t>Menjadi seorang penemu</t>
  </si>
  <si>
    <t>Memetik daun the</t>
  </si>
  <si>
    <t>Mengendarai traktor di suatu ladang</t>
  </si>
  <si>
    <t>Bekerja di laboratorium kimia</t>
  </si>
  <si>
    <t>Mengikuti kursus pidato di muka umum</t>
  </si>
  <si>
    <t>Mempelajari ilmu sosial</t>
  </si>
  <si>
    <t>Belajar menulis cerita</t>
  </si>
  <si>
    <t>Menggunakan komputer</t>
  </si>
  <si>
    <t>Memasang bagian-bagian dari komputer</t>
  </si>
  <si>
    <t>Menjual komputer</t>
  </si>
  <si>
    <t>Membuat kapal</t>
  </si>
  <si>
    <t>Menyelesaikan perselisihan</t>
  </si>
  <si>
    <t>Menciptakan lagu</t>
  </si>
  <si>
    <t>Menjadi seorang penjual traktor yang paling sukses</t>
  </si>
  <si>
    <t>Menjadi seorang akuntan yang berijasah</t>
  </si>
  <si>
    <t>Menjadi seorang ahli pajak</t>
  </si>
  <si>
    <t>Mengembangkan prosedur kerja yang efisien untuk perusahaan</t>
  </si>
  <si>
    <t>Menjadi seorang perawat</t>
  </si>
  <si>
    <t>Memperbaiki cara memasak makanan</t>
  </si>
  <si>
    <t>Memperbaiki setrika yang putus aliran listriknya</t>
  </si>
  <si>
    <t>Menyalakan api di tungku</t>
  </si>
  <si>
    <t>Mengetik surat untuk teman</t>
  </si>
  <si>
    <t>Mengepalai sebuah toko alat-alat musik</t>
  </si>
  <si>
    <t>Menggambar rencana untuk bangunan gedung</t>
  </si>
  <si>
    <t>Meneliti keadaan sosial pada bermacam lingkungan masyarakat</t>
  </si>
  <si>
    <t>Membongkar sebuah mainan anak-anak untuk mengetahui cara bekerjanya</t>
  </si>
  <si>
    <t>Bermain halma</t>
  </si>
  <si>
    <t>Bermain catur</t>
  </si>
  <si>
    <t>Memegang pembukuan dari sebuah perusahaan</t>
  </si>
  <si>
    <t>Melakukan penelitian untuk mendapatkan jenis bunga baru</t>
  </si>
  <si>
    <t>Berbicara dengan orang-orang tentang masalah-masalah mereka</t>
  </si>
  <si>
    <t>Menangkap ikan sebagai mata pencaharian</t>
  </si>
  <si>
    <t>Memilih pohon di hutan untuk ditebang</t>
  </si>
  <si>
    <t>Mencat mobil di pabrik/bengkel</t>
  </si>
  <si>
    <t>Menjadi seorang pengunjung sosial</t>
  </si>
  <si>
    <t>Menjadi sekretaris sosial dari seorang yang ternama</t>
  </si>
  <si>
    <t>Menyiapkan iklan untuk sebuah penerbit</t>
  </si>
  <si>
    <t>Menulis sebuah cerita nyata untuk sebuah koran/majalah</t>
  </si>
  <si>
    <t>Menulis karangan tentang pemeliharaan hewan ternak</t>
  </si>
  <si>
    <t>Menulis karangan tentang cara pemberian pertolongan pertama</t>
  </si>
  <si>
    <t>Menjadi pelayan di restoran</t>
  </si>
  <si>
    <t>Mencari alamat orang-orang di buku alamat</t>
  </si>
  <si>
    <t>Menjaga orang sakit</t>
  </si>
  <si>
    <t>Membuat model dari tanah liat</t>
  </si>
  <si>
    <t>Menulis karangan tentang kejiwaan dari orang-orang yang terkenal</t>
  </si>
  <si>
    <t>Menjadi asisten dari pemain amatir</t>
  </si>
  <si>
    <t>Menjadi seorang dokter</t>
  </si>
  <si>
    <t>Menjadi seorang pemahat patung</t>
  </si>
  <si>
    <t>Menjadi seorang wartawan</t>
  </si>
  <si>
    <t>Membalas surat permintaan informasi sebuah model komputer baru</t>
  </si>
  <si>
    <t>Mengumpulkan keterangan-keterangan mengenai penjualan komputer</t>
  </si>
  <si>
    <t>Menyiapkan komputer untuk para pembeli</t>
  </si>
  <si>
    <t>Mempelajari cara propaganda yang dipakai dalam peperangan</t>
  </si>
  <si>
    <t>Mempelajari cara yang efisien dalam kantor</t>
  </si>
  <si>
    <t>Mempelajari masalah imigrasi/perpindahan penduduk ke Indonesia</t>
  </si>
  <si>
    <t>Memeriksa sebuah rencana laporan</t>
  </si>
  <si>
    <t>Mencuci piring</t>
  </si>
  <si>
    <t>Memasak</t>
  </si>
  <si>
    <t>Mengajar ilmu bangunan</t>
  </si>
  <si>
    <t>Mencari iklan untuk sebuah majalah</t>
  </si>
  <si>
    <t>Memperbaiki jam</t>
  </si>
  <si>
    <t>Memasak makanan</t>
  </si>
  <si>
    <t>Memperbaiki mainan anak-anak yang rusak</t>
  </si>
  <si>
    <t>Mengeramasi seseorang</t>
  </si>
  <si>
    <t>Melakukan ekspedisi untuk menemukan penyakit aneh</t>
  </si>
  <si>
    <t>Melakukan ekspedisi untuk memberantas epidemi di masyarakat</t>
  </si>
  <si>
    <t>Bekerja dalam bidang kesejahteraan sosial</t>
  </si>
  <si>
    <t>Menjadi seorang pelukis foto</t>
  </si>
  <si>
    <t>Memimpin penelitian untuk mengetahui penyebab gempa bumi</t>
  </si>
  <si>
    <t>Menjadi seorang insinyur mesin</t>
  </si>
  <si>
    <t>Membantu orang lain untuk merencanakan pengeluaran</t>
  </si>
  <si>
    <t>Menempelkan kertas tanda pada buku perpustakaan</t>
  </si>
  <si>
    <t>Menjadi ahli pemeliharaan tanaman</t>
  </si>
  <si>
    <t>Berjualan di toko besar</t>
  </si>
  <si>
    <t>Bekerja di peternakan</t>
  </si>
  <si>
    <t>Bekerja di penerbitan</t>
  </si>
  <si>
    <t>Menjadi guru besar/profesor dalam ilmu pasti/eksakta</t>
  </si>
  <si>
    <t>Menjadi kepala humas untuk Universitas besar</t>
  </si>
  <si>
    <t>Menjadi guru besar/profesor dalam bahasa asing</t>
  </si>
  <si>
    <t>Mengikuti kursus surat menyurat bisnis</t>
  </si>
  <si>
    <t>mengikuti kursus percetakan</t>
  </si>
  <si>
    <t>Mengikuti kursus penjualan</t>
  </si>
  <si>
    <t>Menggambar rencana bangunan rumah</t>
  </si>
  <si>
    <t>Menggambar iklan tentang perkembangan baru dari bangunan rumah</t>
  </si>
  <si>
    <t>Menulis karangan tentang pendapat baru dalam pembangunan rumah</t>
  </si>
  <si>
    <t>Membeli barang yang harganya mahal dengan angsuran/kredit</t>
  </si>
  <si>
    <t>Membeli barang tersebut dengan meminjam uang dari teman</t>
  </si>
  <si>
    <t>Menabung sampai dapat membeli barang tersebut secara tunai</t>
  </si>
  <si>
    <t>Menghias perkakas rumah tangga</t>
  </si>
  <si>
    <t>Mengawasi para pekerja di sawah</t>
  </si>
  <si>
    <t>Membantu anak muda untuk memilih pekerjaannya</t>
  </si>
  <si>
    <t>Merancang pabrik baru</t>
  </si>
  <si>
    <t>Memperkirakan biaya pencetakan buku</t>
  </si>
  <si>
    <t>Membuat alat pemintal</t>
  </si>
  <si>
    <t>Menggunakan teori ilmu pasti untuk meramal</t>
  </si>
  <si>
    <t>Melakukan penelitian untuk mengetahui sikap anak muda</t>
  </si>
  <si>
    <t>Menulis riwayat hidup dari orang ternama</t>
  </si>
  <si>
    <t>Membuat karangan tentang bagaimana seorang pedagang dapat menentukan harga</t>
  </si>
  <si>
    <t>Menciptakan sebuah lagu untuk acara radio</t>
  </si>
  <si>
    <t>Mencoba beraneka hasil bumi agar dapat dipilih yang terbaik untuk dijual di toko</t>
  </si>
  <si>
    <t>Mengurus papan informasi/berita di sebuah perusahaan yang besar</t>
  </si>
  <si>
    <t>Mengatur komputer agar selalu siap untuk dipakai</t>
  </si>
  <si>
    <t>Orang lain memandang Anda sebagai kawan</t>
  </si>
  <si>
    <t>Orang lain memandang Anda lebih tinggi dari mereka</t>
  </si>
  <si>
    <t>Orang lain tidak menaruh perhatian kepada Anda</t>
  </si>
  <si>
    <t>Menjadi seorang guru musik</t>
  </si>
  <si>
    <t>Menjadi pelukis pada suatu biro iklan</t>
  </si>
  <si>
    <t>Melakukan penelitian mengapa lelucon itu lucu</t>
  </si>
  <si>
    <t>Berbelanja untuk orang yang sakit</t>
  </si>
  <si>
    <t>Membuat teka-teki untuk orang sakit</t>
  </si>
  <si>
    <t>Membantu memberikan pertolongan pertama di rumah sakit</t>
  </si>
  <si>
    <t>Menjual bunga di toko bunga</t>
  </si>
  <si>
    <t>Menulis rubrik keungan di surat kabar</t>
  </si>
  <si>
    <t>Menggarap tanah pada pertanian yang luas</t>
  </si>
  <si>
    <t>Menjual tanah</t>
  </si>
  <si>
    <t>Menjaga orang tuli</t>
  </si>
  <si>
    <t>Membuat grafik berdasarkan perhitungan statistik</t>
  </si>
  <si>
    <t>Menjadi pegawai di toko</t>
  </si>
  <si>
    <t>Menjadi penulis</t>
  </si>
  <si>
    <t>Menjadi ahli dalam pembuatan poster iklan</t>
  </si>
  <si>
    <t>Menjadi pemimpin agama</t>
  </si>
  <si>
    <t>Menjabat pekerjaan yang disenangi dengan upah yang tinggi</t>
  </si>
  <si>
    <t>Menjabat pekerjaan yang disenangi dengan upah yang rendah</t>
  </si>
  <si>
    <t>Menjabat pekerjaan yang tidak disenangi dengan upah yang tinggi</t>
  </si>
  <si>
    <t>Memberi penyuluhan pada masyarakat tentang pemeliharaan kesehatan</t>
  </si>
  <si>
    <t>Menulis tajuk rencana di dalam surat kabar</t>
  </si>
  <si>
    <t>Menjual barang kesenian</t>
  </si>
  <si>
    <t>Menjadi sekretaris anggota DPR</t>
  </si>
  <si>
    <t>Mengajar anak-anak untuk membuat lukisan</t>
  </si>
  <si>
    <t>Menulis artikel dalam majalah kesenian</t>
  </si>
  <si>
    <t>Memilih sendiri pakaian Anda</t>
  </si>
  <si>
    <t>Mendapat nasehat orang lain untuk memilih pakaian Anda</t>
  </si>
  <si>
    <t>Menyuruh orang lain memilih pakaian untuk Anda</t>
  </si>
  <si>
    <t>Merencanakan pembuatan jembatan</t>
  </si>
  <si>
    <t>Mengerjakan pekerjaan yang membutuhkan banyak pengetahuan ilmu pasti</t>
  </si>
  <si>
    <t>Menjadi pegawai</t>
  </si>
  <si>
    <t>Mengawasi pembuatan kartu ucapan selamat</t>
  </si>
  <si>
    <t>Menetapkan harga pembuatan kartu ucapan selamat</t>
  </si>
  <si>
    <t>Merancang desain kartu ucapan selamat</t>
  </si>
  <si>
    <t>Membongkar induk kunci untuk mengetahui apa yang rusak</t>
  </si>
  <si>
    <t>Mengkoreksi kekeliruan dalam salinan surat laporan</t>
  </si>
  <si>
    <t>Menjumlahkan angka-angka</t>
  </si>
  <si>
    <t>Dipermalukan orang lain</t>
  </si>
  <si>
    <t>Membuat orang lain malu</t>
  </si>
  <si>
    <t>Tidak suka mempermalukan orang lain</t>
  </si>
  <si>
    <t>Menjadi ahli psikologi</t>
  </si>
  <si>
    <t>Mengawasi pembuatan jembatan</t>
  </si>
  <si>
    <t>Menjadi ahli perancang keindahan</t>
  </si>
  <si>
    <t>Menyelidiki penyebab penyakit jiwa</t>
  </si>
  <si>
    <t>Belajar menciptakan musik</t>
  </si>
  <si>
    <t>Belajar stenografi</t>
  </si>
  <si>
    <t xml:space="preserve">Menjadi kondektur bis </t>
  </si>
  <si>
    <t>Menjadi penjaga mercusuar</t>
  </si>
  <si>
    <t>Menjadi penjaga perlintasan kereta api</t>
  </si>
  <si>
    <t>Membuat iklan</t>
  </si>
  <si>
    <t>Bekerja di sebuah perpustakaan umum</t>
  </si>
  <si>
    <t>Menerbitkan surat kabar</t>
  </si>
  <si>
    <t>Mengikuti kursus akuntan</t>
  </si>
  <si>
    <t>Mengikuti kursus untuk menjadi penjual</t>
  </si>
  <si>
    <t>Mengikuti kursus bisnis</t>
  </si>
  <si>
    <t>Menulis cerita tentang sebuah pertunjukan</t>
  </si>
  <si>
    <t>Mengurus penjualan tiket untuk sebuah pertunjukan</t>
  </si>
  <si>
    <t>Menjadi pengurus barang untuk sebuah pertunjukan</t>
  </si>
  <si>
    <t>Menggambar karikatur dari orang-orang terkenal</t>
  </si>
  <si>
    <t>Melukis foto orang-orang terkenal</t>
  </si>
  <si>
    <t>Menggambar untuk dekorasi</t>
  </si>
  <si>
    <t>Menghias majalah dengan gambar</t>
  </si>
  <si>
    <t>Menulis artikel untuk sebuah majalah</t>
  </si>
  <si>
    <t>Menjadi pemimpin penjualan dari sebuah majalah</t>
  </si>
  <si>
    <t>Tinggal di sebuah tempat megah</t>
  </si>
  <si>
    <t>Pergi berkemah</t>
  </si>
  <si>
    <t>Melakukan perjalanan ke luar kota</t>
  </si>
  <si>
    <t>Tinggal bersama dengan seorang kritikus sastra ternama</t>
  </si>
  <si>
    <t>Tinggal bersama dengan seorang pekerja sosial yang ternama</t>
  </si>
  <si>
    <t>Tinggal bersama dengan seorang seniman yang ternama</t>
  </si>
  <si>
    <t>Menulis karangan mengenai hobi</t>
  </si>
  <si>
    <t>Membuat daftar mengenai biaya hidup</t>
  </si>
  <si>
    <t>Memeriksa hasil cetakan buku anak-anak</t>
  </si>
  <si>
    <t>Bercerita kepada anak-anak</t>
  </si>
  <si>
    <t>Membuat permainan anak-anak</t>
  </si>
  <si>
    <t>Mengikuti kursus pendidikan ilmu alam</t>
  </si>
  <si>
    <t>Mengikuti kursus pegawai toko</t>
  </si>
  <si>
    <t>Mengikuti kursus ilmu pasti</t>
  </si>
  <si>
    <t>Menjadi penyetem piano</t>
  </si>
  <si>
    <t>Menjadi guru sekolah</t>
  </si>
  <si>
    <t>Menjadi perawat gigi</t>
  </si>
  <si>
    <t>Menjadi stenografis/panitera di pengadilan</t>
  </si>
  <si>
    <t>Menjadi pengusaha dari seorang pianis yang ternama</t>
  </si>
  <si>
    <t>Menjadi pembimbing jabatan</t>
  </si>
  <si>
    <t>Mengurus museum sejarah alam</t>
  </si>
  <si>
    <t>Mengunjungi pabrik pesawat terbang</t>
  </si>
  <si>
    <t>Mengunjungi pemukiman di alam kota</t>
  </si>
  <si>
    <t>Menggambar ilustrasi untuk cerita dalam majalah</t>
  </si>
  <si>
    <t>Memelihara ternak untuk disembelih</t>
  </si>
  <si>
    <t>Menanam buah-buahan untuk dijual di pasar</t>
  </si>
  <si>
    <t>Menjadi pelayan hotel</t>
  </si>
  <si>
    <t>Membawa piring kotor ke dapur restoran</t>
  </si>
  <si>
    <t>Hidup seorang diri di sebuah pulau</t>
  </si>
  <si>
    <t>Menjadi pemandu jalan dalam rekreasi</t>
  </si>
  <si>
    <t>Merancang alat perlengkapan rekreasi</t>
  </si>
  <si>
    <t>Menjual alat perlengkapan rekreasi</t>
  </si>
  <si>
    <t>Menulis cerita untuk majalah</t>
  </si>
  <si>
    <t>Menjadi pemelihara kebun</t>
  </si>
  <si>
    <t>Terkenal sebagai orang yang tidak suka menonjolkan diri</t>
  </si>
  <si>
    <t>Terkenal sebagai orang yang dapat dipercaya</t>
  </si>
  <si>
    <t>Terkenal sebagai orang yang selalu gembira</t>
  </si>
  <si>
    <t>Mengajar berhitung</t>
  </si>
  <si>
    <t>Melatih anjing untuk dijadikan pemandu jalan bagi orang buta</t>
  </si>
  <si>
    <t>Menjadi sekretaris seorang ahli ilmu pengetahuan yang terkenal</t>
  </si>
  <si>
    <t>Mengikuti kursus musik modern</t>
  </si>
  <si>
    <t>Mengikuti kursus drama modern</t>
  </si>
  <si>
    <t>Mengikuti kursus melukis modern</t>
  </si>
  <si>
    <t>Dipandang sebagai orang yang keras hati</t>
  </si>
  <si>
    <t>Dipandang sebagai orang yang adil</t>
  </si>
  <si>
    <t>Dipandang sebagai orang yang cerdas</t>
  </si>
  <si>
    <t>Menjadi pemimpin sebuah orkestra</t>
  </si>
  <si>
    <t>Menjadi pengurus sebuah kantor besar</t>
  </si>
  <si>
    <t>Menjadi pemimpin kegiatan di pemukiman</t>
  </si>
  <si>
    <t>Memelihara bunga</t>
  </si>
  <si>
    <t>Bekerja sebagai mimiografi (menduplikasi gambar)</t>
  </si>
  <si>
    <t>Menghitung tagihan pada sebuah toko</t>
  </si>
  <si>
    <t>Pemandu jalan bagi pengunjung kebun raya</t>
  </si>
  <si>
    <t>Membuat perhiasan yang halus</t>
  </si>
  <si>
    <t>Menciptakan musik untuk sebuah orkestra</t>
  </si>
  <si>
    <t>Bekerja di sebuah kantor telepon</t>
  </si>
  <si>
    <t>Membuat gambar untuk halaman muka buku</t>
  </si>
  <si>
    <t>Mengajar permainan pada anak-anak</t>
  </si>
  <si>
    <t>Membetulkan meja setrika yang patah</t>
  </si>
  <si>
    <t>Membereskan kamar</t>
  </si>
  <si>
    <t>Mengajar cara membuat lemari</t>
  </si>
  <si>
    <t>Menjadi korektor dari sebuah harian</t>
  </si>
  <si>
    <t>Mengimpor permadani dari luar negeri</t>
  </si>
  <si>
    <t>Menjadi pemegang buku</t>
  </si>
  <si>
    <t>Menjadi penjual</t>
  </si>
  <si>
    <t>Menjadi penari</t>
  </si>
  <si>
    <t>Bermain tenis</t>
  </si>
  <si>
    <t>Mendaki gunung</t>
  </si>
  <si>
    <t>Bekerja di belakang meja</t>
  </si>
  <si>
    <t>Bekerja di pemeliharaan ternak</t>
  </si>
  <si>
    <t>Berjualan dari rumah ke rumah</t>
  </si>
  <si>
    <t>Bekerja pada pabrik permen</t>
  </si>
  <si>
    <t>Memelihara lebah</t>
  </si>
  <si>
    <t>Memelihara mata</t>
  </si>
  <si>
    <t>Menjadi petani</t>
  </si>
  <si>
    <t>Menjadi pegawai kantor</t>
  </si>
  <si>
    <t>Melakukan pekerjaan tata usaha</t>
  </si>
  <si>
    <t>Mengajar kesusastraan Indonesia</t>
  </si>
  <si>
    <t>Menjual alat-alat kesenian</t>
  </si>
  <si>
    <t>Belajar menjadi akuntan</t>
  </si>
  <si>
    <t>Mempelajari teknik irigasi</t>
  </si>
  <si>
    <t>Mengantar surat pos</t>
  </si>
  <si>
    <t>Mengumpulkan sampah</t>
  </si>
  <si>
    <t>Menjadi penyair</t>
  </si>
  <si>
    <t>Menjadi seniman</t>
  </si>
  <si>
    <t>Menjadi pekerja sosial</t>
  </si>
  <si>
    <t>Menjawab teka-teki ilmu pasti</t>
  </si>
  <si>
    <t>Menjawab teka-teki mengenai teknik</t>
  </si>
  <si>
    <t>Membuka sekolah seni</t>
  </si>
  <si>
    <t>Mendirikan orkestra</t>
  </si>
  <si>
    <t>Berteman banyak</t>
  </si>
  <si>
    <t>Berkuasa</t>
  </si>
  <si>
    <t>Terkenal</t>
  </si>
  <si>
    <t>Menjadi masinis</t>
  </si>
  <si>
    <t>Menjadi arsitek</t>
  </si>
  <si>
    <t>Menjadi ahli kimia</t>
  </si>
  <si>
    <t>Menjilid buku</t>
  </si>
  <si>
    <t>Merawat anak-anak yang sakit</t>
  </si>
  <si>
    <t>Mengetik surat-surat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</si>
</sst>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1"/>
      <color indexed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0"/>
      <name val="Arial"/>
      <family val="2"/>
    </font>
    <font>
      <b/>
      <sz val="12"/>
      <color rgb="FFFF0000"/>
      <name val="Arial"/>
      <family val="2"/>
    </font>
    <font>
      <b/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 applyProtection="1">
      <alignment horizontal="center"/>
      <protection locked="0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3" fillId="0" borderId="5" xfId="0" applyFont="1" applyBorder="1" applyAlignment="1">
      <alignment horizontal="center" vertical="top" wrapText="1"/>
    </xf>
    <xf numFmtId="0" fontId="0" fillId="0" borderId="0" xfId="0" applyProtection="1"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/>
      <protection hidden="1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>
      <alignment horizontal="center" vertical="center"/>
    </xf>
    <xf numFmtId="0" fontId="1" fillId="0" borderId="5" xfId="0" quotePrefix="1" applyFont="1" applyBorder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center"/>
      <protection hidden="1"/>
    </xf>
    <xf numFmtId="0" fontId="1" fillId="3" borderId="5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/>
    </xf>
    <xf numFmtId="0" fontId="0" fillId="0" borderId="0" xfId="0" applyBorder="1"/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justify" vertical="center"/>
    </xf>
    <xf numFmtId="0" fontId="0" fillId="0" borderId="0" xfId="0" applyBorder="1" applyAlignment="1">
      <alignment horizontal="justify" vertical="center"/>
    </xf>
    <xf numFmtId="0" fontId="6" fillId="2" borderId="5" xfId="0" applyFont="1" applyFill="1" applyBorder="1" applyAlignment="1">
      <alignment horizontal="justify" vertical="center"/>
    </xf>
    <xf numFmtId="0" fontId="6" fillId="3" borderId="5" xfId="0" applyFont="1" applyFill="1" applyBorder="1" applyAlignment="1">
      <alignment horizontal="justify" vertical="center"/>
    </xf>
    <xf numFmtId="0" fontId="6" fillId="6" borderId="5" xfId="0" applyFont="1" applyFill="1" applyBorder="1" applyAlignment="1">
      <alignment horizontal="justify" vertical="center"/>
    </xf>
    <xf numFmtId="0" fontId="6" fillId="7" borderId="5" xfId="0" applyFont="1" applyFill="1" applyBorder="1" applyAlignment="1">
      <alignment horizontal="justify" vertical="center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3" borderId="5" xfId="0" applyFont="1" applyFill="1" applyBorder="1" applyAlignment="1" applyProtection="1">
      <alignment horizontal="center" vertical="center"/>
      <protection locked="0"/>
    </xf>
    <xf numFmtId="0" fontId="0" fillId="6" borderId="5" xfId="0" applyFill="1" applyBorder="1" applyAlignment="1" applyProtection="1">
      <alignment horizontal="center" vertical="center"/>
      <protection locked="0"/>
    </xf>
    <xf numFmtId="0" fontId="0" fillId="7" borderId="5" xfId="0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Border="1" applyProtection="1">
      <protection hidden="1"/>
    </xf>
    <xf numFmtId="9" fontId="0" fillId="0" borderId="0" xfId="0" applyNumberFormat="1" applyBorder="1"/>
    <xf numFmtId="0" fontId="6" fillId="5" borderId="0" xfId="0" applyFont="1" applyFill="1" applyBorder="1"/>
    <xf numFmtId="0" fontId="6" fillId="5" borderId="0" xfId="0" applyFont="1" applyFill="1" applyBorder="1" applyAlignment="1">
      <alignment horizontal="center"/>
    </xf>
    <xf numFmtId="0" fontId="6" fillId="5" borderId="0" xfId="0" applyFont="1" applyFill="1" applyBorder="1" applyAlignment="1" applyProtection="1">
      <alignment horizontal="center"/>
      <protection hidden="1"/>
    </xf>
    <xf numFmtId="0" fontId="6" fillId="0" borderId="10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9" fontId="3" fillId="0" borderId="3" xfId="0" applyNumberFormat="1" applyFont="1" applyBorder="1" applyAlignment="1" applyProtection="1">
      <alignment horizontal="center"/>
      <protection hidden="1"/>
    </xf>
    <xf numFmtId="0" fontId="1" fillId="2" borderId="1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2" fillId="0" borderId="12" xfId="0" applyFont="1" applyBorder="1" applyAlignment="1" applyProtection="1">
      <alignment horizontal="center"/>
      <protection hidden="1"/>
    </xf>
    <xf numFmtId="0" fontId="1" fillId="6" borderId="7" xfId="0" applyFont="1" applyFill="1" applyBorder="1" applyAlignment="1">
      <alignment horizontal="center" vertical="center"/>
    </xf>
    <xf numFmtId="0" fontId="2" fillId="0" borderId="13" xfId="0" applyFont="1" applyBorder="1" applyAlignment="1" applyProtection="1">
      <alignment horizontal="center" vertical="center"/>
      <protection hidden="1"/>
    </xf>
    <xf numFmtId="1" fontId="3" fillId="0" borderId="3" xfId="0" applyNumberFormat="1" applyFont="1" applyBorder="1" applyAlignment="1" applyProtection="1">
      <alignment horizontal="center" vertical="center"/>
      <protection hidden="1"/>
    </xf>
    <xf numFmtId="9" fontId="3" fillId="0" borderId="3" xfId="0" applyNumberFormat="1" applyFont="1" applyBorder="1" applyAlignment="1" applyProtection="1">
      <alignment horizontal="left"/>
      <protection hidden="1"/>
    </xf>
    <xf numFmtId="9" fontId="3" fillId="0" borderId="4" xfId="0" applyNumberFormat="1" applyFont="1" applyBorder="1" applyAlignment="1" applyProtection="1">
      <alignment horizontal="left"/>
      <protection hidden="1"/>
    </xf>
    <xf numFmtId="9" fontId="11" fillId="0" borderId="14" xfId="0" applyNumberFormat="1" applyFont="1" applyBorder="1" applyAlignment="1" applyProtection="1">
      <alignment horizontal="justify" vertical="center"/>
      <protection hidden="1"/>
    </xf>
    <xf numFmtId="0" fontId="6" fillId="7" borderId="5" xfId="0" applyFont="1" applyFill="1" applyBorder="1" applyAlignment="1" applyProtection="1">
      <alignment horizontal="center" vertical="center"/>
      <protection locked="0"/>
    </xf>
    <xf numFmtId="0" fontId="6" fillId="6" borderId="5" xfId="0" applyFont="1" applyFill="1" applyBorder="1" applyAlignment="1" applyProtection="1">
      <alignment horizontal="center" vertical="center"/>
      <protection locked="0"/>
    </xf>
    <xf numFmtId="0" fontId="10" fillId="5" borderId="0" xfId="0" applyFont="1" applyFill="1" applyBorder="1"/>
    <xf numFmtId="0" fontId="10" fillId="5" borderId="0" xfId="0" applyFont="1" applyFill="1" applyBorder="1" applyAlignment="1">
      <alignment wrapText="1"/>
    </xf>
    <xf numFmtId="0" fontId="10" fillId="5" borderId="0" xfId="0" applyFont="1" applyFill="1" applyBorder="1" applyAlignment="1">
      <alignment horizontal="center" wrapText="1"/>
    </xf>
    <xf numFmtId="0" fontId="12" fillId="5" borderId="0" xfId="0" applyFont="1" applyFill="1" applyBorder="1" applyAlignment="1">
      <alignment horizontal="center"/>
    </xf>
    <xf numFmtId="9" fontId="10" fillId="5" borderId="0" xfId="0" applyNumberFormat="1" applyFont="1" applyFill="1" applyBorder="1" applyAlignment="1">
      <alignment horizontal="center"/>
    </xf>
    <xf numFmtId="0" fontId="10" fillId="0" borderId="0" xfId="0" quotePrefix="1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0" xfId="0" applyFont="1" applyProtection="1">
      <protection hidden="1"/>
    </xf>
    <xf numFmtId="0" fontId="10" fillId="0" borderId="0" xfId="0" applyFont="1" applyBorder="1" applyProtection="1">
      <protection locked="0" hidden="1"/>
    </xf>
    <xf numFmtId="0" fontId="4" fillId="0" borderId="0" xfId="0" applyFont="1" applyFill="1" applyAlignment="1" applyProtection="1">
      <alignment horizontal="center"/>
      <protection hidden="1"/>
    </xf>
    <xf numFmtId="0" fontId="5" fillId="0" borderId="0" xfId="0" applyFont="1" applyFill="1" applyAlignment="1">
      <alignment horizontal="center"/>
    </xf>
    <xf numFmtId="0" fontId="12" fillId="5" borderId="0" xfId="0" applyFont="1" applyFill="1" applyBorder="1" applyAlignment="1">
      <alignment horizontal="center"/>
    </xf>
    <xf numFmtId="0" fontId="10" fillId="5" borderId="0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b/>
        <i val="0"/>
        <condense val="0"/>
        <extend val="0"/>
        <color indexed="10"/>
      </font>
    </dxf>
    <dxf>
      <font>
        <b/>
        <i val="0"/>
        <strike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trlProps/ctrlProp1.xml><?xml version="1.0" encoding="utf-8"?>
<formControlPr xmlns="http://schemas.microsoft.com/office/spreadsheetml/2009/9/main" objectType="Drop" dropStyle="combo" dx="22" fmlaLink="$L$7" fmlaRange="$K$7:$K$8" sel="1" val="0"/>
</file>

<file path=xl/ctrlProps/ctrlProp2.xml><?xml version="1.0" encoding="utf-8"?>
<formControlPr xmlns="http://schemas.microsoft.com/office/spreadsheetml/2009/9/main" objectType="Label" lockText="1"/>
</file>

<file path=xl/ctrlProps/ctrlProp3.xml><?xml version="1.0" encoding="utf-8"?>
<formControlPr xmlns="http://schemas.microsoft.com/office/spreadsheetml/2009/9/main" objectType="Drop" dropStyle="combo" dx="22" fmlaLink="Test!$L$7" fmlaRange="Test!$K$7:$K$8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2209800</xdr:colOff>
          <xdr:row>2</xdr:row>
          <xdr:rowOff>9525</xdr:rowOff>
        </xdr:from>
        <xdr:to>
          <xdr:col>2</xdr:col>
          <xdr:colOff>3486150</xdr:colOff>
          <xdr:row>3</xdr:row>
          <xdr:rowOff>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CD4A77AE-A402-4DE1-B6A8-1613BA2EE1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1514475</xdr:colOff>
          <xdr:row>2</xdr:row>
          <xdr:rowOff>19050</xdr:rowOff>
        </xdr:from>
        <xdr:to>
          <xdr:col>2</xdr:col>
          <xdr:colOff>2162175</xdr:colOff>
          <xdr:row>5</xdr:row>
          <xdr:rowOff>19050</xdr:rowOff>
        </xdr:to>
        <xdr:sp macro="" textlink="">
          <xdr:nvSpPr>
            <xdr:cNvPr id="1027" name="Labe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DBD20FC0-2BBC-42CE-92DD-40F7BEF00A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Jenis Kelamin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647700</xdr:colOff>
          <xdr:row>4</xdr:row>
          <xdr:rowOff>0</xdr:rowOff>
        </xdr:to>
        <xdr:sp macro="" textlink="">
          <xdr:nvSpPr>
            <xdr:cNvPr id="2050" name="Drop Dow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62D41B41-A555-4395-AB5B-8706D7C3CB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5" Type="http://schemas.openxmlformats.org/officeDocument/2006/relationships/ctrlProp" Target="../ctrlProps/ctrlProp2.xml" /><Relationship Id="rId4" Type="http://schemas.openxmlformats.org/officeDocument/2006/relationships/ctrlProp" Target="../ctrlProps/ctrlProp1.xm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 /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Relationship Id="rId4" Type="http://schemas.openxmlformats.org/officeDocument/2006/relationships/ctrlProp" Target="../ctrlProps/ctrlProp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M573"/>
  <sheetViews>
    <sheetView showGridLines="0" showRowColHeaders="0" tabSelected="1" zoomScaleNormal="100" workbookViewId="0">
      <pane xSplit="12" ySplit="7" topLeftCell="M8" activePane="bottomRight" state="frozen"/>
      <selection activeCell="A5" sqref="A5"/>
      <selection pane="bottomLeft" activeCell="A5" sqref="A5"/>
      <selection pane="topRight" activeCell="A5" sqref="A5"/>
      <selection pane="bottomRight" activeCell="D8" sqref="D8"/>
    </sheetView>
  </sheetViews>
  <sheetFormatPr defaultColWidth="11.4609375" defaultRowHeight="25.9" customHeight="1" x14ac:dyDescent="0.15"/>
  <cols>
    <col min="1" max="1" width="5.796875" style="8" bestFit="1" customWidth="1"/>
    <col min="2" max="2" width="5.796875" style="8" customWidth="1"/>
    <col min="3" max="3" width="59.3359375" style="1" customWidth="1"/>
    <col min="4" max="5" width="3.37109375" style="3" customWidth="1"/>
    <col min="6" max="6" width="19.6875" style="11" customWidth="1"/>
    <col min="7" max="8" width="4.44921875" style="11" hidden="1" customWidth="1"/>
    <col min="9" max="9" width="4.04296875" style="11" hidden="1" customWidth="1"/>
    <col min="10" max="10" width="4.58203125" style="11" hidden="1" customWidth="1"/>
    <col min="11" max="12" width="11.59375" style="11" hidden="1" customWidth="1"/>
  </cols>
  <sheetData>
    <row r="1" spans="1:13" ht="25.9" customHeight="1" x14ac:dyDescent="0.2">
      <c r="A1" s="74" t="s">
        <v>74</v>
      </c>
      <c r="B1" s="74"/>
      <c r="C1" s="74"/>
      <c r="D1" s="74"/>
      <c r="E1" s="74"/>
      <c r="F1" s="74"/>
    </row>
    <row r="2" spans="1:13" ht="15" customHeight="1" x14ac:dyDescent="0.2">
      <c r="A2" s="9"/>
      <c r="B2" s="9"/>
      <c r="C2" s="9"/>
      <c r="D2" s="9"/>
      <c r="E2" s="9"/>
      <c r="F2" s="12"/>
    </row>
    <row r="3" spans="1:13" ht="16.149999999999999" customHeight="1" x14ac:dyDescent="0.2">
      <c r="A3" s="9"/>
      <c r="B3" s="9"/>
      <c r="C3" s="9"/>
      <c r="D3" s="9"/>
      <c r="E3" s="9"/>
      <c r="F3" s="12"/>
    </row>
    <row r="4" spans="1:13" ht="7.9" customHeight="1" x14ac:dyDescent="0.2">
      <c r="A4" s="9"/>
      <c r="B4" s="9"/>
      <c r="C4" s="9"/>
      <c r="D4" s="9"/>
      <c r="E4" s="9"/>
      <c r="F4" s="12"/>
    </row>
    <row r="5" spans="1:13" ht="16.149999999999999" customHeight="1" x14ac:dyDescent="0.2">
      <c r="A5" s="9"/>
      <c r="B5" s="9"/>
      <c r="C5" s="75" t="s">
        <v>73</v>
      </c>
      <c r="D5" s="75"/>
      <c r="E5" s="75"/>
      <c r="F5" s="12"/>
    </row>
    <row r="6" spans="1:13" ht="11.45" customHeight="1" x14ac:dyDescent="0.2">
      <c r="A6" s="9"/>
      <c r="B6" s="9"/>
      <c r="C6" s="9"/>
      <c r="D6" s="9"/>
      <c r="E6" s="9"/>
      <c r="F6" s="12"/>
    </row>
    <row r="7" spans="1:13" ht="14.25" x14ac:dyDescent="0.15">
      <c r="C7" s="10" t="s">
        <v>11</v>
      </c>
      <c r="D7" s="18" t="s">
        <v>9</v>
      </c>
      <c r="E7" s="18" t="s">
        <v>10</v>
      </c>
      <c r="F7" s="19" t="s">
        <v>14</v>
      </c>
      <c r="G7" s="69" t="s">
        <v>9</v>
      </c>
      <c r="H7" s="69" t="s">
        <v>10</v>
      </c>
      <c r="I7" s="70" t="s">
        <v>5</v>
      </c>
      <c r="J7" s="70" t="s">
        <v>6</v>
      </c>
      <c r="K7" s="72" t="s">
        <v>7</v>
      </c>
      <c r="L7" s="73">
        <v>1</v>
      </c>
    </row>
    <row r="8" spans="1:13" ht="26.1" customHeight="1" x14ac:dyDescent="0.15">
      <c r="A8" s="21">
        <v>1</v>
      </c>
      <c r="B8" s="14" t="s">
        <v>19</v>
      </c>
      <c r="C8" s="34" t="s">
        <v>70</v>
      </c>
      <c r="D8" s="38"/>
      <c r="E8" s="38"/>
      <c r="F8" s="15" t="str">
        <f>IF(D8="x",IF(E8&lt;&gt;"x","Paling Disukai","ERROR"),IF(E8="x","Paling Tidak Disukai",""))</f>
        <v/>
      </c>
      <c r="G8" s="71">
        <f>IF(D8="x",IF(E8&lt;&gt;"x",1,0),0)</f>
        <v>0</v>
      </c>
      <c r="H8" s="71">
        <f>IF(E8="x",IF(D8&lt;&gt;"x",1,0),0)</f>
        <v>0</v>
      </c>
      <c r="I8" s="71">
        <f>IF(E8="x",0,IF(D8&lt;&gt;"x",1,0))</f>
        <v>1</v>
      </c>
      <c r="J8" s="71">
        <f>IF(E8="x",IF(D8&lt;&gt;"x",0,1),0)</f>
        <v>0</v>
      </c>
      <c r="K8" s="71" t="s">
        <v>8</v>
      </c>
      <c r="L8" s="16"/>
      <c r="M8" s="17"/>
    </row>
    <row r="9" spans="1:13" ht="26.1" customHeight="1" x14ac:dyDescent="0.15">
      <c r="A9" s="22"/>
      <c r="B9" s="14" t="s">
        <v>20</v>
      </c>
      <c r="C9" s="34" t="s">
        <v>71</v>
      </c>
      <c r="D9" s="38"/>
      <c r="E9" s="38"/>
      <c r="F9" s="15" t="str">
        <f t="shared" ref="F9:F72" si="0">IF(D9="x",IF(E9&lt;&gt;"x","Paling Disukai","ERROR"),IF(E9="x","Paling Tidak Disukai",""))</f>
        <v/>
      </c>
      <c r="G9" s="71">
        <f t="shared" ref="G9:G72" si="1">IF(D9="x",IF(E9&lt;&gt;"x",1,0),0)</f>
        <v>0</v>
      </c>
      <c r="H9" s="71">
        <f t="shared" ref="H9:H72" si="2">IF(E9="x",IF(D9&lt;&gt;"x",1,0),0)</f>
        <v>0</v>
      </c>
      <c r="I9" s="71">
        <f t="shared" ref="I9:I72" si="3">IF(E9="x",0,IF(D9&lt;&gt;"x",1,0))</f>
        <v>1</v>
      </c>
      <c r="J9" s="71">
        <f t="shared" ref="J9:J72" si="4">IF(E9="x",IF(D9&lt;&gt;"x",0,1),0)</f>
        <v>0</v>
      </c>
      <c r="K9" s="16"/>
      <c r="L9" s="16"/>
      <c r="M9" s="17"/>
    </row>
    <row r="10" spans="1:13" ht="26.1" customHeight="1" x14ac:dyDescent="0.15">
      <c r="A10" s="22"/>
      <c r="B10" s="14" t="s">
        <v>21</v>
      </c>
      <c r="C10" s="34" t="s">
        <v>72</v>
      </c>
      <c r="D10" s="38"/>
      <c r="E10" s="38"/>
      <c r="F10" s="15" t="str">
        <f t="shared" si="0"/>
        <v/>
      </c>
      <c r="G10" s="71">
        <f t="shared" si="1"/>
        <v>0</v>
      </c>
      <c r="H10" s="71">
        <f t="shared" si="2"/>
        <v>0</v>
      </c>
      <c r="I10" s="71">
        <f t="shared" si="3"/>
        <v>1</v>
      </c>
      <c r="J10" s="71">
        <f t="shared" si="4"/>
        <v>0</v>
      </c>
      <c r="K10" s="16"/>
      <c r="L10" s="16"/>
      <c r="M10" s="17"/>
    </row>
    <row r="11" spans="1:13" ht="26.1" customHeight="1" x14ac:dyDescent="0.15">
      <c r="A11" s="22"/>
      <c r="B11" s="20" t="s">
        <v>22</v>
      </c>
      <c r="C11" s="35" t="s">
        <v>92</v>
      </c>
      <c r="D11" s="39"/>
      <c r="E11" s="39"/>
      <c r="F11" s="15" t="str">
        <f t="shared" si="0"/>
        <v/>
      </c>
      <c r="G11" s="71">
        <f t="shared" si="1"/>
        <v>0</v>
      </c>
      <c r="H11" s="71">
        <f t="shared" si="2"/>
        <v>0</v>
      </c>
      <c r="I11" s="71">
        <f t="shared" si="3"/>
        <v>1</v>
      </c>
      <c r="J11" s="71">
        <f t="shared" si="4"/>
        <v>0</v>
      </c>
      <c r="K11" s="16"/>
      <c r="L11" s="16"/>
      <c r="M11" s="17"/>
    </row>
    <row r="12" spans="1:13" ht="26.1" customHeight="1" x14ac:dyDescent="0.15">
      <c r="A12" s="22"/>
      <c r="B12" s="20" t="s">
        <v>23</v>
      </c>
      <c r="C12" s="35" t="s">
        <v>93</v>
      </c>
      <c r="D12" s="39"/>
      <c r="E12" s="39"/>
      <c r="F12" s="15" t="str">
        <f t="shared" si="0"/>
        <v/>
      </c>
      <c r="G12" s="71">
        <f t="shared" si="1"/>
        <v>0</v>
      </c>
      <c r="H12" s="71">
        <f t="shared" si="2"/>
        <v>0</v>
      </c>
      <c r="I12" s="71">
        <f t="shared" si="3"/>
        <v>1</v>
      </c>
      <c r="J12" s="71">
        <f t="shared" si="4"/>
        <v>0</v>
      </c>
      <c r="K12" s="16"/>
      <c r="L12" s="16"/>
      <c r="M12" s="17"/>
    </row>
    <row r="13" spans="1:13" ht="26.1" customHeight="1" x14ac:dyDescent="0.15">
      <c r="A13" s="22"/>
      <c r="B13" s="20" t="s">
        <v>24</v>
      </c>
      <c r="C13" s="35" t="s">
        <v>94</v>
      </c>
      <c r="D13" s="39"/>
      <c r="E13" s="39"/>
      <c r="F13" s="15" t="str">
        <f t="shared" si="0"/>
        <v/>
      </c>
      <c r="G13" s="71">
        <f t="shared" si="1"/>
        <v>0</v>
      </c>
      <c r="H13" s="71">
        <f t="shared" si="2"/>
        <v>0</v>
      </c>
      <c r="I13" s="71">
        <f t="shared" si="3"/>
        <v>1</v>
      </c>
      <c r="J13" s="71">
        <f t="shared" si="4"/>
        <v>0</v>
      </c>
      <c r="K13" s="16"/>
      <c r="L13" s="16"/>
      <c r="M13" s="17"/>
    </row>
    <row r="14" spans="1:13" ht="26.1" customHeight="1" x14ac:dyDescent="0.15">
      <c r="A14" s="22"/>
      <c r="B14" s="14" t="s">
        <v>25</v>
      </c>
      <c r="C14" s="34" t="s">
        <v>95</v>
      </c>
      <c r="D14" s="38"/>
      <c r="E14" s="38"/>
      <c r="F14" s="15" t="str">
        <f t="shared" si="0"/>
        <v/>
      </c>
      <c r="G14" s="71">
        <f t="shared" si="1"/>
        <v>0</v>
      </c>
      <c r="H14" s="71">
        <f t="shared" si="2"/>
        <v>0</v>
      </c>
      <c r="I14" s="71">
        <f t="shared" si="3"/>
        <v>1</v>
      </c>
      <c r="J14" s="71">
        <f t="shared" si="4"/>
        <v>0</v>
      </c>
      <c r="K14" s="16"/>
      <c r="L14" s="16"/>
      <c r="M14" s="17"/>
    </row>
    <row r="15" spans="1:13" ht="26.1" customHeight="1" x14ac:dyDescent="0.15">
      <c r="A15" s="22"/>
      <c r="B15" s="14" t="s">
        <v>26</v>
      </c>
      <c r="C15" s="34" t="s">
        <v>96</v>
      </c>
      <c r="D15" s="38"/>
      <c r="E15" s="38"/>
      <c r="F15" s="15" t="str">
        <f t="shared" si="0"/>
        <v/>
      </c>
      <c r="G15" s="71">
        <f t="shared" si="1"/>
        <v>0</v>
      </c>
      <c r="H15" s="71">
        <f t="shared" si="2"/>
        <v>0</v>
      </c>
      <c r="I15" s="71">
        <f t="shared" si="3"/>
        <v>1</v>
      </c>
      <c r="J15" s="71">
        <f t="shared" si="4"/>
        <v>0</v>
      </c>
      <c r="K15" s="16"/>
      <c r="L15" s="16"/>
      <c r="M15" s="17"/>
    </row>
    <row r="16" spans="1:13" ht="26.1" customHeight="1" x14ac:dyDescent="0.15">
      <c r="A16" s="22"/>
      <c r="B16" s="14" t="s">
        <v>58</v>
      </c>
      <c r="C16" s="34" t="s">
        <v>97</v>
      </c>
      <c r="D16" s="38"/>
      <c r="E16" s="38"/>
      <c r="F16" s="15" t="str">
        <f t="shared" si="0"/>
        <v/>
      </c>
      <c r="G16" s="71">
        <f t="shared" si="1"/>
        <v>0</v>
      </c>
      <c r="H16" s="71">
        <f t="shared" si="2"/>
        <v>0</v>
      </c>
      <c r="I16" s="71">
        <f t="shared" si="3"/>
        <v>1</v>
      </c>
      <c r="J16" s="71">
        <f t="shared" si="4"/>
        <v>0</v>
      </c>
      <c r="K16" s="16"/>
      <c r="L16" s="16"/>
      <c r="M16" s="17"/>
    </row>
    <row r="17" spans="1:13" ht="26.1" customHeight="1" x14ac:dyDescent="0.15">
      <c r="A17" s="22"/>
      <c r="B17" s="20" t="s">
        <v>27</v>
      </c>
      <c r="C17" s="35" t="s">
        <v>98</v>
      </c>
      <c r="D17" s="39"/>
      <c r="E17" s="39"/>
      <c r="F17" s="15" t="str">
        <f t="shared" si="0"/>
        <v/>
      </c>
      <c r="G17" s="71">
        <f t="shared" si="1"/>
        <v>0</v>
      </c>
      <c r="H17" s="71">
        <f t="shared" si="2"/>
        <v>0</v>
      </c>
      <c r="I17" s="71">
        <f t="shared" si="3"/>
        <v>1</v>
      </c>
      <c r="J17" s="71">
        <f t="shared" si="4"/>
        <v>0</v>
      </c>
      <c r="K17" s="16"/>
      <c r="L17" s="16"/>
      <c r="M17" s="17"/>
    </row>
    <row r="18" spans="1:13" ht="26.1" customHeight="1" x14ac:dyDescent="0.15">
      <c r="A18" s="22"/>
      <c r="B18" s="20" t="s">
        <v>28</v>
      </c>
      <c r="C18" s="35" t="s">
        <v>99</v>
      </c>
      <c r="D18" s="39"/>
      <c r="E18" s="39"/>
      <c r="F18" s="15" t="str">
        <f t="shared" si="0"/>
        <v/>
      </c>
      <c r="G18" s="71">
        <f t="shared" si="1"/>
        <v>0</v>
      </c>
      <c r="H18" s="71">
        <f t="shared" si="2"/>
        <v>0</v>
      </c>
      <c r="I18" s="71">
        <f t="shared" si="3"/>
        <v>1</v>
      </c>
      <c r="J18" s="71">
        <f t="shared" si="4"/>
        <v>0</v>
      </c>
      <c r="K18" s="16"/>
      <c r="L18" s="16"/>
      <c r="M18" s="17"/>
    </row>
    <row r="19" spans="1:13" ht="26.1" customHeight="1" x14ac:dyDescent="0.15">
      <c r="A19" s="22"/>
      <c r="B19" s="20" t="s">
        <v>29</v>
      </c>
      <c r="C19" s="35" t="s">
        <v>100</v>
      </c>
      <c r="D19" s="39"/>
      <c r="E19" s="39"/>
      <c r="F19" s="15" t="str">
        <f t="shared" si="0"/>
        <v/>
      </c>
      <c r="G19" s="71">
        <f t="shared" si="1"/>
        <v>0</v>
      </c>
      <c r="H19" s="71">
        <f t="shared" si="2"/>
        <v>0</v>
      </c>
      <c r="I19" s="71">
        <f t="shared" si="3"/>
        <v>1</v>
      </c>
      <c r="J19" s="71">
        <f t="shared" si="4"/>
        <v>0</v>
      </c>
      <c r="K19" s="16"/>
      <c r="L19" s="16"/>
      <c r="M19" s="17"/>
    </row>
    <row r="20" spans="1:13" ht="26.1" customHeight="1" x14ac:dyDescent="0.15">
      <c r="A20" s="22"/>
      <c r="B20" s="14" t="s">
        <v>30</v>
      </c>
      <c r="C20" s="34" t="s">
        <v>101</v>
      </c>
      <c r="D20" s="38"/>
      <c r="E20" s="38"/>
      <c r="F20" s="15" t="str">
        <f t="shared" si="0"/>
        <v/>
      </c>
      <c r="G20" s="71">
        <f t="shared" si="1"/>
        <v>0</v>
      </c>
      <c r="H20" s="71">
        <f t="shared" si="2"/>
        <v>0</v>
      </c>
      <c r="I20" s="71">
        <f t="shared" si="3"/>
        <v>1</v>
      </c>
      <c r="J20" s="71">
        <f t="shared" si="4"/>
        <v>0</v>
      </c>
      <c r="K20" s="16"/>
      <c r="L20" s="16"/>
      <c r="M20" s="17"/>
    </row>
    <row r="21" spans="1:13" ht="26.1" customHeight="1" x14ac:dyDescent="0.15">
      <c r="A21" s="22"/>
      <c r="B21" s="14" t="s">
        <v>31</v>
      </c>
      <c r="C21" s="34" t="s">
        <v>102</v>
      </c>
      <c r="D21" s="38"/>
      <c r="E21" s="38"/>
      <c r="F21" s="15" t="str">
        <f t="shared" si="0"/>
        <v/>
      </c>
      <c r="G21" s="71">
        <f t="shared" si="1"/>
        <v>0</v>
      </c>
      <c r="H21" s="71">
        <f t="shared" si="2"/>
        <v>0</v>
      </c>
      <c r="I21" s="71">
        <f t="shared" si="3"/>
        <v>1</v>
      </c>
      <c r="J21" s="71">
        <f t="shared" si="4"/>
        <v>0</v>
      </c>
      <c r="K21" s="16"/>
      <c r="L21" s="16"/>
      <c r="M21" s="17"/>
    </row>
    <row r="22" spans="1:13" ht="26.1" customHeight="1" x14ac:dyDescent="0.15">
      <c r="A22" s="22"/>
      <c r="B22" s="14" t="s">
        <v>32</v>
      </c>
      <c r="C22" s="34" t="s">
        <v>103</v>
      </c>
      <c r="D22" s="38"/>
      <c r="E22" s="38"/>
      <c r="F22" s="15" t="str">
        <f t="shared" si="0"/>
        <v/>
      </c>
      <c r="G22" s="71">
        <f t="shared" si="1"/>
        <v>0</v>
      </c>
      <c r="H22" s="71">
        <f t="shared" si="2"/>
        <v>0</v>
      </c>
      <c r="I22" s="71">
        <f t="shared" si="3"/>
        <v>1</v>
      </c>
      <c r="J22" s="71">
        <f t="shared" si="4"/>
        <v>0</v>
      </c>
      <c r="K22" s="16"/>
      <c r="L22" s="16"/>
      <c r="M22" s="17"/>
    </row>
    <row r="23" spans="1:13" ht="26.1" customHeight="1" x14ac:dyDescent="0.15">
      <c r="A23" s="22"/>
      <c r="B23" s="20" t="s">
        <v>33</v>
      </c>
      <c r="C23" s="35" t="s">
        <v>104</v>
      </c>
      <c r="D23" s="39"/>
      <c r="E23" s="39"/>
      <c r="F23" s="15" t="str">
        <f t="shared" si="0"/>
        <v/>
      </c>
      <c r="G23" s="71">
        <f t="shared" si="1"/>
        <v>0</v>
      </c>
      <c r="H23" s="71">
        <f t="shared" si="2"/>
        <v>0</v>
      </c>
      <c r="I23" s="71">
        <f t="shared" si="3"/>
        <v>1</v>
      </c>
      <c r="J23" s="71">
        <f t="shared" si="4"/>
        <v>0</v>
      </c>
      <c r="K23" s="16"/>
      <c r="L23" s="16"/>
      <c r="M23" s="17"/>
    </row>
    <row r="24" spans="1:13" ht="26.1" customHeight="1" x14ac:dyDescent="0.15">
      <c r="A24" s="22"/>
      <c r="B24" s="20" t="s">
        <v>34</v>
      </c>
      <c r="C24" s="35" t="s">
        <v>105</v>
      </c>
      <c r="D24" s="39"/>
      <c r="E24" s="39"/>
      <c r="F24" s="15" t="str">
        <f t="shared" si="0"/>
        <v/>
      </c>
      <c r="G24" s="71">
        <f t="shared" si="1"/>
        <v>0</v>
      </c>
      <c r="H24" s="71">
        <f t="shared" si="2"/>
        <v>0</v>
      </c>
      <c r="I24" s="71">
        <f t="shared" si="3"/>
        <v>1</v>
      </c>
      <c r="J24" s="71">
        <f t="shared" si="4"/>
        <v>0</v>
      </c>
      <c r="K24" s="16"/>
      <c r="L24" s="16"/>
      <c r="M24" s="17"/>
    </row>
    <row r="25" spans="1:13" ht="26.1" customHeight="1" x14ac:dyDescent="0.15">
      <c r="A25" s="22"/>
      <c r="B25" s="20" t="s">
        <v>35</v>
      </c>
      <c r="C25" s="35" t="s">
        <v>106</v>
      </c>
      <c r="D25" s="39"/>
      <c r="E25" s="39"/>
      <c r="F25" s="15" t="str">
        <f t="shared" si="0"/>
        <v/>
      </c>
      <c r="G25" s="71">
        <f t="shared" si="1"/>
        <v>0</v>
      </c>
      <c r="H25" s="71">
        <f t="shared" si="2"/>
        <v>0</v>
      </c>
      <c r="I25" s="71">
        <f t="shared" si="3"/>
        <v>1</v>
      </c>
      <c r="J25" s="71">
        <f t="shared" si="4"/>
        <v>0</v>
      </c>
      <c r="K25" s="16"/>
      <c r="L25" s="16"/>
      <c r="M25" s="17"/>
    </row>
    <row r="26" spans="1:13" ht="26.1" customHeight="1" x14ac:dyDescent="0.15">
      <c r="A26" s="22"/>
      <c r="B26" s="14" t="s">
        <v>36</v>
      </c>
      <c r="C26" s="34" t="s">
        <v>107</v>
      </c>
      <c r="D26" s="38"/>
      <c r="E26" s="38"/>
      <c r="F26" s="15" t="str">
        <f t="shared" si="0"/>
        <v/>
      </c>
      <c r="G26" s="71">
        <f t="shared" si="1"/>
        <v>0</v>
      </c>
      <c r="H26" s="71">
        <f t="shared" si="2"/>
        <v>0</v>
      </c>
      <c r="I26" s="71">
        <f t="shared" si="3"/>
        <v>1</v>
      </c>
      <c r="J26" s="71">
        <f t="shared" si="4"/>
        <v>0</v>
      </c>
      <c r="K26" s="16"/>
      <c r="L26" s="16"/>
      <c r="M26" s="17"/>
    </row>
    <row r="27" spans="1:13" ht="26.1" customHeight="1" x14ac:dyDescent="0.15">
      <c r="A27" s="22"/>
      <c r="B27" s="14" t="s">
        <v>37</v>
      </c>
      <c r="C27" s="34" t="s">
        <v>108</v>
      </c>
      <c r="D27" s="38"/>
      <c r="E27" s="38"/>
      <c r="F27" s="15" t="str">
        <f t="shared" si="0"/>
        <v/>
      </c>
      <c r="G27" s="71">
        <f t="shared" si="1"/>
        <v>0</v>
      </c>
      <c r="H27" s="71">
        <f t="shared" si="2"/>
        <v>0</v>
      </c>
      <c r="I27" s="71">
        <f t="shared" si="3"/>
        <v>1</v>
      </c>
      <c r="J27" s="71">
        <f t="shared" si="4"/>
        <v>0</v>
      </c>
      <c r="K27" s="16"/>
      <c r="L27" s="16"/>
      <c r="M27" s="17"/>
    </row>
    <row r="28" spans="1:13" ht="26.1" customHeight="1" x14ac:dyDescent="0.15">
      <c r="A28" s="22"/>
      <c r="B28" s="14" t="s">
        <v>38</v>
      </c>
      <c r="C28" s="34" t="s">
        <v>109</v>
      </c>
      <c r="D28" s="38"/>
      <c r="E28" s="38"/>
      <c r="F28" s="15" t="str">
        <f t="shared" si="0"/>
        <v/>
      </c>
      <c r="G28" s="71">
        <f t="shared" si="1"/>
        <v>0</v>
      </c>
      <c r="H28" s="71">
        <f t="shared" si="2"/>
        <v>0</v>
      </c>
      <c r="I28" s="71">
        <f t="shared" si="3"/>
        <v>1</v>
      </c>
      <c r="J28" s="71">
        <f t="shared" si="4"/>
        <v>0</v>
      </c>
      <c r="K28" s="16"/>
      <c r="L28" s="16"/>
      <c r="M28" s="17"/>
    </row>
    <row r="29" spans="1:13" ht="26.1" customHeight="1" x14ac:dyDescent="0.15">
      <c r="A29" s="22"/>
      <c r="B29" s="20" t="s">
        <v>18</v>
      </c>
      <c r="C29" s="35" t="s">
        <v>110</v>
      </c>
      <c r="D29" s="39"/>
      <c r="E29" s="39"/>
      <c r="F29" s="15" t="str">
        <f t="shared" si="0"/>
        <v/>
      </c>
      <c r="G29" s="71">
        <f t="shared" si="1"/>
        <v>0</v>
      </c>
      <c r="H29" s="71">
        <f t="shared" si="2"/>
        <v>0</v>
      </c>
      <c r="I29" s="71">
        <f t="shared" si="3"/>
        <v>1</v>
      </c>
      <c r="J29" s="71">
        <f t="shared" si="4"/>
        <v>0</v>
      </c>
      <c r="K29" s="16"/>
      <c r="L29" s="16"/>
      <c r="M29" s="17"/>
    </row>
    <row r="30" spans="1:13" ht="26.1" customHeight="1" x14ac:dyDescent="0.15">
      <c r="A30" s="22"/>
      <c r="B30" s="20" t="s">
        <v>39</v>
      </c>
      <c r="C30" s="35" t="s">
        <v>111</v>
      </c>
      <c r="D30" s="39"/>
      <c r="E30" s="39"/>
      <c r="F30" s="15" t="str">
        <f t="shared" si="0"/>
        <v/>
      </c>
      <c r="G30" s="71">
        <f t="shared" si="1"/>
        <v>0</v>
      </c>
      <c r="H30" s="71">
        <f t="shared" si="2"/>
        <v>0</v>
      </c>
      <c r="I30" s="71">
        <f t="shared" si="3"/>
        <v>1</v>
      </c>
      <c r="J30" s="71">
        <f t="shared" si="4"/>
        <v>0</v>
      </c>
      <c r="K30" s="16"/>
      <c r="L30" s="16"/>
      <c r="M30" s="17"/>
    </row>
    <row r="31" spans="1:13" ht="26.1" customHeight="1" x14ac:dyDescent="0.15">
      <c r="A31" s="22"/>
      <c r="B31" s="20" t="s">
        <v>40</v>
      </c>
      <c r="C31" s="35" t="s">
        <v>112</v>
      </c>
      <c r="D31" s="39"/>
      <c r="E31" s="39"/>
      <c r="F31" s="15" t="str">
        <f t="shared" si="0"/>
        <v/>
      </c>
      <c r="G31" s="71">
        <f t="shared" si="1"/>
        <v>0</v>
      </c>
      <c r="H31" s="71">
        <f t="shared" si="2"/>
        <v>0</v>
      </c>
      <c r="I31" s="71">
        <f t="shared" si="3"/>
        <v>1</v>
      </c>
      <c r="J31" s="71">
        <f t="shared" si="4"/>
        <v>0</v>
      </c>
      <c r="K31" s="16"/>
      <c r="L31" s="16"/>
      <c r="M31" s="17"/>
    </row>
    <row r="32" spans="1:13" ht="26.1" customHeight="1" x14ac:dyDescent="0.15">
      <c r="A32" s="22"/>
      <c r="B32" s="14" t="s">
        <v>41</v>
      </c>
      <c r="C32" s="34" t="s">
        <v>113</v>
      </c>
      <c r="D32" s="38"/>
      <c r="E32" s="38"/>
      <c r="F32" s="15" t="str">
        <f t="shared" si="0"/>
        <v/>
      </c>
      <c r="G32" s="71">
        <f t="shared" si="1"/>
        <v>0</v>
      </c>
      <c r="H32" s="71">
        <f t="shared" si="2"/>
        <v>0</v>
      </c>
      <c r="I32" s="71">
        <f t="shared" si="3"/>
        <v>1</v>
      </c>
      <c r="J32" s="71">
        <f t="shared" si="4"/>
        <v>0</v>
      </c>
      <c r="K32" s="16"/>
      <c r="L32" s="16"/>
      <c r="M32" s="17"/>
    </row>
    <row r="33" spans="1:13" ht="26.1" customHeight="1" x14ac:dyDescent="0.15">
      <c r="A33" s="22"/>
      <c r="B33" s="14" t="s">
        <v>42</v>
      </c>
      <c r="C33" s="34" t="s">
        <v>114</v>
      </c>
      <c r="D33" s="38"/>
      <c r="E33" s="38"/>
      <c r="F33" s="15" t="str">
        <f t="shared" si="0"/>
        <v/>
      </c>
      <c r="G33" s="71">
        <f t="shared" si="1"/>
        <v>0</v>
      </c>
      <c r="H33" s="71">
        <f t="shared" si="2"/>
        <v>0</v>
      </c>
      <c r="I33" s="71">
        <f t="shared" si="3"/>
        <v>1</v>
      </c>
      <c r="J33" s="71">
        <f t="shared" si="4"/>
        <v>0</v>
      </c>
      <c r="K33" s="16"/>
      <c r="L33" s="16"/>
      <c r="M33" s="17"/>
    </row>
    <row r="34" spans="1:13" ht="26.1" customHeight="1" x14ac:dyDescent="0.15">
      <c r="A34" s="22"/>
      <c r="B34" s="14" t="s">
        <v>43</v>
      </c>
      <c r="C34" s="34" t="s">
        <v>115</v>
      </c>
      <c r="D34" s="38"/>
      <c r="E34" s="38"/>
      <c r="F34" s="15" t="str">
        <f t="shared" si="0"/>
        <v/>
      </c>
      <c r="G34" s="71">
        <f t="shared" si="1"/>
        <v>0</v>
      </c>
      <c r="H34" s="71">
        <f t="shared" si="2"/>
        <v>0</v>
      </c>
      <c r="I34" s="71">
        <f t="shared" si="3"/>
        <v>1</v>
      </c>
      <c r="J34" s="71">
        <f t="shared" si="4"/>
        <v>0</v>
      </c>
      <c r="K34" s="16"/>
      <c r="L34" s="16"/>
      <c r="M34" s="17"/>
    </row>
    <row r="35" spans="1:13" ht="26.1" customHeight="1" x14ac:dyDescent="0.15">
      <c r="A35" s="22"/>
      <c r="B35" s="20" t="s">
        <v>3</v>
      </c>
      <c r="C35" s="35" t="s">
        <v>116</v>
      </c>
      <c r="D35" s="39"/>
      <c r="E35" s="39"/>
      <c r="F35" s="15" t="str">
        <f t="shared" si="0"/>
        <v/>
      </c>
      <c r="G35" s="71">
        <f t="shared" si="1"/>
        <v>0</v>
      </c>
      <c r="H35" s="71">
        <f t="shared" si="2"/>
        <v>0</v>
      </c>
      <c r="I35" s="71">
        <f t="shared" si="3"/>
        <v>1</v>
      </c>
      <c r="J35" s="71">
        <f t="shared" si="4"/>
        <v>0</v>
      </c>
      <c r="K35" s="16"/>
      <c r="L35" s="16"/>
      <c r="M35" s="17"/>
    </row>
    <row r="36" spans="1:13" ht="26.1" customHeight="1" x14ac:dyDescent="0.15">
      <c r="A36" s="22"/>
      <c r="B36" s="20" t="s">
        <v>6</v>
      </c>
      <c r="C36" s="35" t="s">
        <v>117</v>
      </c>
      <c r="D36" s="39"/>
      <c r="E36" s="39"/>
      <c r="F36" s="15" t="str">
        <f t="shared" si="0"/>
        <v/>
      </c>
      <c r="G36" s="71">
        <f t="shared" si="1"/>
        <v>0</v>
      </c>
      <c r="H36" s="71">
        <f t="shared" si="2"/>
        <v>0</v>
      </c>
      <c r="I36" s="71">
        <f t="shared" si="3"/>
        <v>1</v>
      </c>
      <c r="J36" s="71">
        <f t="shared" si="4"/>
        <v>0</v>
      </c>
      <c r="K36" s="16"/>
      <c r="L36" s="16"/>
      <c r="M36" s="17"/>
    </row>
    <row r="37" spans="1:13" ht="26.1" customHeight="1" x14ac:dyDescent="0.15">
      <c r="A37" s="22"/>
      <c r="B37" s="20" t="s">
        <v>0</v>
      </c>
      <c r="C37" s="35" t="s">
        <v>118</v>
      </c>
      <c r="D37" s="39"/>
      <c r="E37" s="39"/>
      <c r="F37" s="15" t="str">
        <f t="shared" si="0"/>
        <v/>
      </c>
      <c r="G37" s="71">
        <f t="shared" si="1"/>
        <v>0</v>
      </c>
      <c r="H37" s="71">
        <f t="shared" si="2"/>
        <v>0</v>
      </c>
      <c r="I37" s="71">
        <f t="shared" si="3"/>
        <v>1</v>
      </c>
      <c r="J37" s="71">
        <f t="shared" si="4"/>
        <v>0</v>
      </c>
      <c r="K37" s="16"/>
      <c r="L37" s="16"/>
      <c r="M37" s="17"/>
    </row>
    <row r="38" spans="1:13" ht="26.1" customHeight="1" x14ac:dyDescent="0.15">
      <c r="A38" s="22"/>
      <c r="B38" s="14" t="s">
        <v>44</v>
      </c>
      <c r="C38" s="34" t="s">
        <v>119</v>
      </c>
      <c r="D38" s="38"/>
      <c r="E38" s="38"/>
      <c r="F38" s="15" t="str">
        <f t="shared" si="0"/>
        <v/>
      </c>
      <c r="G38" s="71">
        <f t="shared" si="1"/>
        <v>0</v>
      </c>
      <c r="H38" s="71">
        <f t="shared" si="2"/>
        <v>0</v>
      </c>
      <c r="I38" s="71">
        <f t="shared" si="3"/>
        <v>1</v>
      </c>
      <c r="J38" s="71">
        <f t="shared" si="4"/>
        <v>0</v>
      </c>
      <c r="K38" s="16"/>
      <c r="L38" s="16"/>
      <c r="M38" s="17"/>
    </row>
    <row r="39" spans="1:13" ht="26.1" customHeight="1" x14ac:dyDescent="0.15">
      <c r="A39" s="22"/>
      <c r="B39" s="14" t="s">
        <v>45</v>
      </c>
      <c r="C39" s="34" t="s">
        <v>120</v>
      </c>
      <c r="D39" s="38"/>
      <c r="E39" s="38"/>
      <c r="F39" s="15" t="str">
        <f t="shared" si="0"/>
        <v/>
      </c>
      <c r="G39" s="71">
        <f t="shared" si="1"/>
        <v>0</v>
      </c>
      <c r="H39" s="71">
        <f t="shared" si="2"/>
        <v>0</v>
      </c>
      <c r="I39" s="71">
        <f t="shared" si="3"/>
        <v>1</v>
      </c>
      <c r="J39" s="71">
        <f t="shared" si="4"/>
        <v>0</v>
      </c>
      <c r="K39" s="16"/>
      <c r="L39" s="16"/>
      <c r="M39" s="17"/>
    </row>
    <row r="40" spans="1:13" ht="26.1" customHeight="1" x14ac:dyDescent="0.15">
      <c r="A40" s="22"/>
      <c r="B40" s="14" t="s">
        <v>46</v>
      </c>
      <c r="C40" s="34" t="s">
        <v>121</v>
      </c>
      <c r="D40" s="38"/>
      <c r="E40" s="38"/>
      <c r="F40" s="15" t="str">
        <f t="shared" si="0"/>
        <v/>
      </c>
      <c r="G40" s="71">
        <f t="shared" si="1"/>
        <v>0</v>
      </c>
      <c r="H40" s="71">
        <f t="shared" si="2"/>
        <v>0</v>
      </c>
      <c r="I40" s="71">
        <f t="shared" si="3"/>
        <v>1</v>
      </c>
      <c r="J40" s="71">
        <f t="shared" si="4"/>
        <v>0</v>
      </c>
      <c r="K40" s="16"/>
      <c r="L40" s="16"/>
      <c r="M40" s="17"/>
    </row>
    <row r="41" spans="1:13" ht="26.1" customHeight="1" x14ac:dyDescent="0.15">
      <c r="A41" s="22"/>
      <c r="B41" s="20" t="s">
        <v>1</v>
      </c>
      <c r="C41" s="35" t="s">
        <v>122</v>
      </c>
      <c r="D41" s="39"/>
      <c r="E41" s="39"/>
      <c r="F41" s="15" t="str">
        <f t="shared" si="0"/>
        <v/>
      </c>
      <c r="G41" s="71">
        <f t="shared" si="1"/>
        <v>0</v>
      </c>
      <c r="H41" s="71">
        <f t="shared" si="2"/>
        <v>0</v>
      </c>
      <c r="I41" s="71">
        <f t="shared" si="3"/>
        <v>1</v>
      </c>
      <c r="J41" s="71">
        <f t="shared" si="4"/>
        <v>0</v>
      </c>
      <c r="K41" s="16"/>
      <c r="L41" s="16"/>
      <c r="M41" s="17"/>
    </row>
    <row r="42" spans="1:13" ht="26.1" customHeight="1" x14ac:dyDescent="0.15">
      <c r="A42" s="22"/>
      <c r="B42" s="20" t="s">
        <v>2</v>
      </c>
      <c r="C42" s="35" t="s">
        <v>123</v>
      </c>
      <c r="D42" s="39"/>
      <c r="E42" s="39"/>
      <c r="F42" s="15" t="str">
        <f t="shared" si="0"/>
        <v/>
      </c>
      <c r="G42" s="71">
        <f t="shared" si="1"/>
        <v>0</v>
      </c>
      <c r="H42" s="71">
        <f t="shared" si="2"/>
        <v>0</v>
      </c>
      <c r="I42" s="71">
        <f t="shared" si="3"/>
        <v>1</v>
      </c>
      <c r="J42" s="71">
        <f t="shared" si="4"/>
        <v>0</v>
      </c>
      <c r="K42" s="16"/>
      <c r="L42" s="16"/>
      <c r="M42" s="17"/>
    </row>
    <row r="43" spans="1:13" ht="26.1" customHeight="1" x14ac:dyDescent="0.15">
      <c r="A43" s="22"/>
      <c r="B43" s="20" t="s">
        <v>47</v>
      </c>
      <c r="C43" s="35" t="s">
        <v>124</v>
      </c>
      <c r="D43" s="39"/>
      <c r="E43" s="39"/>
      <c r="F43" s="15" t="str">
        <f t="shared" si="0"/>
        <v/>
      </c>
      <c r="G43" s="71">
        <f t="shared" si="1"/>
        <v>0</v>
      </c>
      <c r="H43" s="71">
        <f t="shared" si="2"/>
        <v>0</v>
      </c>
      <c r="I43" s="71">
        <f t="shared" si="3"/>
        <v>1</v>
      </c>
      <c r="J43" s="71">
        <f t="shared" si="4"/>
        <v>0</v>
      </c>
      <c r="K43" s="16"/>
      <c r="L43" s="16"/>
      <c r="M43" s="17"/>
    </row>
    <row r="44" spans="1:13" ht="26.1" customHeight="1" x14ac:dyDescent="0.15">
      <c r="A44" s="22"/>
      <c r="B44" s="14" t="s">
        <v>5</v>
      </c>
      <c r="C44" s="34" t="s">
        <v>125</v>
      </c>
      <c r="D44" s="38"/>
      <c r="E44" s="38"/>
      <c r="F44" s="15" t="str">
        <f t="shared" si="0"/>
        <v/>
      </c>
      <c r="G44" s="71">
        <f t="shared" si="1"/>
        <v>0</v>
      </c>
      <c r="H44" s="71">
        <f t="shared" si="2"/>
        <v>0</v>
      </c>
      <c r="I44" s="71">
        <f t="shared" si="3"/>
        <v>1</v>
      </c>
      <c r="J44" s="71">
        <f t="shared" si="4"/>
        <v>0</v>
      </c>
      <c r="K44" s="16"/>
      <c r="L44" s="16"/>
      <c r="M44" s="17"/>
    </row>
    <row r="45" spans="1:13" ht="26.1" customHeight="1" x14ac:dyDescent="0.15">
      <c r="A45" s="22"/>
      <c r="B45" s="14" t="s">
        <v>51</v>
      </c>
      <c r="C45" s="34" t="s">
        <v>126</v>
      </c>
      <c r="D45" s="38"/>
      <c r="E45" s="38"/>
      <c r="F45" s="15" t="str">
        <f t="shared" si="0"/>
        <v/>
      </c>
      <c r="G45" s="71">
        <f t="shared" si="1"/>
        <v>0</v>
      </c>
      <c r="H45" s="71">
        <f t="shared" si="2"/>
        <v>0</v>
      </c>
      <c r="I45" s="71">
        <f t="shared" si="3"/>
        <v>1</v>
      </c>
      <c r="J45" s="71">
        <f t="shared" si="4"/>
        <v>0</v>
      </c>
      <c r="K45" s="16"/>
      <c r="L45" s="16"/>
      <c r="M45" s="17"/>
    </row>
    <row r="46" spans="1:13" ht="26.1" customHeight="1" x14ac:dyDescent="0.15">
      <c r="A46" s="22"/>
      <c r="B46" s="14" t="s">
        <v>52</v>
      </c>
      <c r="C46" s="34" t="s">
        <v>127</v>
      </c>
      <c r="D46" s="38"/>
      <c r="E46" s="38"/>
      <c r="F46" s="15" t="str">
        <f t="shared" si="0"/>
        <v/>
      </c>
      <c r="G46" s="71">
        <f t="shared" si="1"/>
        <v>0</v>
      </c>
      <c r="H46" s="71">
        <f t="shared" si="2"/>
        <v>0</v>
      </c>
      <c r="I46" s="71">
        <f t="shared" si="3"/>
        <v>1</v>
      </c>
      <c r="J46" s="71">
        <f t="shared" si="4"/>
        <v>0</v>
      </c>
      <c r="K46" s="16"/>
      <c r="L46" s="16"/>
      <c r="M46" s="17"/>
    </row>
    <row r="47" spans="1:13" ht="26.1" customHeight="1" x14ac:dyDescent="0.15">
      <c r="A47" s="22"/>
      <c r="B47" s="20" t="s">
        <v>48</v>
      </c>
      <c r="C47" s="35" t="s">
        <v>128</v>
      </c>
      <c r="D47" s="39"/>
      <c r="E47" s="39"/>
      <c r="F47" s="15" t="str">
        <f t="shared" si="0"/>
        <v/>
      </c>
      <c r="G47" s="71">
        <f t="shared" si="1"/>
        <v>0</v>
      </c>
      <c r="H47" s="71">
        <f t="shared" si="2"/>
        <v>0</v>
      </c>
      <c r="I47" s="71">
        <f t="shared" si="3"/>
        <v>1</v>
      </c>
      <c r="J47" s="71">
        <f t="shared" si="4"/>
        <v>0</v>
      </c>
      <c r="K47" s="16"/>
      <c r="L47" s="16"/>
      <c r="M47" s="17"/>
    </row>
    <row r="48" spans="1:13" ht="26.1" customHeight="1" x14ac:dyDescent="0.15">
      <c r="A48" s="22"/>
      <c r="B48" s="20" t="s">
        <v>49</v>
      </c>
      <c r="C48" s="35" t="s">
        <v>129</v>
      </c>
      <c r="D48" s="39"/>
      <c r="E48" s="39"/>
      <c r="F48" s="15" t="str">
        <f t="shared" si="0"/>
        <v/>
      </c>
      <c r="G48" s="71">
        <f t="shared" si="1"/>
        <v>0</v>
      </c>
      <c r="H48" s="71">
        <f t="shared" si="2"/>
        <v>0</v>
      </c>
      <c r="I48" s="71">
        <f t="shared" si="3"/>
        <v>1</v>
      </c>
      <c r="J48" s="71">
        <f t="shared" si="4"/>
        <v>0</v>
      </c>
      <c r="K48" s="16"/>
      <c r="L48" s="16"/>
      <c r="M48" s="17"/>
    </row>
    <row r="49" spans="1:13" ht="26.1" customHeight="1" x14ac:dyDescent="0.15">
      <c r="A49" s="23"/>
      <c r="B49" s="20" t="s">
        <v>50</v>
      </c>
      <c r="C49" s="35" t="s">
        <v>130</v>
      </c>
      <c r="D49" s="39"/>
      <c r="E49" s="39"/>
      <c r="F49" s="15" t="str">
        <f t="shared" si="0"/>
        <v/>
      </c>
      <c r="G49" s="71">
        <f t="shared" si="1"/>
        <v>0</v>
      </c>
      <c r="H49" s="71">
        <f t="shared" si="2"/>
        <v>0</v>
      </c>
      <c r="I49" s="71">
        <f t="shared" si="3"/>
        <v>1</v>
      </c>
      <c r="J49" s="71">
        <f t="shared" si="4"/>
        <v>0</v>
      </c>
      <c r="K49" s="16"/>
      <c r="L49" s="16"/>
      <c r="M49" s="17"/>
    </row>
    <row r="50" spans="1:13" ht="26.1" customHeight="1" x14ac:dyDescent="0.15">
      <c r="A50" s="56">
        <v>2</v>
      </c>
      <c r="B50" s="24" t="s">
        <v>41</v>
      </c>
      <c r="C50" s="36" t="s">
        <v>131</v>
      </c>
      <c r="D50" s="40"/>
      <c r="E50" s="40"/>
      <c r="F50" s="15" t="str">
        <f t="shared" si="0"/>
        <v/>
      </c>
      <c r="G50" s="71">
        <f t="shared" si="1"/>
        <v>0</v>
      </c>
      <c r="H50" s="71">
        <f t="shared" si="2"/>
        <v>0</v>
      </c>
      <c r="I50" s="71">
        <f t="shared" si="3"/>
        <v>1</v>
      </c>
      <c r="J50" s="71">
        <f t="shared" si="4"/>
        <v>0</v>
      </c>
      <c r="K50" s="16"/>
      <c r="L50" s="16"/>
      <c r="M50" s="17"/>
    </row>
    <row r="51" spans="1:13" ht="26.1" customHeight="1" x14ac:dyDescent="0.15">
      <c r="A51" s="22"/>
      <c r="B51" s="24" t="s">
        <v>42</v>
      </c>
      <c r="C51" s="36" t="s">
        <v>132</v>
      </c>
      <c r="D51" s="40"/>
      <c r="E51" s="40"/>
      <c r="F51" s="15" t="str">
        <f t="shared" si="0"/>
        <v/>
      </c>
      <c r="G51" s="71">
        <f t="shared" si="1"/>
        <v>0</v>
      </c>
      <c r="H51" s="71">
        <f t="shared" si="2"/>
        <v>0</v>
      </c>
      <c r="I51" s="71">
        <f t="shared" si="3"/>
        <v>1</v>
      </c>
      <c r="J51" s="71">
        <f t="shared" si="4"/>
        <v>0</v>
      </c>
      <c r="K51" s="16"/>
      <c r="L51" s="16"/>
      <c r="M51" s="17"/>
    </row>
    <row r="52" spans="1:13" ht="26.1" customHeight="1" x14ac:dyDescent="0.15">
      <c r="A52" s="22"/>
      <c r="B52" s="24" t="s">
        <v>43</v>
      </c>
      <c r="C52" s="36" t="s">
        <v>133</v>
      </c>
      <c r="D52" s="40"/>
      <c r="E52" s="40"/>
      <c r="F52" s="15" t="str">
        <f t="shared" si="0"/>
        <v/>
      </c>
      <c r="G52" s="71">
        <f t="shared" si="1"/>
        <v>0</v>
      </c>
      <c r="H52" s="71">
        <f t="shared" si="2"/>
        <v>0</v>
      </c>
      <c r="I52" s="71">
        <f t="shared" si="3"/>
        <v>1</v>
      </c>
      <c r="J52" s="71">
        <f t="shared" si="4"/>
        <v>0</v>
      </c>
      <c r="K52" s="16"/>
      <c r="L52" s="16"/>
      <c r="M52" s="17"/>
    </row>
    <row r="53" spans="1:13" ht="26.1" customHeight="1" x14ac:dyDescent="0.15">
      <c r="A53" s="22"/>
      <c r="B53" s="25" t="s">
        <v>3</v>
      </c>
      <c r="C53" s="37" t="s">
        <v>134</v>
      </c>
      <c r="D53" s="41"/>
      <c r="E53" s="41"/>
      <c r="F53" s="15" t="str">
        <f t="shared" si="0"/>
        <v/>
      </c>
      <c r="G53" s="71">
        <f t="shared" si="1"/>
        <v>0</v>
      </c>
      <c r="H53" s="71">
        <f t="shared" si="2"/>
        <v>0</v>
      </c>
      <c r="I53" s="71">
        <f t="shared" si="3"/>
        <v>1</v>
      </c>
      <c r="J53" s="71">
        <f t="shared" si="4"/>
        <v>0</v>
      </c>
      <c r="K53" s="16"/>
      <c r="L53" s="16"/>
      <c r="M53" s="17"/>
    </row>
    <row r="54" spans="1:13" ht="26.1" customHeight="1" x14ac:dyDescent="0.15">
      <c r="A54" s="22"/>
      <c r="B54" s="25" t="s">
        <v>6</v>
      </c>
      <c r="C54" s="37" t="s">
        <v>135</v>
      </c>
      <c r="D54" s="41"/>
      <c r="E54" s="41"/>
      <c r="F54" s="15" t="str">
        <f t="shared" si="0"/>
        <v/>
      </c>
      <c r="G54" s="71">
        <f t="shared" si="1"/>
        <v>0</v>
      </c>
      <c r="H54" s="71">
        <f t="shared" si="2"/>
        <v>0</v>
      </c>
      <c r="I54" s="71">
        <f t="shared" si="3"/>
        <v>1</v>
      </c>
      <c r="J54" s="71">
        <f t="shared" si="4"/>
        <v>0</v>
      </c>
      <c r="K54" s="16"/>
      <c r="L54" s="16"/>
      <c r="M54" s="17"/>
    </row>
    <row r="55" spans="1:13" ht="26.1" customHeight="1" x14ac:dyDescent="0.15">
      <c r="A55" s="22"/>
      <c r="B55" s="25" t="s">
        <v>0</v>
      </c>
      <c r="C55" s="37" t="s">
        <v>136</v>
      </c>
      <c r="D55" s="41"/>
      <c r="E55" s="41"/>
      <c r="F55" s="15" t="str">
        <f t="shared" si="0"/>
        <v/>
      </c>
      <c r="G55" s="71">
        <f t="shared" si="1"/>
        <v>0</v>
      </c>
      <c r="H55" s="71">
        <f t="shared" si="2"/>
        <v>0</v>
      </c>
      <c r="I55" s="71">
        <f t="shared" si="3"/>
        <v>1</v>
      </c>
      <c r="J55" s="71">
        <f t="shared" si="4"/>
        <v>0</v>
      </c>
      <c r="K55" s="16"/>
      <c r="L55" s="16"/>
      <c r="M55" s="17"/>
    </row>
    <row r="56" spans="1:13" ht="26.1" customHeight="1" x14ac:dyDescent="0.15">
      <c r="A56" s="22"/>
      <c r="B56" s="24" t="s">
        <v>44</v>
      </c>
      <c r="C56" s="36" t="s">
        <v>137</v>
      </c>
      <c r="D56" s="40"/>
      <c r="E56" s="40"/>
      <c r="F56" s="15" t="str">
        <f t="shared" si="0"/>
        <v/>
      </c>
      <c r="G56" s="71">
        <f t="shared" si="1"/>
        <v>0</v>
      </c>
      <c r="H56" s="71">
        <f t="shared" si="2"/>
        <v>0</v>
      </c>
      <c r="I56" s="71">
        <f t="shared" si="3"/>
        <v>1</v>
      </c>
      <c r="J56" s="71">
        <f t="shared" si="4"/>
        <v>0</v>
      </c>
      <c r="K56" s="16"/>
      <c r="L56" s="16"/>
      <c r="M56" s="17"/>
    </row>
    <row r="57" spans="1:13" ht="26.1" customHeight="1" x14ac:dyDescent="0.15">
      <c r="A57" s="22"/>
      <c r="B57" s="24" t="s">
        <v>45</v>
      </c>
      <c r="C57" s="36" t="s">
        <v>138</v>
      </c>
      <c r="D57" s="40"/>
      <c r="E57" s="40"/>
      <c r="F57" s="15" t="str">
        <f t="shared" si="0"/>
        <v/>
      </c>
      <c r="G57" s="71">
        <f t="shared" si="1"/>
        <v>0</v>
      </c>
      <c r="H57" s="71">
        <f t="shared" si="2"/>
        <v>0</v>
      </c>
      <c r="I57" s="71">
        <f t="shared" si="3"/>
        <v>1</v>
      </c>
      <c r="J57" s="71">
        <f t="shared" si="4"/>
        <v>0</v>
      </c>
      <c r="K57" s="16"/>
      <c r="L57" s="16"/>
      <c r="M57" s="17"/>
    </row>
    <row r="58" spans="1:13" ht="26.1" customHeight="1" x14ac:dyDescent="0.15">
      <c r="A58" s="22"/>
      <c r="B58" s="24" t="s">
        <v>46</v>
      </c>
      <c r="C58" s="36" t="s">
        <v>139</v>
      </c>
      <c r="D58" s="40"/>
      <c r="E58" s="40"/>
      <c r="F58" s="15" t="str">
        <f t="shared" si="0"/>
        <v/>
      </c>
      <c r="G58" s="71">
        <f t="shared" si="1"/>
        <v>0</v>
      </c>
      <c r="H58" s="71">
        <f t="shared" si="2"/>
        <v>0</v>
      </c>
      <c r="I58" s="71">
        <f t="shared" si="3"/>
        <v>1</v>
      </c>
      <c r="J58" s="71">
        <f t="shared" si="4"/>
        <v>0</v>
      </c>
      <c r="K58" s="16"/>
      <c r="L58" s="16"/>
      <c r="M58" s="17"/>
    </row>
    <row r="59" spans="1:13" ht="26.1" customHeight="1" x14ac:dyDescent="0.15">
      <c r="A59" s="22"/>
      <c r="B59" s="25" t="s">
        <v>1</v>
      </c>
      <c r="C59" s="37" t="s">
        <v>140</v>
      </c>
      <c r="D59" s="41"/>
      <c r="E59" s="41"/>
      <c r="F59" s="15" t="str">
        <f t="shared" si="0"/>
        <v/>
      </c>
      <c r="G59" s="71">
        <f t="shared" si="1"/>
        <v>0</v>
      </c>
      <c r="H59" s="71">
        <f t="shared" si="2"/>
        <v>0</v>
      </c>
      <c r="I59" s="71">
        <f t="shared" si="3"/>
        <v>1</v>
      </c>
      <c r="J59" s="71">
        <f t="shared" si="4"/>
        <v>0</v>
      </c>
      <c r="K59" s="16"/>
      <c r="L59" s="16"/>
      <c r="M59" s="17"/>
    </row>
    <row r="60" spans="1:13" ht="26.1" customHeight="1" x14ac:dyDescent="0.15">
      <c r="A60" s="22"/>
      <c r="B60" s="25" t="s">
        <v>2</v>
      </c>
      <c r="C60" s="37" t="s">
        <v>141</v>
      </c>
      <c r="D60" s="41"/>
      <c r="E60" s="41"/>
      <c r="F60" s="15" t="str">
        <f t="shared" si="0"/>
        <v/>
      </c>
      <c r="G60" s="71">
        <f t="shared" si="1"/>
        <v>0</v>
      </c>
      <c r="H60" s="71">
        <f t="shared" si="2"/>
        <v>0</v>
      </c>
      <c r="I60" s="71">
        <f t="shared" si="3"/>
        <v>1</v>
      </c>
      <c r="J60" s="71">
        <f t="shared" si="4"/>
        <v>0</v>
      </c>
      <c r="K60" s="16"/>
      <c r="L60" s="16"/>
      <c r="M60" s="17"/>
    </row>
    <row r="61" spans="1:13" ht="26.1" customHeight="1" x14ac:dyDescent="0.15">
      <c r="A61" s="22"/>
      <c r="B61" s="25" t="s">
        <v>47</v>
      </c>
      <c r="C61" s="37" t="s">
        <v>142</v>
      </c>
      <c r="D61" s="41"/>
      <c r="E61" s="41"/>
      <c r="F61" s="15" t="str">
        <f t="shared" si="0"/>
        <v/>
      </c>
      <c r="G61" s="71">
        <f t="shared" si="1"/>
        <v>0</v>
      </c>
      <c r="H61" s="71">
        <f t="shared" si="2"/>
        <v>0</v>
      </c>
      <c r="I61" s="71">
        <f t="shared" si="3"/>
        <v>1</v>
      </c>
      <c r="J61" s="71">
        <f t="shared" si="4"/>
        <v>0</v>
      </c>
      <c r="K61" s="16"/>
      <c r="L61" s="16"/>
      <c r="M61" s="17"/>
    </row>
    <row r="62" spans="1:13" ht="26.1" customHeight="1" x14ac:dyDescent="0.15">
      <c r="A62" s="22"/>
      <c r="B62" s="24" t="s">
        <v>5</v>
      </c>
      <c r="C62" s="36" t="s">
        <v>143</v>
      </c>
      <c r="D62" s="40"/>
      <c r="E62" s="40"/>
      <c r="F62" s="15" t="str">
        <f t="shared" si="0"/>
        <v/>
      </c>
      <c r="G62" s="71">
        <f t="shared" si="1"/>
        <v>0</v>
      </c>
      <c r="H62" s="71">
        <f t="shared" si="2"/>
        <v>0</v>
      </c>
      <c r="I62" s="71">
        <f t="shared" si="3"/>
        <v>1</v>
      </c>
      <c r="J62" s="71">
        <f t="shared" si="4"/>
        <v>0</v>
      </c>
      <c r="K62" s="16"/>
      <c r="L62" s="16"/>
      <c r="M62" s="17"/>
    </row>
    <row r="63" spans="1:13" ht="26.1" customHeight="1" x14ac:dyDescent="0.15">
      <c r="A63" s="22"/>
      <c r="B63" s="24" t="s">
        <v>51</v>
      </c>
      <c r="C63" s="36" t="s">
        <v>144</v>
      </c>
      <c r="D63" s="40"/>
      <c r="E63" s="40"/>
      <c r="F63" s="15" t="str">
        <f t="shared" si="0"/>
        <v/>
      </c>
      <c r="G63" s="71">
        <f t="shared" si="1"/>
        <v>0</v>
      </c>
      <c r="H63" s="71">
        <f t="shared" si="2"/>
        <v>0</v>
      </c>
      <c r="I63" s="71">
        <f t="shared" si="3"/>
        <v>1</v>
      </c>
      <c r="J63" s="71">
        <f t="shared" si="4"/>
        <v>0</v>
      </c>
      <c r="K63" s="16"/>
      <c r="L63" s="16"/>
      <c r="M63" s="17"/>
    </row>
    <row r="64" spans="1:13" ht="26.1" customHeight="1" x14ac:dyDescent="0.15">
      <c r="A64" s="22"/>
      <c r="B64" s="24" t="s">
        <v>52</v>
      </c>
      <c r="C64" s="36" t="s">
        <v>145</v>
      </c>
      <c r="D64" s="40"/>
      <c r="E64" s="40"/>
      <c r="F64" s="15" t="str">
        <f t="shared" si="0"/>
        <v/>
      </c>
      <c r="G64" s="71">
        <f t="shared" si="1"/>
        <v>0</v>
      </c>
      <c r="H64" s="71">
        <f t="shared" si="2"/>
        <v>0</v>
      </c>
      <c r="I64" s="71">
        <f t="shared" si="3"/>
        <v>1</v>
      </c>
      <c r="J64" s="71">
        <f t="shared" si="4"/>
        <v>0</v>
      </c>
      <c r="K64" s="16"/>
      <c r="L64" s="16"/>
      <c r="M64" s="17"/>
    </row>
    <row r="65" spans="1:13" ht="26.1" customHeight="1" x14ac:dyDescent="0.15">
      <c r="A65" s="22"/>
      <c r="B65" s="25" t="s">
        <v>48</v>
      </c>
      <c r="C65" s="37" t="s">
        <v>146</v>
      </c>
      <c r="D65" s="41"/>
      <c r="E65" s="41"/>
      <c r="F65" s="15" t="str">
        <f t="shared" si="0"/>
        <v/>
      </c>
      <c r="G65" s="71">
        <f t="shared" si="1"/>
        <v>0</v>
      </c>
      <c r="H65" s="71">
        <f t="shared" si="2"/>
        <v>0</v>
      </c>
      <c r="I65" s="71">
        <f t="shared" si="3"/>
        <v>1</v>
      </c>
      <c r="J65" s="71">
        <f t="shared" si="4"/>
        <v>0</v>
      </c>
      <c r="K65" s="16"/>
      <c r="L65" s="16"/>
      <c r="M65" s="17"/>
    </row>
    <row r="66" spans="1:13" ht="26.1" customHeight="1" x14ac:dyDescent="0.15">
      <c r="A66" s="22"/>
      <c r="B66" s="25" t="s">
        <v>49</v>
      </c>
      <c r="C66" s="37" t="s">
        <v>147</v>
      </c>
      <c r="D66" s="41"/>
      <c r="E66" s="41"/>
      <c r="F66" s="15" t="str">
        <f t="shared" si="0"/>
        <v/>
      </c>
      <c r="G66" s="71">
        <f t="shared" si="1"/>
        <v>0</v>
      </c>
      <c r="H66" s="71">
        <f t="shared" si="2"/>
        <v>0</v>
      </c>
      <c r="I66" s="71">
        <f t="shared" si="3"/>
        <v>1</v>
      </c>
      <c r="J66" s="71">
        <f t="shared" si="4"/>
        <v>0</v>
      </c>
      <c r="K66" s="16"/>
      <c r="L66" s="16"/>
      <c r="M66" s="17"/>
    </row>
    <row r="67" spans="1:13" ht="26.1" customHeight="1" x14ac:dyDescent="0.15">
      <c r="A67" s="22"/>
      <c r="B67" s="25" t="s">
        <v>50</v>
      </c>
      <c r="C67" s="37" t="s">
        <v>148</v>
      </c>
      <c r="D67" s="41"/>
      <c r="E67" s="41"/>
      <c r="F67" s="15" t="str">
        <f t="shared" si="0"/>
        <v/>
      </c>
      <c r="G67" s="71">
        <f t="shared" si="1"/>
        <v>0</v>
      </c>
      <c r="H67" s="71">
        <f t="shared" si="2"/>
        <v>0</v>
      </c>
      <c r="I67" s="71">
        <f t="shared" si="3"/>
        <v>1</v>
      </c>
      <c r="J67" s="71">
        <f t="shared" si="4"/>
        <v>0</v>
      </c>
      <c r="K67" s="16"/>
      <c r="L67" s="16"/>
      <c r="M67" s="17"/>
    </row>
    <row r="68" spans="1:13" ht="26.1" customHeight="1" x14ac:dyDescent="0.15">
      <c r="A68" s="22"/>
      <c r="B68" s="24" t="s">
        <v>53</v>
      </c>
      <c r="C68" s="36" t="s">
        <v>149</v>
      </c>
      <c r="D68" s="40"/>
      <c r="E68" s="40"/>
      <c r="F68" s="15" t="str">
        <f t="shared" si="0"/>
        <v/>
      </c>
      <c r="G68" s="71">
        <f t="shared" si="1"/>
        <v>0</v>
      </c>
      <c r="H68" s="71">
        <f t="shared" si="2"/>
        <v>0</v>
      </c>
      <c r="I68" s="71">
        <f t="shared" si="3"/>
        <v>1</v>
      </c>
      <c r="J68" s="71">
        <f t="shared" si="4"/>
        <v>0</v>
      </c>
      <c r="K68" s="16"/>
      <c r="L68" s="16"/>
      <c r="M68" s="17"/>
    </row>
    <row r="69" spans="1:13" ht="26.1" customHeight="1" x14ac:dyDescent="0.15">
      <c r="A69" s="22"/>
      <c r="B69" s="24" t="s">
        <v>4</v>
      </c>
      <c r="C69" s="36" t="s">
        <v>190</v>
      </c>
      <c r="D69" s="40"/>
      <c r="E69" s="40"/>
      <c r="F69" s="15" t="str">
        <f t="shared" si="0"/>
        <v/>
      </c>
      <c r="G69" s="71">
        <f t="shared" si="1"/>
        <v>0</v>
      </c>
      <c r="H69" s="71">
        <f t="shared" si="2"/>
        <v>0</v>
      </c>
      <c r="I69" s="71">
        <f t="shared" si="3"/>
        <v>1</v>
      </c>
      <c r="J69" s="71">
        <f t="shared" si="4"/>
        <v>0</v>
      </c>
      <c r="K69" s="16"/>
      <c r="L69" s="16"/>
      <c r="M69" s="17"/>
    </row>
    <row r="70" spans="1:13" ht="26.1" customHeight="1" x14ac:dyDescent="0.15">
      <c r="A70" s="22"/>
      <c r="B70" s="24" t="s">
        <v>54</v>
      </c>
      <c r="C70" s="36" t="s">
        <v>150</v>
      </c>
      <c r="D70" s="40"/>
      <c r="E70" s="40"/>
      <c r="F70" s="15" t="str">
        <f t="shared" si="0"/>
        <v/>
      </c>
      <c r="G70" s="71">
        <f t="shared" si="1"/>
        <v>0</v>
      </c>
      <c r="H70" s="71">
        <f t="shared" si="2"/>
        <v>0</v>
      </c>
      <c r="I70" s="71">
        <f t="shared" si="3"/>
        <v>1</v>
      </c>
      <c r="J70" s="71">
        <f t="shared" si="4"/>
        <v>0</v>
      </c>
      <c r="K70" s="16"/>
      <c r="L70" s="16"/>
      <c r="M70" s="17"/>
    </row>
    <row r="71" spans="1:13" ht="26.1" customHeight="1" x14ac:dyDescent="0.15">
      <c r="A71" s="22"/>
      <c r="B71" s="25" t="s">
        <v>55</v>
      </c>
      <c r="C71" s="37" t="s">
        <v>151</v>
      </c>
      <c r="D71" s="41"/>
      <c r="E71" s="41"/>
      <c r="F71" s="15" t="str">
        <f t="shared" si="0"/>
        <v/>
      </c>
      <c r="G71" s="71">
        <f t="shared" si="1"/>
        <v>0</v>
      </c>
      <c r="H71" s="71">
        <f t="shared" si="2"/>
        <v>0</v>
      </c>
      <c r="I71" s="71">
        <f t="shared" si="3"/>
        <v>1</v>
      </c>
      <c r="J71" s="71">
        <f t="shared" si="4"/>
        <v>0</v>
      </c>
      <c r="K71" s="16"/>
      <c r="L71" s="16"/>
      <c r="M71" s="17"/>
    </row>
    <row r="72" spans="1:13" ht="26.1" customHeight="1" x14ac:dyDescent="0.15">
      <c r="A72" s="22"/>
      <c r="B72" s="25" t="s">
        <v>56</v>
      </c>
      <c r="C72" s="37" t="s">
        <v>152</v>
      </c>
      <c r="D72" s="41"/>
      <c r="E72" s="41"/>
      <c r="F72" s="15" t="str">
        <f t="shared" si="0"/>
        <v/>
      </c>
      <c r="G72" s="71">
        <f t="shared" si="1"/>
        <v>0</v>
      </c>
      <c r="H72" s="71">
        <f t="shared" si="2"/>
        <v>0</v>
      </c>
      <c r="I72" s="71">
        <f t="shared" si="3"/>
        <v>1</v>
      </c>
      <c r="J72" s="71">
        <f t="shared" si="4"/>
        <v>0</v>
      </c>
      <c r="K72" s="16"/>
      <c r="L72" s="16"/>
      <c r="M72" s="17"/>
    </row>
    <row r="73" spans="1:13" ht="26.1" customHeight="1" x14ac:dyDescent="0.15">
      <c r="A73" s="22"/>
      <c r="B73" s="25" t="s">
        <v>57</v>
      </c>
      <c r="C73" s="37" t="s">
        <v>153</v>
      </c>
      <c r="D73" s="41"/>
      <c r="E73" s="41"/>
      <c r="F73" s="15" t="str">
        <f t="shared" ref="F73:F136" si="5">IF(D73="x",IF(E73&lt;&gt;"x","Paling Disukai","ERROR"),IF(E73="x","Paling Tidak Disukai",""))</f>
        <v/>
      </c>
      <c r="G73" s="71">
        <f t="shared" ref="G73:G136" si="6">IF(D73="x",IF(E73&lt;&gt;"x",1,0),0)</f>
        <v>0</v>
      </c>
      <c r="H73" s="71">
        <f t="shared" ref="H73:H136" si="7">IF(E73="x",IF(D73&lt;&gt;"x",1,0),0)</f>
        <v>0</v>
      </c>
      <c r="I73" s="71">
        <f t="shared" ref="I73:I136" si="8">IF(E73="x",0,IF(D73&lt;&gt;"x",1,0))</f>
        <v>1</v>
      </c>
      <c r="J73" s="71">
        <f t="shared" ref="J73:J136" si="9">IF(E73="x",IF(D73&lt;&gt;"x",0,1),0)</f>
        <v>0</v>
      </c>
      <c r="K73" s="16"/>
      <c r="L73" s="16"/>
      <c r="M73" s="17"/>
    </row>
    <row r="74" spans="1:13" ht="26.1" customHeight="1" x14ac:dyDescent="0.15">
      <c r="A74" s="22"/>
      <c r="B74" s="24" t="s">
        <v>19</v>
      </c>
      <c r="C74" s="36" t="s">
        <v>154</v>
      </c>
      <c r="D74" s="40"/>
      <c r="E74" s="40"/>
      <c r="F74" s="15" t="str">
        <f t="shared" si="5"/>
        <v/>
      </c>
      <c r="G74" s="71">
        <f t="shared" si="6"/>
        <v>0</v>
      </c>
      <c r="H74" s="71">
        <f t="shared" si="7"/>
        <v>0</v>
      </c>
      <c r="I74" s="71">
        <f t="shared" si="8"/>
        <v>1</v>
      </c>
      <c r="J74" s="71">
        <f t="shared" si="9"/>
        <v>0</v>
      </c>
      <c r="K74" s="16"/>
      <c r="L74" s="16"/>
      <c r="M74" s="17"/>
    </row>
    <row r="75" spans="1:13" ht="26.1" customHeight="1" x14ac:dyDescent="0.15">
      <c r="A75" s="22"/>
      <c r="B75" s="24" t="s">
        <v>20</v>
      </c>
      <c r="C75" s="36" t="s">
        <v>155</v>
      </c>
      <c r="D75" s="40"/>
      <c r="E75" s="40"/>
      <c r="F75" s="15" t="str">
        <f t="shared" si="5"/>
        <v/>
      </c>
      <c r="G75" s="71">
        <f t="shared" si="6"/>
        <v>0</v>
      </c>
      <c r="H75" s="71">
        <f t="shared" si="7"/>
        <v>0</v>
      </c>
      <c r="I75" s="71">
        <f t="shared" si="8"/>
        <v>1</v>
      </c>
      <c r="J75" s="71">
        <f t="shared" si="9"/>
        <v>0</v>
      </c>
      <c r="K75" s="16"/>
      <c r="L75" s="16"/>
      <c r="M75" s="17"/>
    </row>
    <row r="76" spans="1:13" ht="26.1" customHeight="1" x14ac:dyDescent="0.15">
      <c r="A76" s="22"/>
      <c r="B76" s="24" t="s">
        <v>21</v>
      </c>
      <c r="C76" s="36" t="s">
        <v>156</v>
      </c>
      <c r="D76" s="40"/>
      <c r="E76" s="40"/>
      <c r="F76" s="15" t="str">
        <f t="shared" si="5"/>
        <v/>
      </c>
      <c r="G76" s="71">
        <f t="shared" si="6"/>
        <v>0</v>
      </c>
      <c r="H76" s="71">
        <f t="shared" si="7"/>
        <v>0</v>
      </c>
      <c r="I76" s="71">
        <f t="shared" si="8"/>
        <v>1</v>
      </c>
      <c r="J76" s="71">
        <f t="shared" si="9"/>
        <v>0</v>
      </c>
      <c r="K76" s="16"/>
      <c r="L76" s="16"/>
      <c r="M76" s="17"/>
    </row>
    <row r="77" spans="1:13" ht="26.1" customHeight="1" x14ac:dyDescent="0.15">
      <c r="A77" s="22"/>
      <c r="B77" s="25" t="s">
        <v>22</v>
      </c>
      <c r="C77" s="37" t="s">
        <v>157</v>
      </c>
      <c r="D77" s="41"/>
      <c r="E77" s="41"/>
      <c r="F77" s="15" t="str">
        <f t="shared" si="5"/>
        <v/>
      </c>
      <c r="G77" s="71">
        <f t="shared" si="6"/>
        <v>0</v>
      </c>
      <c r="H77" s="71">
        <f t="shared" si="7"/>
        <v>0</v>
      </c>
      <c r="I77" s="71">
        <f t="shared" si="8"/>
        <v>1</v>
      </c>
      <c r="J77" s="71">
        <f t="shared" si="9"/>
        <v>0</v>
      </c>
      <c r="K77" s="16"/>
      <c r="L77" s="16"/>
      <c r="M77" s="17"/>
    </row>
    <row r="78" spans="1:13" ht="26.1" customHeight="1" x14ac:dyDescent="0.15">
      <c r="A78" s="22"/>
      <c r="B78" s="25" t="s">
        <v>23</v>
      </c>
      <c r="C78" s="37" t="s">
        <v>158</v>
      </c>
      <c r="D78" s="41"/>
      <c r="E78" s="41"/>
      <c r="F78" s="15" t="str">
        <f t="shared" si="5"/>
        <v/>
      </c>
      <c r="G78" s="71">
        <f t="shared" si="6"/>
        <v>0</v>
      </c>
      <c r="H78" s="71">
        <f t="shared" si="7"/>
        <v>0</v>
      </c>
      <c r="I78" s="71">
        <f t="shared" si="8"/>
        <v>1</v>
      </c>
      <c r="J78" s="71">
        <f t="shared" si="9"/>
        <v>0</v>
      </c>
      <c r="K78" s="16"/>
      <c r="L78" s="16"/>
      <c r="M78" s="17"/>
    </row>
    <row r="79" spans="1:13" ht="26.1" customHeight="1" x14ac:dyDescent="0.15">
      <c r="A79" s="22"/>
      <c r="B79" s="25" t="s">
        <v>24</v>
      </c>
      <c r="C79" s="37" t="s">
        <v>159</v>
      </c>
      <c r="D79" s="41"/>
      <c r="E79" s="41"/>
      <c r="F79" s="15" t="str">
        <f t="shared" si="5"/>
        <v/>
      </c>
      <c r="G79" s="71">
        <f t="shared" si="6"/>
        <v>0</v>
      </c>
      <c r="H79" s="71">
        <f t="shared" si="7"/>
        <v>0</v>
      </c>
      <c r="I79" s="71">
        <f t="shared" si="8"/>
        <v>1</v>
      </c>
      <c r="J79" s="71">
        <f t="shared" si="9"/>
        <v>0</v>
      </c>
      <c r="K79" s="16"/>
      <c r="L79" s="16"/>
      <c r="M79" s="17"/>
    </row>
    <row r="80" spans="1:13" ht="26.1" customHeight="1" x14ac:dyDescent="0.15">
      <c r="A80" s="22"/>
      <c r="B80" s="24" t="s">
        <v>25</v>
      </c>
      <c r="C80" s="36" t="s">
        <v>160</v>
      </c>
      <c r="D80" s="40"/>
      <c r="E80" s="40"/>
      <c r="F80" s="15" t="str">
        <f t="shared" si="5"/>
        <v/>
      </c>
      <c r="G80" s="71">
        <f t="shared" si="6"/>
        <v>0</v>
      </c>
      <c r="H80" s="71">
        <f t="shared" si="7"/>
        <v>0</v>
      </c>
      <c r="I80" s="71">
        <f t="shared" si="8"/>
        <v>1</v>
      </c>
      <c r="J80" s="71">
        <f t="shared" si="9"/>
        <v>0</v>
      </c>
      <c r="K80" s="16"/>
      <c r="L80" s="16"/>
      <c r="M80" s="17"/>
    </row>
    <row r="81" spans="1:13" ht="26.1" customHeight="1" x14ac:dyDescent="0.15">
      <c r="A81" s="22"/>
      <c r="B81" s="24" t="s">
        <v>26</v>
      </c>
      <c r="C81" s="36" t="s">
        <v>161</v>
      </c>
      <c r="D81" s="40"/>
      <c r="E81" s="40"/>
      <c r="F81" s="15" t="str">
        <f t="shared" si="5"/>
        <v/>
      </c>
      <c r="G81" s="71">
        <f t="shared" si="6"/>
        <v>0</v>
      </c>
      <c r="H81" s="71">
        <f t="shared" si="7"/>
        <v>0</v>
      </c>
      <c r="I81" s="71">
        <f t="shared" si="8"/>
        <v>1</v>
      </c>
      <c r="J81" s="71">
        <f t="shared" si="9"/>
        <v>0</v>
      </c>
      <c r="K81" s="16"/>
      <c r="L81" s="16"/>
      <c r="M81" s="17"/>
    </row>
    <row r="82" spans="1:13" ht="26.1" customHeight="1" x14ac:dyDescent="0.15">
      <c r="A82" s="22"/>
      <c r="B82" s="24" t="s">
        <v>58</v>
      </c>
      <c r="C82" s="36" t="s">
        <v>162</v>
      </c>
      <c r="D82" s="40"/>
      <c r="E82" s="40"/>
      <c r="F82" s="15" t="str">
        <f t="shared" si="5"/>
        <v/>
      </c>
      <c r="G82" s="71">
        <f t="shared" si="6"/>
        <v>0</v>
      </c>
      <c r="H82" s="71">
        <f t="shared" si="7"/>
        <v>0</v>
      </c>
      <c r="I82" s="71">
        <f t="shared" si="8"/>
        <v>1</v>
      </c>
      <c r="J82" s="71">
        <f t="shared" si="9"/>
        <v>0</v>
      </c>
      <c r="K82" s="16"/>
      <c r="L82" s="16"/>
      <c r="M82" s="17"/>
    </row>
    <row r="83" spans="1:13" ht="26.1" customHeight="1" x14ac:dyDescent="0.15">
      <c r="A83" s="22"/>
      <c r="B83" s="25" t="s">
        <v>27</v>
      </c>
      <c r="C83" s="37" t="s">
        <v>163</v>
      </c>
      <c r="D83" s="41"/>
      <c r="E83" s="41"/>
      <c r="F83" s="15" t="str">
        <f t="shared" si="5"/>
        <v/>
      </c>
      <c r="G83" s="71">
        <f t="shared" si="6"/>
        <v>0</v>
      </c>
      <c r="H83" s="71">
        <f t="shared" si="7"/>
        <v>0</v>
      </c>
      <c r="I83" s="71">
        <f t="shared" si="8"/>
        <v>1</v>
      </c>
      <c r="J83" s="71">
        <f t="shared" si="9"/>
        <v>0</v>
      </c>
      <c r="K83" s="16"/>
      <c r="L83" s="16"/>
      <c r="M83" s="17"/>
    </row>
    <row r="84" spans="1:13" ht="26.1" customHeight="1" x14ac:dyDescent="0.15">
      <c r="A84" s="22"/>
      <c r="B84" s="25" t="s">
        <v>28</v>
      </c>
      <c r="C84" s="37" t="s">
        <v>164</v>
      </c>
      <c r="D84" s="41"/>
      <c r="E84" s="41"/>
      <c r="F84" s="15" t="str">
        <f t="shared" si="5"/>
        <v/>
      </c>
      <c r="G84" s="71">
        <f t="shared" si="6"/>
        <v>0</v>
      </c>
      <c r="H84" s="71">
        <f t="shared" si="7"/>
        <v>0</v>
      </c>
      <c r="I84" s="71">
        <f t="shared" si="8"/>
        <v>1</v>
      </c>
      <c r="J84" s="71">
        <f t="shared" si="9"/>
        <v>0</v>
      </c>
      <c r="K84" s="16"/>
      <c r="L84" s="16"/>
      <c r="M84" s="17"/>
    </row>
    <row r="85" spans="1:13" ht="26.1" customHeight="1" x14ac:dyDescent="0.15">
      <c r="A85" s="22"/>
      <c r="B85" s="25" t="s">
        <v>29</v>
      </c>
      <c r="C85" s="37" t="s">
        <v>165</v>
      </c>
      <c r="D85" s="41"/>
      <c r="E85" s="41"/>
      <c r="F85" s="15" t="str">
        <f t="shared" si="5"/>
        <v/>
      </c>
      <c r="G85" s="71">
        <f t="shared" si="6"/>
        <v>0</v>
      </c>
      <c r="H85" s="71">
        <f t="shared" si="7"/>
        <v>0</v>
      </c>
      <c r="I85" s="71">
        <f t="shared" si="8"/>
        <v>1</v>
      </c>
      <c r="J85" s="71">
        <f t="shared" si="9"/>
        <v>0</v>
      </c>
      <c r="K85" s="16"/>
      <c r="L85" s="16"/>
      <c r="M85" s="17"/>
    </row>
    <row r="86" spans="1:13" ht="26.1" customHeight="1" x14ac:dyDescent="0.15">
      <c r="A86" s="22"/>
      <c r="B86" s="24" t="s">
        <v>30</v>
      </c>
      <c r="C86" s="36" t="s">
        <v>166</v>
      </c>
      <c r="D86" s="40"/>
      <c r="E86" s="40"/>
      <c r="F86" s="15" t="str">
        <f t="shared" si="5"/>
        <v/>
      </c>
      <c r="G86" s="71">
        <f t="shared" si="6"/>
        <v>0</v>
      </c>
      <c r="H86" s="71">
        <f t="shared" si="7"/>
        <v>0</v>
      </c>
      <c r="I86" s="71">
        <f t="shared" si="8"/>
        <v>1</v>
      </c>
      <c r="J86" s="71">
        <f t="shared" si="9"/>
        <v>0</v>
      </c>
      <c r="K86" s="16"/>
      <c r="L86" s="16"/>
      <c r="M86" s="17"/>
    </row>
    <row r="87" spans="1:13" ht="26.1" customHeight="1" x14ac:dyDescent="0.15">
      <c r="A87" s="22"/>
      <c r="B87" s="24" t="s">
        <v>31</v>
      </c>
      <c r="C87" s="36" t="s">
        <v>167</v>
      </c>
      <c r="D87" s="40"/>
      <c r="E87" s="40"/>
      <c r="F87" s="15" t="str">
        <f t="shared" si="5"/>
        <v/>
      </c>
      <c r="G87" s="71">
        <f t="shared" si="6"/>
        <v>0</v>
      </c>
      <c r="H87" s="71">
        <f t="shared" si="7"/>
        <v>0</v>
      </c>
      <c r="I87" s="71">
        <f t="shared" si="8"/>
        <v>1</v>
      </c>
      <c r="J87" s="71">
        <f t="shared" si="9"/>
        <v>0</v>
      </c>
      <c r="K87" s="16"/>
      <c r="L87" s="16"/>
      <c r="M87" s="17"/>
    </row>
    <row r="88" spans="1:13" ht="26.1" customHeight="1" x14ac:dyDescent="0.15">
      <c r="A88" s="22"/>
      <c r="B88" s="24" t="s">
        <v>32</v>
      </c>
      <c r="C88" s="36" t="s">
        <v>168</v>
      </c>
      <c r="D88" s="40"/>
      <c r="E88" s="40"/>
      <c r="F88" s="15" t="str">
        <f t="shared" si="5"/>
        <v/>
      </c>
      <c r="G88" s="71">
        <f t="shared" si="6"/>
        <v>0</v>
      </c>
      <c r="H88" s="71">
        <f t="shared" si="7"/>
        <v>0</v>
      </c>
      <c r="I88" s="71">
        <f t="shared" si="8"/>
        <v>1</v>
      </c>
      <c r="J88" s="71">
        <f t="shared" si="9"/>
        <v>0</v>
      </c>
      <c r="K88" s="16"/>
      <c r="L88" s="16"/>
      <c r="M88" s="17"/>
    </row>
    <row r="89" spans="1:13" ht="26.1" customHeight="1" x14ac:dyDescent="0.15">
      <c r="A89" s="22"/>
      <c r="B89" s="25" t="s">
        <v>33</v>
      </c>
      <c r="C89" s="37" t="s">
        <v>169</v>
      </c>
      <c r="D89" s="41"/>
      <c r="E89" s="41"/>
      <c r="F89" s="15" t="str">
        <f t="shared" si="5"/>
        <v/>
      </c>
      <c r="G89" s="71">
        <f t="shared" si="6"/>
        <v>0</v>
      </c>
      <c r="H89" s="71">
        <f t="shared" si="7"/>
        <v>0</v>
      </c>
      <c r="I89" s="71">
        <f t="shared" si="8"/>
        <v>1</v>
      </c>
      <c r="J89" s="71">
        <f t="shared" si="9"/>
        <v>0</v>
      </c>
      <c r="K89" s="16"/>
      <c r="L89" s="16"/>
      <c r="M89" s="17"/>
    </row>
    <row r="90" spans="1:13" ht="26.1" customHeight="1" x14ac:dyDescent="0.15">
      <c r="A90" s="22"/>
      <c r="B90" s="25" t="s">
        <v>34</v>
      </c>
      <c r="C90" s="37" t="s">
        <v>170</v>
      </c>
      <c r="D90" s="41"/>
      <c r="E90" s="41"/>
      <c r="F90" s="15" t="str">
        <f t="shared" si="5"/>
        <v/>
      </c>
      <c r="G90" s="71">
        <f t="shared" si="6"/>
        <v>0</v>
      </c>
      <c r="H90" s="71">
        <f t="shared" si="7"/>
        <v>0</v>
      </c>
      <c r="I90" s="71">
        <f t="shared" si="8"/>
        <v>1</v>
      </c>
      <c r="J90" s="71">
        <f t="shared" si="9"/>
        <v>0</v>
      </c>
      <c r="K90" s="16"/>
      <c r="L90" s="16"/>
      <c r="M90" s="17"/>
    </row>
    <row r="91" spans="1:13" ht="26.1" customHeight="1" x14ac:dyDescent="0.15">
      <c r="A91" s="23"/>
      <c r="B91" s="25" t="s">
        <v>35</v>
      </c>
      <c r="C91" s="37" t="s">
        <v>171</v>
      </c>
      <c r="D91" s="41"/>
      <c r="E91" s="41"/>
      <c r="F91" s="15" t="str">
        <f t="shared" si="5"/>
        <v/>
      </c>
      <c r="G91" s="71">
        <f t="shared" si="6"/>
        <v>0</v>
      </c>
      <c r="H91" s="71">
        <f t="shared" si="7"/>
        <v>0</v>
      </c>
      <c r="I91" s="71">
        <f t="shared" si="8"/>
        <v>1</v>
      </c>
      <c r="J91" s="71">
        <f t="shared" si="9"/>
        <v>0</v>
      </c>
      <c r="K91" s="16"/>
      <c r="L91" s="16"/>
      <c r="M91" s="17"/>
    </row>
    <row r="92" spans="1:13" ht="26.1" customHeight="1" x14ac:dyDescent="0.15">
      <c r="A92" s="21">
        <v>3</v>
      </c>
      <c r="B92" s="14" t="s">
        <v>19</v>
      </c>
      <c r="C92" s="34" t="s">
        <v>172</v>
      </c>
      <c r="D92" s="38"/>
      <c r="E92" s="38"/>
      <c r="F92" s="15" t="str">
        <f t="shared" si="5"/>
        <v/>
      </c>
      <c r="G92" s="71">
        <f t="shared" si="6"/>
        <v>0</v>
      </c>
      <c r="H92" s="71">
        <f t="shared" si="7"/>
        <v>0</v>
      </c>
      <c r="I92" s="71">
        <f t="shared" si="8"/>
        <v>1</v>
      </c>
      <c r="J92" s="71">
        <f t="shared" si="9"/>
        <v>0</v>
      </c>
      <c r="K92" s="16"/>
      <c r="L92" s="16"/>
      <c r="M92" s="17"/>
    </row>
    <row r="93" spans="1:13" ht="26.1" customHeight="1" x14ac:dyDescent="0.15">
      <c r="A93" s="22"/>
      <c r="B93" s="14" t="s">
        <v>20</v>
      </c>
      <c r="C93" s="34" t="s">
        <v>173</v>
      </c>
      <c r="D93" s="38"/>
      <c r="E93" s="38"/>
      <c r="F93" s="15" t="str">
        <f t="shared" si="5"/>
        <v/>
      </c>
      <c r="G93" s="71">
        <f t="shared" si="6"/>
        <v>0</v>
      </c>
      <c r="H93" s="71">
        <f t="shared" si="7"/>
        <v>0</v>
      </c>
      <c r="I93" s="71">
        <f t="shared" si="8"/>
        <v>1</v>
      </c>
      <c r="J93" s="71">
        <f t="shared" si="9"/>
        <v>0</v>
      </c>
      <c r="K93" s="16"/>
      <c r="L93" s="16"/>
      <c r="M93" s="17"/>
    </row>
    <row r="94" spans="1:13" ht="26.1" customHeight="1" x14ac:dyDescent="0.15">
      <c r="A94" s="22"/>
      <c r="B94" s="14" t="s">
        <v>21</v>
      </c>
      <c r="C94" s="34" t="s">
        <v>174</v>
      </c>
      <c r="D94" s="38"/>
      <c r="E94" s="38"/>
      <c r="F94" s="15" t="str">
        <f t="shared" si="5"/>
        <v/>
      </c>
      <c r="G94" s="71">
        <f t="shared" si="6"/>
        <v>0</v>
      </c>
      <c r="H94" s="71">
        <f t="shared" si="7"/>
        <v>0</v>
      </c>
      <c r="I94" s="71">
        <f t="shared" si="8"/>
        <v>1</v>
      </c>
      <c r="J94" s="71">
        <f t="shared" si="9"/>
        <v>0</v>
      </c>
      <c r="K94" s="16"/>
      <c r="L94" s="16"/>
      <c r="M94" s="17"/>
    </row>
    <row r="95" spans="1:13" ht="26.1" customHeight="1" x14ac:dyDescent="0.15">
      <c r="A95" s="22"/>
      <c r="B95" s="20" t="s">
        <v>22</v>
      </c>
      <c r="C95" s="35" t="s">
        <v>175</v>
      </c>
      <c r="D95" s="39"/>
      <c r="E95" s="39"/>
      <c r="F95" s="15" t="str">
        <f t="shared" si="5"/>
        <v/>
      </c>
      <c r="G95" s="71">
        <f t="shared" si="6"/>
        <v>0</v>
      </c>
      <c r="H95" s="71">
        <f t="shared" si="7"/>
        <v>0</v>
      </c>
      <c r="I95" s="71">
        <f t="shared" si="8"/>
        <v>1</v>
      </c>
      <c r="J95" s="71">
        <f t="shared" si="9"/>
        <v>0</v>
      </c>
      <c r="K95" s="16"/>
      <c r="L95" s="16"/>
      <c r="M95" s="17"/>
    </row>
    <row r="96" spans="1:13" ht="26.1" customHeight="1" x14ac:dyDescent="0.15">
      <c r="A96" s="22"/>
      <c r="B96" s="20" t="s">
        <v>23</v>
      </c>
      <c r="C96" s="35" t="s">
        <v>176</v>
      </c>
      <c r="D96" s="39"/>
      <c r="E96" s="39"/>
      <c r="F96" s="15" t="str">
        <f t="shared" si="5"/>
        <v/>
      </c>
      <c r="G96" s="71">
        <f t="shared" si="6"/>
        <v>0</v>
      </c>
      <c r="H96" s="71">
        <f t="shared" si="7"/>
        <v>0</v>
      </c>
      <c r="I96" s="71">
        <f t="shared" si="8"/>
        <v>1</v>
      </c>
      <c r="J96" s="71">
        <f t="shared" si="9"/>
        <v>0</v>
      </c>
      <c r="K96" s="16"/>
      <c r="L96" s="16"/>
      <c r="M96" s="17"/>
    </row>
    <row r="97" spans="1:13" ht="26.1" customHeight="1" x14ac:dyDescent="0.15">
      <c r="A97" s="22"/>
      <c r="B97" s="20" t="s">
        <v>24</v>
      </c>
      <c r="C97" s="35" t="s">
        <v>177</v>
      </c>
      <c r="D97" s="39"/>
      <c r="E97" s="39"/>
      <c r="F97" s="15" t="str">
        <f t="shared" si="5"/>
        <v/>
      </c>
      <c r="G97" s="71">
        <f t="shared" si="6"/>
        <v>0</v>
      </c>
      <c r="H97" s="71">
        <f t="shared" si="7"/>
        <v>0</v>
      </c>
      <c r="I97" s="71">
        <f t="shared" si="8"/>
        <v>1</v>
      </c>
      <c r="J97" s="71">
        <f t="shared" si="9"/>
        <v>0</v>
      </c>
      <c r="K97" s="16"/>
      <c r="L97" s="16"/>
      <c r="M97" s="17"/>
    </row>
    <row r="98" spans="1:13" ht="26.1" customHeight="1" x14ac:dyDescent="0.15">
      <c r="A98" s="22"/>
      <c r="B98" s="14" t="s">
        <v>25</v>
      </c>
      <c r="C98" s="34" t="s">
        <v>178</v>
      </c>
      <c r="D98" s="38"/>
      <c r="E98" s="38"/>
      <c r="F98" s="15" t="str">
        <f t="shared" si="5"/>
        <v/>
      </c>
      <c r="G98" s="71">
        <f t="shared" si="6"/>
        <v>0</v>
      </c>
      <c r="H98" s="71">
        <f t="shared" si="7"/>
        <v>0</v>
      </c>
      <c r="I98" s="71">
        <f t="shared" si="8"/>
        <v>1</v>
      </c>
      <c r="J98" s="71">
        <f t="shared" si="9"/>
        <v>0</v>
      </c>
      <c r="K98" s="16"/>
      <c r="L98" s="16"/>
      <c r="M98" s="17"/>
    </row>
    <row r="99" spans="1:13" ht="26.1" customHeight="1" x14ac:dyDescent="0.15">
      <c r="A99" s="22"/>
      <c r="B99" s="14" t="s">
        <v>26</v>
      </c>
      <c r="C99" s="34" t="s">
        <v>179</v>
      </c>
      <c r="D99" s="38"/>
      <c r="E99" s="38"/>
      <c r="F99" s="15" t="str">
        <f t="shared" si="5"/>
        <v/>
      </c>
      <c r="G99" s="71">
        <f t="shared" si="6"/>
        <v>0</v>
      </c>
      <c r="H99" s="71">
        <f t="shared" si="7"/>
        <v>0</v>
      </c>
      <c r="I99" s="71">
        <f t="shared" si="8"/>
        <v>1</v>
      </c>
      <c r="J99" s="71">
        <f t="shared" si="9"/>
        <v>0</v>
      </c>
      <c r="K99" s="16"/>
      <c r="L99" s="16"/>
      <c r="M99" s="17"/>
    </row>
    <row r="100" spans="1:13" ht="26.1" customHeight="1" x14ac:dyDescent="0.15">
      <c r="A100" s="22"/>
      <c r="B100" s="14" t="s">
        <v>58</v>
      </c>
      <c r="C100" s="34" t="s">
        <v>180</v>
      </c>
      <c r="D100" s="38"/>
      <c r="E100" s="38"/>
      <c r="F100" s="15" t="str">
        <f t="shared" si="5"/>
        <v/>
      </c>
      <c r="G100" s="71">
        <f t="shared" si="6"/>
        <v>0</v>
      </c>
      <c r="H100" s="71">
        <f t="shared" si="7"/>
        <v>0</v>
      </c>
      <c r="I100" s="71">
        <f t="shared" si="8"/>
        <v>1</v>
      </c>
      <c r="J100" s="71">
        <f t="shared" si="9"/>
        <v>0</v>
      </c>
      <c r="K100" s="16"/>
      <c r="L100" s="16"/>
      <c r="M100" s="17"/>
    </row>
    <row r="101" spans="1:13" ht="26.1" customHeight="1" x14ac:dyDescent="0.15">
      <c r="A101" s="22"/>
      <c r="B101" s="20" t="s">
        <v>27</v>
      </c>
      <c r="C101" s="35" t="s">
        <v>181</v>
      </c>
      <c r="D101" s="39"/>
      <c r="E101" s="39"/>
      <c r="F101" s="15" t="str">
        <f t="shared" si="5"/>
        <v/>
      </c>
      <c r="G101" s="71">
        <f t="shared" si="6"/>
        <v>0</v>
      </c>
      <c r="H101" s="71">
        <f t="shared" si="7"/>
        <v>0</v>
      </c>
      <c r="I101" s="71">
        <f t="shared" si="8"/>
        <v>1</v>
      </c>
      <c r="J101" s="71">
        <f t="shared" si="9"/>
        <v>0</v>
      </c>
      <c r="K101" s="16"/>
      <c r="L101" s="16"/>
      <c r="M101" s="17"/>
    </row>
    <row r="102" spans="1:13" ht="26.1" customHeight="1" x14ac:dyDescent="0.15">
      <c r="A102" s="22"/>
      <c r="B102" s="20" t="s">
        <v>28</v>
      </c>
      <c r="C102" s="35" t="s">
        <v>182</v>
      </c>
      <c r="D102" s="39"/>
      <c r="E102" s="39"/>
      <c r="F102" s="15" t="str">
        <f t="shared" si="5"/>
        <v/>
      </c>
      <c r="G102" s="71">
        <f t="shared" si="6"/>
        <v>0</v>
      </c>
      <c r="H102" s="71">
        <f t="shared" si="7"/>
        <v>0</v>
      </c>
      <c r="I102" s="71">
        <f t="shared" si="8"/>
        <v>1</v>
      </c>
      <c r="J102" s="71">
        <f t="shared" si="9"/>
        <v>0</v>
      </c>
      <c r="K102" s="16"/>
      <c r="L102" s="16"/>
      <c r="M102" s="17"/>
    </row>
    <row r="103" spans="1:13" ht="26.1" customHeight="1" x14ac:dyDescent="0.15">
      <c r="A103" s="22"/>
      <c r="B103" s="20" t="s">
        <v>29</v>
      </c>
      <c r="C103" s="35" t="s">
        <v>183</v>
      </c>
      <c r="D103" s="39"/>
      <c r="E103" s="39"/>
      <c r="F103" s="15" t="str">
        <f t="shared" si="5"/>
        <v/>
      </c>
      <c r="G103" s="71">
        <f t="shared" si="6"/>
        <v>0</v>
      </c>
      <c r="H103" s="71">
        <f t="shared" si="7"/>
        <v>0</v>
      </c>
      <c r="I103" s="71">
        <f t="shared" si="8"/>
        <v>1</v>
      </c>
      <c r="J103" s="71">
        <f t="shared" si="9"/>
        <v>0</v>
      </c>
      <c r="K103" s="16"/>
      <c r="L103" s="16"/>
      <c r="M103" s="17"/>
    </row>
    <row r="104" spans="1:13" ht="26.1" customHeight="1" x14ac:dyDescent="0.15">
      <c r="A104" s="22"/>
      <c r="B104" s="14" t="s">
        <v>30</v>
      </c>
      <c r="C104" s="34" t="s">
        <v>185</v>
      </c>
      <c r="D104" s="38"/>
      <c r="E104" s="38"/>
      <c r="F104" s="15" t="str">
        <f t="shared" si="5"/>
        <v/>
      </c>
      <c r="G104" s="71">
        <f t="shared" si="6"/>
        <v>0</v>
      </c>
      <c r="H104" s="71">
        <f t="shared" si="7"/>
        <v>0</v>
      </c>
      <c r="I104" s="71">
        <f t="shared" si="8"/>
        <v>1</v>
      </c>
      <c r="J104" s="71">
        <f t="shared" si="9"/>
        <v>0</v>
      </c>
      <c r="K104" s="16"/>
      <c r="L104" s="16"/>
      <c r="M104" s="17"/>
    </row>
    <row r="105" spans="1:13" ht="26.1" customHeight="1" x14ac:dyDescent="0.15">
      <c r="A105" s="22"/>
      <c r="B105" s="14" t="s">
        <v>31</v>
      </c>
      <c r="C105" s="34" t="s">
        <v>184</v>
      </c>
      <c r="D105" s="38"/>
      <c r="E105" s="38"/>
      <c r="F105" s="15" t="str">
        <f t="shared" si="5"/>
        <v/>
      </c>
      <c r="G105" s="71">
        <f t="shared" si="6"/>
        <v>0</v>
      </c>
      <c r="H105" s="71">
        <f t="shared" si="7"/>
        <v>0</v>
      </c>
      <c r="I105" s="71">
        <f t="shared" si="8"/>
        <v>1</v>
      </c>
      <c r="J105" s="71">
        <f t="shared" si="9"/>
        <v>0</v>
      </c>
      <c r="K105" s="16"/>
      <c r="L105" s="16"/>
      <c r="M105" s="17"/>
    </row>
    <row r="106" spans="1:13" ht="26.1" customHeight="1" x14ac:dyDescent="0.15">
      <c r="A106" s="22"/>
      <c r="B106" s="14" t="s">
        <v>32</v>
      </c>
      <c r="C106" s="34" t="s">
        <v>186</v>
      </c>
      <c r="D106" s="38"/>
      <c r="E106" s="38"/>
      <c r="F106" s="15" t="str">
        <f t="shared" si="5"/>
        <v/>
      </c>
      <c r="G106" s="71">
        <f t="shared" si="6"/>
        <v>0</v>
      </c>
      <c r="H106" s="71">
        <f t="shared" si="7"/>
        <v>0</v>
      </c>
      <c r="I106" s="71">
        <f t="shared" si="8"/>
        <v>1</v>
      </c>
      <c r="J106" s="71">
        <f t="shared" si="9"/>
        <v>0</v>
      </c>
      <c r="K106" s="16"/>
      <c r="L106" s="16"/>
      <c r="M106" s="17"/>
    </row>
    <row r="107" spans="1:13" ht="26.1" customHeight="1" x14ac:dyDescent="0.15">
      <c r="A107" s="22"/>
      <c r="B107" s="20" t="s">
        <v>33</v>
      </c>
      <c r="C107" s="35" t="s">
        <v>187</v>
      </c>
      <c r="D107" s="39"/>
      <c r="E107" s="39"/>
      <c r="F107" s="15" t="str">
        <f t="shared" si="5"/>
        <v/>
      </c>
      <c r="G107" s="71">
        <f t="shared" si="6"/>
        <v>0</v>
      </c>
      <c r="H107" s="71">
        <f t="shared" si="7"/>
        <v>0</v>
      </c>
      <c r="I107" s="71">
        <f t="shared" si="8"/>
        <v>1</v>
      </c>
      <c r="J107" s="71">
        <f t="shared" si="9"/>
        <v>0</v>
      </c>
      <c r="K107" s="16"/>
      <c r="L107" s="16"/>
      <c r="M107" s="17"/>
    </row>
    <row r="108" spans="1:13" ht="26.1" customHeight="1" x14ac:dyDescent="0.15">
      <c r="A108" s="22"/>
      <c r="B108" s="20" t="s">
        <v>34</v>
      </c>
      <c r="C108" s="35" t="s">
        <v>188</v>
      </c>
      <c r="D108" s="39"/>
      <c r="E108" s="39"/>
      <c r="F108" s="15" t="str">
        <f t="shared" si="5"/>
        <v/>
      </c>
      <c r="G108" s="71">
        <f t="shared" si="6"/>
        <v>0</v>
      </c>
      <c r="H108" s="71">
        <f t="shared" si="7"/>
        <v>0</v>
      </c>
      <c r="I108" s="71">
        <f t="shared" si="8"/>
        <v>1</v>
      </c>
      <c r="J108" s="71">
        <f t="shared" si="9"/>
        <v>0</v>
      </c>
      <c r="K108" s="16"/>
      <c r="L108" s="16"/>
      <c r="M108" s="17"/>
    </row>
    <row r="109" spans="1:13" ht="26.1" customHeight="1" x14ac:dyDescent="0.15">
      <c r="A109" s="22"/>
      <c r="B109" s="20" t="s">
        <v>35</v>
      </c>
      <c r="C109" s="35" t="s">
        <v>189</v>
      </c>
      <c r="D109" s="39"/>
      <c r="E109" s="39"/>
      <c r="F109" s="15" t="str">
        <f t="shared" si="5"/>
        <v/>
      </c>
      <c r="G109" s="71">
        <f t="shared" si="6"/>
        <v>0</v>
      </c>
      <c r="H109" s="71">
        <f t="shared" si="7"/>
        <v>0</v>
      </c>
      <c r="I109" s="71">
        <f t="shared" si="8"/>
        <v>1</v>
      </c>
      <c r="J109" s="71">
        <f t="shared" si="9"/>
        <v>0</v>
      </c>
      <c r="K109" s="16"/>
      <c r="L109" s="16"/>
      <c r="M109" s="17"/>
    </row>
    <row r="110" spans="1:13" ht="26.1" customHeight="1" x14ac:dyDescent="0.15">
      <c r="A110" s="22"/>
      <c r="B110" s="14" t="s">
        <v>36</v>
      </c>
      <c r="C110" s="34" t="s">
        <v>191</v>
      </c>
      <c r="D110" s="38"/>
      <c r="E110" s="38"/>
      <c r="F110" s="15" t="str">
        <f t="shared" si="5"/>
        <v/>
      </c>
      <c r="G110" s="71">
        <f t="shared" si="6"/>
        <v>0</v>
      </c>
      <c r="H110" s="71">
        <f t="shared" si="7"/>
        <v>0</v>
      </c>
      <c r="I110" s="71">
        <f t="shared" si="8"/>
        <v>1</v>
      </c>
      <c r="J110" s="71">
        <f t="shared" si="9"/>
        <v>0</v>
      </c>
      <c r="K110" s="16"/>
      <c r="L110" s="16"/>
      <c r="M110" s="17"/>
    </row>
    <row r="111" spans="1:13" ht="26.1" customHeight="1" x14ac:dyDescent="0.15">
      <c r="A111" s="22"/>
      <c r="B111" s="14" t="s">
        <v>37</v>
      </c>
      <c r="C111" s="34" t="s">
        <v>192</v>
      </c>
      <c r="D111" s="38"/>
      <c r="E111" s="38"/>
      <c r="F111" s="15" t="str">
        <f t="shared" si="5"/>
        <v/>
      </c>
      <c r="G111" s="71">
        <f t="shared" si="6"/>
        <v>0</v>
      </c>
      <c r="H111" s="71">
        <f t="shared" si="7"/>
        <v>0</v>
      </c>
      <c r="I111" s="71">
        <f t="shared" si="8"/>
        <v>1</v>
      </c>
      <c r="J111" s="71">
        <f t="shared" si="9"/>
        <v>0</v>
      </c>
      <c r="K111" s="16"/>
      <c r="L111" s="16"/>
      <c r="M111" s="17"/>
    </row>
    <row r="112" spans="1:13" ht="26.1" customHeight="1" x14ac:dyDescent="0.15">
      <c r="A112" s="22"/>
      <c r="B112" s="14" t="s">
        <v>38</v>
      </c>
      <c r="C112" s="34" t="s">
        <v>193</v>
      </c>
      <c r="D112" s="38"/>
      <c r="E112" s="38"/>
      <c r="F112" s="15" t="str">
        <f t="shared" si="5"/>
        <v/>
      </c>
      <c r="G112" s="71">
        <f t="shared" si="6"/>
        <v>0</v>
      </c>
      <c r="H112" s="71">
        <f t="shared" si="7"/>
        <v>0</v>
      </c>
      <c r="I112" s="71">
        <f t="shared" si="8"/>
        <v>1</v>
      </c>
      <c r="J112" s="71">
        <f t="shared" si="9"/>
        <v>0</v>
      </c>
      <c r="K112" s="16"/>
      <c r="L112" s="16"/>
      <c r="M112" s="17"/>
    </row>
    <row r="113" spans="1:13" ht="26.1" customHeight="1" x14ac:dyDescent="0.15">
      <c r="A113" s="22"/>
      <c r="B113" s="20" t="s">
        <v>18</v>
      </c>
      <c r="C113" s="35" t="s">
        <v>194</v>
      </c>
      <c r="D113" s="39"/>
      <c r="E113" s="39"/>
      <c r="F113" s="15" t="str">
        <f t="shared" si="5"/>
        <v/>
      </c>
      <c r="G113" s="71">
        <f t="shared" si="6"/>
        <v>0</v>
      </c>
      <c r="H113" s="71">
        <f t="shared" si="7"/>
        <v>0</v>
      </c>
      <c r="I113" s="71">
        <f t="shared" si="8"/>
        <v>1</v>
      </c>
      <c r="J113" s="71">
        <f t="shared" si="9"/>
        <v>0</v>
      </c>
      <c r="K113" s="16"/>
      <c r="L113" s="16"/>
      <c r="M113" s="17"/>
    </row>
    <row r="114" spans="1:13" ht="26.1" customHeight="1" x14ac:dyDescent="0.15">
      <c r="A114" s="22"/>
      <c r="B114" s="20" t="s">
        <v>39</v>
      </c>
      <c r="C114" s="35" t="s">
        <v>195</v>
      </c>
      <c r="D114" s="39"/>
      <c r="E114" s="39"/>
      <c r="F114" s="15" t="str">
        <f t="shared" si="5"/>
        <v/>
      </c>
      <c r="G114" s="71">
        <f t="shared" si="6"/>
        <v>0</v>
      </c>
      <c r="H114" s="71">
        <f t="shared" si="7"/>
        <v>0</v>
      </c>
      <c r="I114" s="71">
        <f t="shared" si="8"/>
        <v>1</v>
      </c>
      <c r="J114" s="71">
        <f t="shared" si="9"/>
        <v>0</v>
      </c>
      <c r="K114" s="16"/>
      <c r="L114" s="16"/>
      <c r="M114" s="17"/>
    </row>
    <row r="115" spans="1:13" ht="26.1" customHeight="1" x14ac:dyDescent="0.15">
      <c r="A115" s="22"/>
      <c r="B115" s="20" t="s">
        <v>40</v>
      </c>
      <c r="C115" s="35" t="s">
        <v>196</v>
      </c>
      <c r="D115" s="39"/>
      <c r="E115" s="39"/>
      <c r="F115" s="15" t="str">
        <f t="shared" si="5"/>
        <v/>
      </c>
      <c r="G115" s="71">
        <f t="shared" si="6"/>
        <v>0</v>
      </c>
      <c r="H115" s="71">
        <f t="shared" si="7"/>
        <v>0</v>
      </c>
      <c r="I115" s="71">
        <f t="shared" si="8"/>
        <v>1</v>
      </c>
      <c r="J115" s="71">
        <f t="shared" si="9"/>
        <v>0</v>
      </c>
      <c r="K115" s="16"/>
      <c r="L115" s="16"/>
      <c r="M115" s="17"/>
    </row>
    <row r="116" spans="1:13" ht="26.1" customHeight="1" x14ac:dyDescent="0.15">
      <c r="A116" s="22"/>
      <c r="B116" s="14" t="s">
        <v>41</v>
      </c>
      <c r="C116" s="34" t="s">
        <v>197</v>
      </c>
      <c r="D116" s="38"/>
      <c r="E116" s="38"/>
      <c r="F116" s="15" t="str">
        <f t="shared" si="5"/>
        <v/>
      </c>
      <c r="G116" s="71">
        <f t="shared" si="6"/>
        <v>0</v>
      </c>
      <c r="H116" s="71">
        <f t="shared" si="7"/>
        <v>0</v>
      </c>
      <c r="I116" s="71">
        <f t="shared" si="8"/>
        <v>1</v>
      </c>
      <c r="J116" s="71">
        <f t="shared" si="9"/>
        <v>0</v>
      </c>
      <c r="K116" s="16"/>
      <c r="L116" s="16"/>
      <c r="M116" s="17"/>
    </row>
    <row r="117" spans="1:13" ht="26.1" customHeight="1" x14ac:dyDescent="0.15">
      <c r="A117" s="22"/>
      <c r="B117" s="14" t="s">
        <v>42</v>
      </c>
      <c r="C117" s="34" t="s">
        <v>198</v>
      </c>
      <c r="D117" s="38"/>
      <c r="E117" s="38"/>
      <c r="F117" s="15" t="str">
        <f t="shared" si="5"/>
        <v/>
      </c>
      <c r="G117" s="71">
        <f t="shared" si="6"/>
        <v>0</v>
      </c>
      <c r="H117" s="71">
        <f t="shared" si="7"/>
        <v>0</v>
      </c>
      <c r="I117" s="71">
        <f t="shared" si="8"/>
        <v>1</v>
      </c>
      <c r="J117" s="71">
        <f t="shared" si="9"/>
        <v>0</v>
      </c>
      <c r="K117" s="16"/>
      <c r="L117" s="16"/>
      <c r="M117" s="17"/>
    </row>
    <row r="118" spans="1:13" ht="26.1" customHeight="1" x14ac:dyDescent="0.15">
      <c r="A118" s="22"/>
      <c r="B118" s="14" t="s">
        <v>43</v>
      </c>
      <c r="C118" s="34" t="s">
        <v>199</v>
      </c>
      <c r="D118" s="38"/>
      <c r="E118" s="38"/>
      <c r="F118" s="15" t="str">
        <f t="shared" si="5"/>
        <v/>
      </c>
      <c r="G118" s="71">
        <f t="shared" si="6"/>
        <v>0</v>
      </c>
      <c r="H118" s="71">
        <f t="shared" si="7"/>
        <v>0</v>
      </c>
      <c r="I118" s="71">
        <f t="shared" si="8"/>
        <v>1</v>
      </c>
      <c r="J118" s="71">
        <f t="shared" si="9"/>
        <v>0</v>
      </c>
      <c r="K118" s="16"/>
      <c r="L118" s="16"/>
      <c r="M118" s="17"/>
    </row>
    <row r="119" spans="1:13" ht="26.1" customHeight="1" x14ac:dyDescent="0.15">
      <c r="A119" s="22"/>
      <c r="B119" s="20" t="s">
        <v>3</v>
      </c>
      <c r="C119" s="35" t="s">
        <v>200</v>
      </c>
      <c r="D119" s="39"/>
      <c r="E119" s="39"/>
      <c r="F119" s="15" t="str">
        <f t="shared" si="5"/>
        <v/>
      </c>
      <c r="G119" s="71">
        <f t="shared" si="6"/>
        <v>0</v>
      </c>
      <c r="H119" s="71">
        <f t="shared" si="7"/>
        <v>0</v>
      </c>
      <c r="I119" s="71">
        <f t="shared" si="8"/>
        <v>1</v>
      </c>
      <c r="J119" s="71">
        <f t="shared" si="9"/>
        <v>0</v>
      </c>
      <c r="K119" s="16"/>
      <c r="L119" s="16"/>
      <c r="M119" s="17"/>
    </row>
    <row r="120" spans="1:13" ht="26.1" customHeight="1" x14ac:dyDescent="0.15">
      <c r="A120" s="22"/>
      <c r="B120" s="20" t="s">
        <v>6</v>
      </c>
      <c r="C120" s="35" t="s">
        <v>201</v>
      </c>
      <c r="D120" s="39"/>
      <c r="E120" s="39"/>
      <c r="F120" s="15" t="str">
        <f t="shared" si="5"/>
        <v/>
      </c>
      <c r="G120" s="71">
        <f t="shared" si="6"/>
        <v>0</v>
      </c>
      <c r="H120" s="71">
        <f t="shared" si="7"/>
        <v>0</v>
      </c>
      <c r="I120" s="71">
        <f t="shared" si="8"/>
        <v>1</v>
      </c>
      <c r="J120" s="71">
        <f t="shared" si="9"/>
        <v>0</v>
      </c>
      <c r="K120" s="16"/>
      <c r="L120" s="16"/>
      <c r="M120" s="17"/>
    </row>
    <row r="121" spans="1:13" ht="26.1" customHeight="1" x14ac:dyDescent="0.15">
      <c r="A121" s="22"/>
      <c r="B121" s="20" t="s">
        <v>0</v>
      </c>
      <c r="C121" s="35" t="s">
        <v>202</v>
      </c>
      <c r="D121" s="39"/>
      <c r="E121" s="39"/>
      <c r="F121" s="15" t="str">
        <f t="shared" si="5"/>
        <v/>
      </c>
      <c r="G121" s="71">
        <f t="shared" si="6"/>
        <v>0</v>
      </c>
      <c r="H121" s="71">
        <f t="shared" si="7"/>
        <v>0</v>
      </c>
      <c r="I121" s="71">
        <f t="shared" si="8"/>
        <v>1</v>
      </c>
      <c r="J121" s="71">
        <f t="shared" si="9"/>
        <v>0</v>
      </c>
      <c r="K121" s="16"/>
      <c r="L121" s="16"/>
      <c r="M121" s="17"/>
    </row>
    <row r="122" spans="1:13" ht="26.1" customHeight="1" x14ac:dyDescent="0.15">
      <c r="A122" s="22"/>
      <c r="B122" s="14" t="s">
        <v>44</v>
      </c>
      <c r="C122" s="34" t="s">
        <v>203</v>
      </c>
      <c r="D122" s="38"/>
      <c r="E122" s="38"/>
      <c r="F122" s="15" t="str">
        <f t="shared" si="5"/>
        <v/>
      </c>
      <c r="G122" s="71">
        <f t="shared" si="6"/>
        <v>0</v>
      </c>
      <c r="H122" s="71">
        <f t="shared" si="7"/>
        <v>0</v>
      </c>
      <c r="I122" s="71">
        <f t="shared" si="8"/>
        <v>1</v>
      </c>
      <c r="J122" s="71">
        <f t="shared" si="9"/>
        <v>0</v>
      </c>
      <c r="K122" s="16"/>
      <c r="L122" s="16"/>
      <c r="M122" s="17"/>
    </row>
    <row r="123" spans="1:13" ht="26.1" customHeight="1" x14ac:dyDescent="0.15">
      <c r="A123" s="22"/>
      <c r="B123" s="14" t="s">
        <v>45</v>
      </c>
      <c r="C123" s="34" t="s">
        <v>91</v>
      </c>
      <c r="D123" s="38"/>
      <c r="E123" s="38"/>
      <c r="F123" s="15" t="str">
        <f t="shared" si="5"/>
        <v/>
      </c>
      <c r="G123" s="71">
        <f t="shared" si="6"/>
        <v>0</v>
      </c>
      <c r="H123" s="71">
        <f t="shared" si="7"/>
        <v>0</v>
      </c>
      <c r="I123" s="71">
        <f t="shared" si="8"/>
        <v>1</v>
      </c>
      <c r="J123" s="71">
        <f t="shared" si="9"/>
        <v>0</v>
      </c>
      <c r="K123" s="16"/>
      <c r="L123" s="16"/>
      <c r="M123" s="17"/>
    </row>
    <row r="124" spans="1:13" ht="26.1" customHeight="1" x14ac:dyDescent="0.15">
      <c r="A124" s="22"/>
      <c r="B124" s="14" t="s">
        <v>46</v>
      </c>
      <c r="C124" s="34" t="s">
        <v>204</v>
      </c>
      <c r="D124" s="38"/>
      <c r="E124" s="38"/>
      <c r="F124" s="15" t="str">
        <f t="shared" si="5"/>
        <v/>
      </c>
      <c r="G124" s="71">
        <f t="shared" si="6"/>
        <v>0</v>
      </c>
      <c r="H124" s="71">
        <f t="shared" si="7"/>
        <v>0</v>
      </c>
      <c r="I124" s="71">
        <f t="shared" si="8"/>
        <v>1</v>
      </c>
      <c r="J124" s="71">
        <f t="shared" si="9"/>
        <v>0</v>
      </c>
      <c r="K124" s="16"/>
      <c r="L124" s="16"/>
      <c r="M124" s="17"/>
    </row>
    <row r="125" spans="1:13" ht="26.1" customHeight="1" x14ac:dyDescent="0.15">
      <c r="A125" s="22"/>
      <c r="B125" s="20" t="s">
        <v>1</v>
      </c>
      <c r="C125" s="35" t="s">
        <v>205</v>
      </c>
      <c r="D125" s="39"/>
      <c r="E125" s="39"/>
      <c r="F125" s="15" t="str">
        <f t="shared" si="5"/>
        <v/>
      </c>
      <c r="G125" s="71">
        <f t="shared" si="6"/>
        <v>0</v>
      </c>
      <c r="H125" s="71">
        <f t="shared" si="7"/>
        <v>0</v>
      </c>
      <c r="I125" s="71">
        <f t="shared" si="8"/>
        <v>1</v>
      </c>
      <c r="J125" s="71">
        <f t="shared" si="9"/>
        <v>0</v>
      </c>
      <c r="K125" s="16"/>
      <c r="L125" s="16"/>
      <c r="M125" s="17"/>
    </row>
    <row r="126" spans="1:13" ht="26.1" customHeight="1" x14ac:dyDescent="0.15">
      <c r="A126" s="22"/>
      <c r="B126" s="20" t="s">
        <v>2</v>
      </c>
      <c r="C126" s="35" t="s">
        <v>206</v>
      </c>
      <c r="D126" s="39"/>
      <c r="E126" s="39"/>
      <c r="F126" s="15" t="str">
        <f t="shared" si="5"/>
        <v/>
      </c>
      <c r="G126" s="71">
        <f t="shared" si="6"/>
        <v>0</v>
      </c>
      <c r="H126" s="71">
        <f t="shared" si="7"/>
        <v>0</v>
      </c>
      <c r="I126" s="71">
        <f t="shared" si="8"/>
        <v>1</v>
      </c>
      <c r="J126" s="71">
        <f t="shared" si="9"/>
        <v>0</v>
      </c>
      <c r="K126" s="16"/>
      <c r="L126" s="16"/>
      <c r="M126" s="17"/>
    </row>
    <row r="127" spans="1:13" ht="26.1" customHeight="1" x14ac:dyDescent="0.15">
      <c r="A127" s="22"/>
      <c r="B127" s="20" t="s">
        <v>47</v>
      </c>
      <c r="C127" s="35" t="s">
        <v>207</v>
      </c>
      <c r="D127" s="39"/>
      <c r="E127" s="39"/>
      <c r="F127" s="15" t="str">
        <f t="shared" si="5"/>
        <v/>
      </c>
      <c r="G127" s="71">
        <f t="shared" si="6"/>
        <v>0</v>
      </c>
      <c r="H127" s="71">
        <f t="shared" si="7"/>
        <v>0</v>
      </c>
      <c r="I127" s="71">
        <f t="shared" si="8"/>
        <v>1</v>
      </c>
      <c r="J127" s="71">
        <f t="shared" si="9"/>
        <v>0</v>
      </c>
      <c r="K127" s="16"/>
      <c r="L127" s="16"/>
      <c r="M127" s="17"/>
    </row>
    <row r="128" spans="1:13" ht="26.1" customHeight="1" x14ac:dyDescent="0.15">
      <c r="A128" s="22"/>
      <c r="B128" s="14" t="s">
        <v>5</v>
      </c>
      <c r="C128" s="34" t="s">
        <v>208</v>
      </c>
      <c r="D128" s="38"/>
      <c r="E128" s="38"/>
      <c r="F128" s="15" t="str">
        <f t="shared" si="5"/>
        <v/>
      </c>
      <c r="G128" s="71">
        <f t="shared" si="6"/>
        <v>0</v>
      </c>
      <c r="H128" s="71">
        <f t="shared" si="7"/>
        <v>0</v>
      </c>
      <c r="I128" s="71">
        <f t="shared" si="8"/>
        <v>1</v>
      </c>
      <c r="J128" s="71">
        <f t="shared" si="9"/>
        <v>0</v>
      </c>
      <c r="K128" s="16"/>
      <c r="L128" s="16"/>
      <c r="M128" s="17"/>
    </row>
    <row r="129" spans="1:13" ht="26.1" customHeight="1" x14ac:dyDescent="0.15">
      <c r="A129" s="22"/>
      <c r="B129" s="14" t="s">
        <v>51</v>
      </c>
      <c r="C129" s="34" t="s">
        <v>209</v>
      </c>
      <c r="D129" s="38"/>
      <c r="E129" s="38"/>
      <c r="F129" s="15" t="str">
        <f t="shared" si="5"/>
        <v/>
      </c>
      <c r="G129" s="71">
        <f t="shared" si="6"/>
        <v>0</v>
      </c>
      <c r="H129" s="71">
        <f t="shared" si="7"/>
        <v>0</v>
      </c>
      <c r="I129" s="71">
        <f t="shared" si="8"/>
        <v>1</v>
      </c>
      <c r="J129" s="71">
        <f t="shared" si="9"/>
        <v>0</v>
      </c>
      <c r="K129" s="16"/>
      <c r="L129" s="16"/>
      <c r="M129" s="17"/>
    </row>
    <row r="130" spans="1:13" ht="26.1" customHeight="1" x14ac:dyDescent="0.15">
      <c r="A130" s="22"/>
      <c r="B130" s="14" t="s">
        <v>52</v>
      </c>
      <c r="C130" s="34" t="s">
        <v>210</v>
      </c>
      <c r="D130" s="38"/>
      <c r="E130" s="38"/>
      <c r="F130" s="15" t="str">
        <f t="shared" si="5"/>
        <v/>
      </c>
      <c r="G130" s="71">
        <f t="shared" si="6"/>
        <v>0</v>
      </c>
      <c r="H130" s="71">
        <f t="shared" si="7"/>
        <v>0</v>
      </c>
      <c r="I130" s="71">
        <f t="shared" si="8"/>
        <v>1</v>
      </c>
      <c r="J130" s="71">
        <f t="shared" si="9"/>
        <v>0</v>
      </c>
      <c r="K130" s="16"/>
      <c r="L130" s="16"/>
      <c r="M130" s="17"/>
    </row>
    <row r="131" spans="1:13" ht="26.1" customHeight="1" x14ac:dyDescent="0.15">
      <c r="A131" s="22"/>
      <c r="B131" s="20" t="s">
        <v>48</v>
      </c>
      <c r="C131" s="35" t="s">
        <v>211</v>
      </c>
      <c r="D131" s="39"/>
      <c r="E131" s="39"/>
      <c r="F131" s="15" t="str">
        <f t="shared" si="5"/>
        <v/>
      </c>
      <c r="G131" s="71">
        <f t="shared" si="6"/>
        <v>0</v>
      </c>
      <c r="H131" s="71">
        <f t="shared" si="7"/>
        <v>0</v>
      </c>
      <c r="I131" s="71">
        <f t="shared" si="8"/>
        <v>1</v>
      </c>
      <c r="J131" s="71">
        <f t="shared" si="9"/>
        <v>0</v>
      </c>
      <c r="K131" s="16"/>
      <c r="L131" s="16"/>
      <c r="M131" s="17"/>
    </row>
    <row r="132" spans="1:13" ht="26.1" customHeight="1" x14ac:dyDescent="0.15">
      <c r="A132" s="22"/>
      <c r="B132" s="20" t="s">
        <v>49</v>
      </c>
      <c r="C132" s="35" t="s">
        <v>212</v>
      </c>
      <c r="D132" s="39"/>
      <c r="E132" s="39"/>
      <c r="F132" s="15" t="str">
        <f t="shared" si="5"/>
        <v/>
      </c>
      <c r="G132" s="71">
        <f t="shared" si="6"/>
        <v>0</v>
      </c>
      <c r="H132" s="71">
        <f t="shared" si="7"/>
        <v>0</v>
      </c>
      <c r="I132" s="71">
        <f t="shared" si="8"/>
        <v>1</v>
      </c>
      <c r="J132" s="71">
        <f t="shared" si="9"/>
        <v>0</v>
      </c>
      <c r="K132" s="16"/>
      <c r="L132" s="16"/>
      <c r="M132" s="17"/>
    </row>
    <row r="133" spans="1:13" ht="26.1" customHeight="1" x14ac:dyDescent="0.15">
      <c r="A133" s="23"/>
      <c r="B133" s="20" t="s">
        <v>50</v>
      </c>
      <c r="C133" s="35" t="s">
        <v>213</v>
      </c>
      <c r="D133" s="39"/>
      <c r="E133" s="39"/>
      <c r="F133" s="15" t="str">
        <f t="shared" si="5"/>
        <v/>
      </c>
      <c r="G133" s="71">
        <f t="shared" si="6"/>
        <v>0</v>
      </c>
      <c r="H133" s="71">
        <f t="shared" si="7"/>
        <v>0</v>
      </c>
      <c r="I133" s="71">
        <f t="shared" si="8"/>
        <v>1</v>
      </c>
      <c r="J133" s="71">
        <f t="shared" si="9"/>
        <v>0</v>
      </c>
      <c r="K133" s="16"/>
      <c r="L133" s="16"/>
      <c r="M133" s="17"/>
    </row>
    <row r="134" spans="1:13" ht="26.1" customHeight="1" x14ac:dyDescent="0.15">
      <c r="A134" s="56">
        <v>4</v>
      </c>
      <c r="B134" s="24" t="s">
        <v>41</v>
      </c>
      <c r="C134" s="36" t="s">
        <v>214</v>
      </c>
      <c r="D134" s="40"/>
      <c r="E134" s="40"/>
      <c r="F134" s="15" t="str">
        <f t="shared" si="5"/>
        <v/>
      </c>
      <c r="G134" s="71">
        <f t="shared" si="6"/>
        <v>0</v>
      </c>
      <c r="H134" s="71">
        <f t="shared" si="7"/>
        <v>0</v>
      </c>
      <c r="I134" s="71">
        <f t="shared" si="8"/>
        <v>1</v>
      </c>
      <c r="J134" s="71">
        <f t="shared" si="9"/>
        <v>0</v>
      </c>
      <c r="K134" s="16"/>
      <c r="L134" s="16"/>
      <c r="M134" s="17"/>
    </row>
    <row r="135" spans="1:13" ht="26.1" customHeight="1" x14ac:dyDescent="0.15">
      <c r="A135" s="22"/>
      <c r="B135" s="24" t="s">
        <v>42</v>
      </c>
      <c r="C135" s="36" t="s">
        <v>215</v>
      </c>
      <c r="D135" s="40"/>
      <c r="E135" s="40"/>
      <c r="F135" s="15" t="str">
        <f t="shared" si="5"/>
        <v/>
      </c>
      <c r="G135" s="71">
        <f t="shared" si="6"/>
        <v>0</v>
      </c>
      <c r="H135" s="71">
        <f t="shared" si="7"/>
        <v>0</v>
      </c>
      <c r="I135" s="71">
        <f t="shared" si="8"/>
        <v>1</v>
      </c>
      <c r="J135" s="71">
        <f t="shared" si="9"/>
        <v>0</v>
      </c>
      <c r="K135" s="16"/>
      <c r="L135" s="16"/>
      <c r="M135" s="17"/>
    </row>
    <row r="136" spans="1:13" ht="26.1" customHeight="1" x14ac:dyDescent="0.15">
      <c r="A136" s="22"/>
      <c r="B136" s="24" t="s">
        <v>43</v>
      </c>
      <c r="C136" s="36" t="s">
        <v>216</v>
      </c>
      <c r="D136" s="40"/>
      <c r="E136" s="40"/>
      <c r="F136" s="15" t="str">
        <f t="shared" si="5"/>
        <v/>
      </c>
      <c r="G136" s="71">
        <f t="shared" si="6"/>
        <v>0</v>
      </c>
      <c r="H136" s="71">
        <f t="shared" si="7"/>
        <v>0</v>
      </c>
      <c r="I136" s="71">
        <f t="shared" si="8"/>
        <v>1</v>
      </c>
      <c r="J136" s="71">
        <f t="shared" si="9"/>
        <v>0</v>
      </c>
      <c r="K136" s="16"/>
      <c r="L136" s="16"/>
      <c r="M136" s="17"/>
    </row>
    <row r="137" spans="1:13" ht="26.1" customHeight="1" x14ac:dyDescent="0.15">
      <c r="A137" s="22"/>
      <c r="B137" s="25" t="s">
        <v>3</v>
      </c>
      <c r="C137" s="37" t="s">
        <v>217</v>
      </c>
      <c r="D137" s="41"/>
      <c r="E137" s="41"/>
      <c r="F137" s="15" t="str">
        <f t="shared" ref="F137:F200" si="10">IF(D137="x",IF(E137&lt;&gt;"x","Paling Disukai","ERROR"),IF(E137="x","Paling Tidak Disukai",""))</f>
        <v/>
      </c>
      <c r="G137" s="71">
        <f t="shared" ref="G137:G200" si="11">IF(D137="x",IF(E137&lt;&gt;"x",1,0),0)</f>
        <v>0</v>
      </c>
      <c r="H137" s="71">
        <f t="shared" ref="H137:H200" si="12">IF(E137="x",IF(D137&lt;&gt;"x",1,0),0)</f>
        <v>0</v>
      </c>
      <c r="I137" s="71">
        <f t="shared" ref="I137:I200" si="13">IF(E137="x",0,IF(D137&lt;&gt;"x",1,0))</f>
        <v>1</v>
      </c>
      <c r="J137" s="71">
        <f t="shared" ref="J137:J200" si="14">IF(E137="x",IF(D137&lt;&gt;"x",0,1),0)</f>
        <v>0</v>
      </c>
      <c r="K137" s="16"/>
      <c r="L137" s="16"/>
      <c r="M137" s="17"/>
    </row>
    <row r="138" spans="1:13" ht="26.1" customHeight="1" x14ac:dyDescent="0.15">
      <c r="A138" s="22"/>
      <c r="B138" s="25" t="s">
        <v>6</v>
      </c>
      <c r="C138" s="37" t="s">
        <v>218</v>
      </c>
      <c r="D138" s="41"/>
      <c r="E138" s="41"/>
      <c r="F138" s="15" t="str">
        <f t="shared" si="10"/>
        <v/>
      </c>
      <c r="G138" s="71">
        <f t="shared" si="11"/>
        <v>0</v>
      </c>
      <c r="H138" s="71">
        <f t="shared" si="12"/>
        <v>0</v>
      </c>
      <c r="I138" s="71">
        <f t="shared" si="13"/>
        <v>1</v>
      </c>
      <c r="J138" s="71">
        <f t="shared" si="14"/>
        <v>0</v>
      </c>
      <c r="K138" s="16"/>
      <c r="L138" s="16"/>
      <c r="M138" s="17"/>
    </row>
    <row r="139" spans="1:13" ht="26.1" customHeight="1" x14ac:dyDescent="0.15">
      <c r="A139" s="22"/>
      <c r="B139" s="25" t="s">
        <v>0</v>
      </c>
      <c r="C139" s="37" t="s">
        <v>219</v>
      </c>
      <c r="D139" s="41"/>
      <c r="E139" s="41"/>
      <c r="F139" s="15" t="str">
        <f t="shared" si="10"/>
        <v/>
      </c>
      <c r="G139" s="71">
        <f t="shared" si="11"/>
        <v>0</v>
      </c>
      <c r="H139" s="71">
        <f t="shared" si="12"/>
        <v>0</v>
      </c>
      <c r="I139" s="71">
        <f t="shared" si="13"/>
        <v>1</v>
      </c>
      <c r="J139" s="71">
        <f t="shared" si="14"/>
        <v>0</v>
      </c>
      <c r="K139" s="16"/>
      <c r="L139" s="16"/>
      <c r="M139" s="17"/>
    </row>
    <row r="140" spans="1:13" ht="26.1" customHeight="1" x14ac:dyDescent="0.15">
      <c r="A140" s="22"/>
      <c r="B140" s="24" t="s">
        <v>44</v>
      </c>
      <c r="C140" s="36" t="s">
        <v>220</v>
      </c>
      <c r="D140" s="40"/>
      <c r="E140" s="40"/>
      <c r="F140" s="15" t="str">
        <f t="shared" si="10"/>
        <v/>
      </c>
      <c r="G140" s="71">
        <f t="shared" si="11"/>
        <v>0</v>
      </c>
      <c r="H140" s="71">
        <f t="shared" si="12"/>
        <v>0</v>
      </c>
      <c r="I140" s="71">
        <f t="shared" si="13"/>
        <v>1</v>
      </c>
      <c r="J140" s="71">
        <f t="shared" si="14"/>
        <v>0</v>
      </c>
      <c r="K140" s="16"/>
      <c r="L140" s="16"/>
      <c r="M140" s="17"/>
    </row>
    <row r="141" spans="1:13" ht="26.1" customHeight="1" x14ac:dyDescent="0.15">
      <c r="A141" s="22"/>
      <c r="B141" s="24" t="s">
        <v>45</v>
      </c>
      <c r="C141" s="36" t="s">
        <v>221</v>
      </c>
      <c r="D141" s="40"/>
      <c r="E141" s="40"/>
      <c r="F141" s="15" t="str">
        <f t="shared" si="10"/>
        <v/>
      </c>
      <c r="G141" s="71">
        <f t="shared" si="11"/>
        <v>0</v>
      </c>
      <c r="H141" s="71">
        <f t="shared" si="12"/>
        <v>0</v>
      </c>
      <c r="I141" s="71">
        <f t="shared" si="13"/>
        <v>1</v>
      </c>
      <c r="J141" s="71">
        <f t="shared" si="14"/>
        <v>0</v>
      </c>
      <c r="K141" s="16"/>
      <c r="L141" s="16"/>
      <c r="M141" s="17"/>
    </row>
    <row r="142" spans="1:13" ht="26.1" customHeight="1" x14ac:dyDescent="0.15">
      <c r="A142" s="22"/>
      <c r="B142" s="24" t="s">
        <v>46</v>
      </c>
      <c r="C142" s="36" t="s">
        <v>222</v>
      </c>
      <c r="D142" s="40"/>
      <c r="E142" s="40"/>
      <c r="F142" s="15" t="str">
        <f t="shared" si="10"/>
        <v/>
      </c>
      <c r="G142" s="71">
        <f t="shared" si="11"/>
        <v>0</v>
      </c>
      <c r="H142" s="71">
        <f t="shared" si="12"/>
        <v>0</v>
      </c>
      <c r="I142" s="71">
        <f t="shared" si="13"/>
        <v>1</v>
      </c>
      <c r="J142" s="71">
        <f t="shared" si="14"/>
        <v>0</v>
      </c>
      <c r="K142" s="16"/>
      <c r="L142" s="16"/>
      <c r="M142" s="17"/>
    </row>
    <row r="143" spans="1:13" ht="26.1" customHeight="1" x14ac:dyDescent="0.15">
      <c r="A143" s="22"/>
      <c r="B143" s="25" t="s">
        <v>1</v>
      </c>
      <c r="C143" s="37" t="s">
        <v>223</v>
      </c>
      <c r="D143" s="41"/>
      <c r="E143" s="41"/>
      <c r="F143" s="15" t="str">
        <f t="shared" si="10"/>
        <v/>
      </c>
      <c r="G143" s="71">
        <f t="shared" si="11"/>
        <v>0</v>
      </c>
      <c r="H143" s="71">
        <f t="shared" si="12"/>
        <v>0</v>
      </c>
      <c r="I143" s="71">
        <f t="shared" si="13"/>
        <v>1</v>
      </c>
      <c r="J143" s="71">
        <f t="shared" si="14"/>
        <v>0</v>
      </c>
      <c r="K143" s="16"/>
      <c r="L143" s="16"/>
      <c r="M143" s="17"/>
    </row>
    <row r="144" spans="1:13" ht="26.1" customHeight="1" x14ac:dyDescent="0.15">
      <c r="A144" s="22"/>
      <c r="B144" s="25" t="s">
        <v>2</v>
      </c>
      <c r="C144" s="37" t="s">
        <v>224</v>
      </c>
      <c r="D144" s="41"/>
      <c r="E144" s="41"/>
      <c r="F144" s="15" t="str">
        <f t="shared" si="10"/>
        <v/>
      </c>
      <c r="G144" s="71">
        <f t="shared" si="11"/>
        <v>0</v>
      </c>
      <c r="H144" s="71">
        <f t="shared" si="12"/>
        <v>0</v>
      </c>
      <c r="I144" s="71">
        <f t="shared" si="13"/>
        <v>1</v>
      </c>
      <c r="J144" s="71">
        <f t="shared" si="14"/>
        <v>0</v>
      </c>
      <c r="K144" s="16"/>
      <c r="L144" s="16"/>
      <c r="M144" s="17"/>
    </row>
    <row r="145" spans="1:13" ht="26.1" customHeight="1" x14ac:dyDescent="0.15">
      <c r="A145" s="22"/>
      <c r="B145" s="25" t="s">
        <v>47</v>
      </c>
      <c r="C145" s="37" t="s">
        <v>225</v>
      </c>
      <c r="D145" s="41"/>
      <c r="E145" s="41"/>
      <c r="F145" s="15" t="str">
        <f t="shared" si="10"/>
        <v/>
      </c>
      <c r="G145" s="71">
        <f t="shared" si="11"/>
        <v>0</v>
      </c>
      <c r="H145" s="71">
        <f t="shared" si="12"/>
        <v>0</v>
      </c>
      <c r="I145" s="71">
        <f t="shared" si="13"/>
        <v>1</v>
      </c>
      <c r="J145" s="71">
        <f t="shared" si="14"/>
        <v>0</v>
      </c>
      <c r="K145" s="16"/>
      <c r="L145" s="16"/>
      <c r="M145" s="17"/>
    </row>
    <row r="146" spans="1:13" ht="26.1" customHeight="1" x14ac:dyDescent="0.15">
      <c r="A146" s="22"/>
      <c r="B146" s="24" t="s">
        <v>5</v>
      </c>
      <c r="C146" s="36" t="s">
        <v>226</v>
      </c>
      <c r="D146" s="40"/>
      <c r="E146" s="40"/>
      <c r="F146" s="15" t="str">
        <f t="shared" si="10"/>
        <v/>
      </c>
      <c r="G146" s="71">
        <f t="shared" si="11"/>
        <v>0</v>
      </c>
      <c r="H146" s="71">
        <f t="shared" si="12"/>
        <v>0</v>
      </c>
      <c r="I146" s="71">
        <f t="shared" si="13"/>
        <v>1</v>
      </c>
      <c r="J146" s="71">
        <f t="shared" si="14"/>
        <v>0</v>
      </c>
      <c r="K146" s="16"/>
      <c r="L146" s="16"/>
      <c r="M146" s="17"/>
    </row>
    <row r="147" spans="1:13" ht="26.1" customHeight="1" x14ac:dyDescent="0.15">
      <c r="A147" s="22"/>
      <c r="B147" s="24" t="s">
        <v>51</v>
      </c>
      <c r="C147" s="36" t="s">
        <v>227</v>
      </c>
      <c r="D147" s="40"/>
      <c r="E147" s="40"/>
      <c r="F147" s="15" t="str">
        <f t="shared" si="10"/>
        <v/>
      </c>
      <c r="G147" s="71">
        <f t="shared" si="11"/>
        <v>0</v>
      </c>
      <c r="H147" s="71">
        <f t="shared" si="12"/>
        <v>0</v>
      </c>
      <c r="I147" s="71">
        <f t="shared" si="13"/>
        <v>1</v>
      </c>
      <c r="J147" s="71">
        <f t="shared" si="14"/>
        <v>0</v>
      </c>
      <c r="K147" s="16"/>
      <c r="L147" s="16"/>
      <c r="M147" s="17"/>
    </row>
    <row r="148" spans="1:13" ht="26.1" customHeight="1" x14ac:dyDescent="0.15">
      <c r="A148" s="22"/>
      <c r="B148" s="24" t="s">
        <v>52</v>
      </c>
      <c r="C148" s="36" t="s">
        <v>228</v>
      </c>
      <c r="D148" s="40"/>
      <c r="E148" s="40"/>
      <c r="F148" s="15" t="str">
        <f t="shared" si="10"/>
        <v/>
      </c>
      <c r="G148" s="71">
        <f t="shared" si="11"/>
        <v>0</v>
      </c>
      <c r="H148" s="71">
        <f t="shared" si="12"/>
        <v>0</v>
      </c>
      <c r="I148" s="71">
        <f t="shared" si="13"/>
        <v>1</v>
      </c>
      <c r="J148" s="71">
        <f t="shared" si="14"/>
        <v>0</v>
      </c>
      <c r="K148" s="16"/>
      <c r="L148" s="16"/>
      <c r="M148" s="17"/>
    </row>
    <row r="149" spans="1:13" ht="26.1" customHeight="1" x14ac:dyDescent="0.15">
      <c r="A149" s="22"/>
      <c r="B149" s="25" t="s">
        <v>48</v>
      </c>
      <c r="C149" s="37" t="s">
        <v>229</v>
      </c>
      <c r="D149" s="41"/>
      <c r="E149" s="41"/>
      <c r="F149" s="15" t="str">
        <f t="shared" si="10"/>
        <v/>
      </c>
      <c r="G149" s="71">
        <f t="shared" si="11"/>
        <v>0</v>
      </c>
      <c r="H149" s="71">
        <f t="shared" si="12"/>
        <v>0</v>
      </c>
      <c r="I149" s="71">
        <f t="shared" si="13"/>
        <v>1</v>
      </c>
      <c r="J149" s="71">
        <f t="shared" si="14"/>
        <v>0</v>
      </c>
      <c r="K149" s="16"/>
      <c r="L149" s="16"/>
      <c r="M149" s="17"/>
    </row>
    <row r="150" spans="1:13" ht="26.1" customHeight="1" x14ac:dyDescent="0.15">
      <c r="A150" s="22"/>
      <c r="B150" s="25" t="s">
        <v>49</v>
      </c>
      <c r="C150" s="37" t="s">
        <v>230</v>
      </c>
      <c r="D150" s="41"/>
      <c r="E150" s="41"/>
      <c r="F150" s="15" t="str">
        <f t="shared" si="10"/>
        <v/>
      </c>
      <c r="G150" s="71">
        <f t="shared" si="11"/>
        <v>0</v>
      </c>
      <c r="H150" s="71">
        <f t="shared" si="12"/>
        <v>0</v>
      </c>
      <c r="I150" s="71">
        <f t="shared" si="13"/>
        <v>1</v>
      </c>
      <c r="J150" s="71">
        <f t="shared" si="14"/>
        <v>0</v>
      </c>
      <c r="K150" s="16"/>
      <c r="L150" s="16"/>
      <c r="M150" s="17"/>
    </row>
    <row r="151" spans="1:13" ht="26.1" customHeight="1" x14ac:dyDescent="0.15">
      <c r="A151" s="22"/>
      <c r="B151" s="25" t="s">
        <v>50</v>
      </c>
      <c r="C151" s="37" t="s">
        <v>231</v>
      </c>
      <c r="D151" s="41"/>
      <c r="E151" s="41"/>
      <c r="F151" s="15" t="str">
        <f t="shared" si="10"/>
        <v/>
      </c>
      <c r="G151" s="71">
        <f t="shared" si="11"/>
        <v>0</v>
      </c>
      <c r="H151" s="71">
        <f t="shared" si="12"/>
        <v>0</v>
      </c>
      <c r="I151" s="71">
        <f t="shared" si="13"/>
        <v>1</v>
      </c>
      <c r="J151" s="71">
        <f t="shared" si="14"/>
        <v>0</v>
      </c>
      <c r="K151" s="16"/>
      <c r="L151" s="16"/>
      <c r="M151" s="17"/>
    </row>
    <row r="152" spans="1:13" ht="26.1" customHeight="1" x14ac:dyDescent="0.15">
      <c r="A152" s="22"/>
      <c r="B152" s="24" t="s">
        <v>53</v>
      </c>
      <c r="C152" s="36" t="s">
        <v>232</v>
      </c>
      <c r="D152" s="40"/>
      <c r="E152" s="40"/>
      <c r="F152" s="15" t="str">
        <f t="shared" si="10"/>
        <v/>
      </c>
      <c r="G152" s="71">
        <f t="shared" si="11"/>
        <v>0</v>
      </c>
      <c r="H152" s="71">
        <f t="shared" si="12"/>
        <v>0</v>
      </c>
      <c r="I152" s="71">
        <f t="shared" si="13"/>
        <v>1</v>
      </c>
      <c r="J152" s="71">
        <f t="shared" si="14"/>
        <v>0</v>
      </c>
      <c r="K152" s="16"/>
      <c r="L152" s="16"/>
      <c r="M152" s="17"/>
    </row>
    <row r="153" spans="1:13" ht="26.1" customHeight="1" x14ac:dyDescent="0.15">
      <c r="A153" s="22"/>
      <c r="B153" s="24" t="s">
        <v>4</v>
      </c>
      <c r="C153" s="36" t="s">
        <v>233</v>
      </c>
      <c r="D153" s="40"/>
      <c r="E153" s="40"/>
      <c r="F153" s="15" t="str">
        <f t="shared" si="10"/>
        <v/>
      </c>
      <c r="G153" s="71">
        <f t="shared" si="11"/>
        <v>0</v>
      </c>
      <c r="H153" s="71">
        <f t="shared" si="12"/>
        <v>0</v>
      </c>
      <c r="I153" s="71">
        <f t="shared" si="13"/>
        <v>1</v>
      </c>
      <c r="J153" s="71">
        <f t="shared" si="14"/>
        <v>0</v>
      </c>
      <c r="K153" s="16"/>
      <c r="L153" s="16"/>
      <c r="M153" s="17"/>
    </row>
    <row r="154" spans="1:13" ht="26.1" customHeight="1" x14ac:dyDescent="0.15">
      <c r="A154" s="22"/>
      <c r="B154" s="24" t="s">
        <v>54</v>
      </c>
      <c r="C154" s="36" t="s">
        <v>234</v>
      </c>
      <c r="D154" s="40"/>
      <c r="E154" s="40"/>
      <c r="F154" s="15" t="str">
        <f t="shared" si="10"/>
        <v/>
      </c>
      <c r="G154" s="71">
        <f t="shared" si="11"/>
        <v>0</v>
      </c>
      <c r="H154" s="71">
        <f t="shared" si="12"/>
        <v>0</v>
      </c>
      <c r="I154" s="71">
        <f t="shared" si="13"/>
        <v>1</v>
      </c>
      <c r="J154" s="71">
        <f t="shared" si="14"/>
        <v>0</v>
      </c>
      <c r="K154" s="16"/>
      <c r="L154" s="16"/>
      <c r="M154" s="17"/>
    </row>
    <row r="155" spans="1:13" ht="26.1" customHeight="1" x14ac:dyDescent="0.15">
      <c r="A155" s="22"/>
      <c r="B155" s="25" t="s">
        <v>55</v>
      </c>
      <c r="C155" s="37" t="s">
        <v>235</v>
      </c>
      <c r="D155" s="41"/>
      <c r="E155" s="41"/>
      <c r="F155" s="15" t="str">
        <f t="shared" si="10"/>
        <v/>
      </c>
      <c r="G155" s="71">
        <f t="shared" si="11"/>
        <v>0</v>
      </c>
      <c r="H155" s="71">
        <f t="shared" si="12"/>
        <v>0</v>
      </c>
      <c r="I155" s="71">
        <f t="shared" si="13"/>
        <v>1</v>
      </c>
      <c r="J155" s="71">
        <f t="shared" si="14"/>
        <v>0</v>
      </c>
      <c r="K155" s="16"/>
      <c r="L155" s="16"/>
      <c r="M155" s="17"/>
    </row>
    <row r="156" spans="1:13" ht="26.1" customHeight="1" x14ac:dyDescent="0.15">
      <c r="A156" s="22"/>
      <c r="B156" s="25" t="s">
        <v>56</v>
      </c>
      <c r="C156" s="37" t="s">
        <v>236</v>
      </c>
      <c r="D156" s="41"/>
      <c r="E156" s="41"/>
      <c r="F156" s="15" t="str">
        <f t="shared" si="10"/>
        <v/>
      </c>
      <c r="G156" s="71">
        <f t="shared" si="11"/>
        <v>0</v>
      </c>
      <c r="H156" s="71">
        <f t="shared" si="12"/>
        <v>0</v>
      </c>
      <c r="I156" s="71">
        <f t="shared" si="13"/>
        <v>1</v>
      </c>
      <c r="J156" s="71">
        <f t="shared" si="14"/>
        <v>0</v>
      </c>
      <c r="K156" s="16"/>
      <c r="L156" s="16"/>
      <c r="M156" s="17"/>
    </row>
    <row r="157" spans="1:13" ht="26.1" customHeight="1" x14ac:dyDescent="0.15">
      <c r="A157" s="22"/>
      <c r="B157" s="25" t="s">
        <v>57</v>
      </c>
      <c r="C157" s="37" t="s">
        <v>237</v>
      </c>
      <c r="D157" s="41"/>
      <c r="E157" s="41"/>
      <c r="F157" s="15" t="str">
        <f t="shared" si="10"/>
        <v/>
      </c>
      <c r="G157" s="71">
        <f t="shared" si="11"/>
        <v>0</v>
      </c>
      <c r="H157" s="71">
        <f t="shared" si="12"/>
        <v>0</v>
      </c>
      <c r="I157" s="71">
        <f t="shared" si="13"/>
        <v>1</v>
      </c>
      <c r="J157" s="71">
        <f t="shared" si="14"/>
        <v>0</v>
      </c>
      <c r="K157" s="16"/>
      <c r="L157" s="16"/>
      <c r="M157" s="17"/>
    </row>
    <row r="158" spans="1:13" ht="26.1" customHeight="1" x14ac:dyDescent="0.15">
      <c r="A158" s="22"/>
      <c r="B158" s="24" t="s">
        <v>19</v>
      </c>
      <c r="C158" s="36" t="s">
        <v>238</v>
      </c>
      <c r="D158" s="40"/>
      <c r="E158" s="40"/>
      <c r="F158" s="15" t="str">
        <f t="shared" si="10"/>
        <v/>
      </c>
      <c r="G158" s="71">
        <f t="shared" si="11"/>
        <v>0</v>
      </c>
      <c r="H158" s="71">
        <f t="shared" si="12"/>
        <v>0</v>
      </c>
      <c r="I158" s="71">
        <f t="shared" si="13"/>
        <v>1</v>
      </c>
      <c r="J158" s="71">
        <f t="shared" si="14"/>
        <v>0</v>
      </c>
      <c r="K158" s="16"/>
      <c r="L158" s="16"/>
      <c r="M158" s="17"/>
    </row>
    <row r="159" spans="1:13" ht="26.1" customHeight="1" x14ac:dyDescent="0.15">
      <c r="A159" s="22"/>
      <c r="B159" s="24" t="s">
        <v>20</v>
      </c>
      <c r="C159" s="36" t="s">
        <v>239</v>
      </c>
      <c r="D159" s="40"/>
      <c r="E159" s="40"/>
      <c r="F159" s="15" t="str">
        <f t="shared" si="10"/>
        <v/>
      </c>
      <c r="G159" s="71">
        <f t="shared" si="11"/>
        <v>0</v>
      </c>
      <c r="H159" s="71">
        <f t="shared" si="12"/>
        <v>0</v>
      </c>
      <c r="I159" s="71">
        <f t="shared" si="13"/>
        <v>1</v>
      </c>
      <c r="J159" s="71">
        <f t="shared" si="14"/>
        <v>0</v>
      </c>
      <c r="K159" s="16"/>
      <c r="L159" s="16"/>
      <c r="M159" s="17"/>
    </row>
    <row r="160" spans="1:13" ht="26.1" customHeight="1" x14ac:dyDescent="0.15">
      <c r="A160" s="22"/>
      <c r="B160" s="24" t="s">
        <v>21</v>
      </c>
      <c r="C160" s="36" t="s">
        <v>240</v>
      </c>
      <c r="D160" s="40"/>
      <c r="E160" s="40"/>
      <c r="F160" s="15" t="str">
        <f t="shared" si="10"/>
        <v/>
      </c>
      <c r="G160" s="71">
        <f t="shared" si="11"/>
        <v>0</v>
      </c>
      <c r="H160" s="71">
        <f t="shared" si="12"/>
        <v>0</v>
      </c>
      <c r="I160" s="71">
        <f t="shared" si="13"/>
        <v>1</v>
      </c>
      <c r="J160" s="71">
        <f t="shared" si="14"/>
        <v>0</v>
      </c>
      <c r="K160" s="16"/>
      <c r="L160" s="16"/>
      <c r="M160" s="17"/>
    </row>
    <row r="161" spans="1:13" ht="26.1" customHeight="1" x14ac:dyDescent="0.15">
      <c r="A161" s="22"/>
      <c r="B161" s="25" t="s">
        <v>22</v>
      </c>
      <c r="C161" s="37" t="s">
        <v>241</v>
      </c>
      <c r="D161" s="41"/>
      <c r="E161" s="41"/>
      <c r="F161" s="15" t="str">
        <f t="shared" si="10"/>
        <v/>
      </c>
      <c r="G161" s="71">
        <f t="shared" si="11"/>
        <v>0</v>
      </c>
      <c r="H161" s="71">
        <f t="shared" si="12"/>
        <v>0</v>
      </c>
      <c r="I161" s="71">
        <f t="shared" si="13"/>
        <v>1</v>
      </c>
      <c r="J161" s="71">
        <f t="shared" si="14"/>
        <v>0</v>
      </c>
      <c r="K161" s="16"/>
      <c r="L161" s="16"/>
      <c r="M161" s="17"/>
    </row>
    <row r="162" spans="1:13" ht="26.1" customHeight="1" x14ac:dyDescent="0.15">
      <c r="A162" s="22"/>
      <c r="B162" s="25" t="s">
        <v>23</v>
      </c>
      <c r="C162" s="37" t="s">
        <v>242</v>
      </c>
      <c r="D162" s="41"/>
      <c r="E162" s="41"/>
      <c r="F162" s="15" t="str">
        <f t="shared" si="10"/>
        <v/>
      </c>
      <c r="G162" s="71">
        <f t="shared" si="11"/>
        <v>0</v>
      </c>
      <c r="H162" s="71">
        <f t="shared" si="12"/>
        <v>0</v>
      </c>
      <c r="I162" s="71">
        <f t="shared" si="13"/>
        <v>1</v>
      </c>
      <c r="J162" s="71">
        <f t="shared" si="14"/>
        <v>0</v>
      </c>
      <c r="K162" s="16"/>
      <c r="L162" s="16"/>
      <c r="M162" s="17"/>
    </row>
    <row r="163" spans="1:13" ht="26.1" customHeight="1" x14ac:dyDescent="0.15">
      <c r="A163" s="22"/>
      <c r="B163" s="25" t="s">
        <v>24</v>
      </c>
      <c r="C163" s="37" t="s">
        <v>243</v>
      </c>
      <c r="D163" s="41"/>
      <c r="E163" s="41"/>
      <c r="F163" s="15" t="str">
        <f t="shared" si="10"/>
        <v/>
      </c>
      <c r="G163" s="71">
        <f t="shared" si="11"/>
        <v>0</v>
      </c>
      <c r="H163" s="71">
        <f t="shared" si="12"/>
        <v>0</v>
      </c>
      <c r="I163" s="71">
        <f t="shared" si="13"/>
        <v>1</v>
      </c>
      <c r="J163" s="71">
        <f t="shared" si="14"/>
        <v>0</v>
      </c>
      <c r="K163" s="16"/>
      <c r="L163" s="16"/>
      <c r="M163" s="17"/>
    </row>
    <row r="164" spans="1:13" ht="26.1" customHeight="1" x14ac:dyDescent="0.15">
      <c r="A164" s="22"/>
      <c r="B164" s="24" t="s">
        <v>25</v>
      </c>
      <c r="C164" s="36" t="s">
        <v>244</v>
      </c>
      <c r="D164" s="40"/>
      <c r="E164" s="40"/>
      <c r="F164" s="15" t="str">
        <f t="shared" si="10"/>
        <v/>
      </c>
      <c r="G164" s="71">
        <f t="shared" si="11"/>
        <v>0</v>
      </c>
      <c r="H164" s="71">
        <f t="shared" si="12"/>
        <v>0</v>
      </c>
      <c r="I164" s="71">
        <f t="shared" si="13"/>
        <v>1</v>
      </c>
      <c r="J164" s="71">
        <f t="shared" si="14"/>
        <v>0</v>
      </c>
      <c r="K164" s="16"/>
      <c r="L164" s="16"/>
      <c r="M164" s="17"/>
    </row>
    <row r="165" spans="1:13" ht="26.1" customHeight="1" x14ac:dyDescent="0.15">
      <c r="A165" s="22"/>
      <c r="B165" s="24" t="s">
        <v>26</v>
      </c>
      <c r="C165" s="36" t="s">
        <v>245</v>
      </c>
      <c r="D165" s="40"/>
      <c r="E165" s="40"/>
      <c r="F165" s="15" t="str">
        <f t="shared" si="10"/>
        <v/>
      </c>
      <c r="G165" s="71">
        <f t="shared" si="11"/>
        <v>0</v>
      </c>
      <c r="H165" s="71">
        <f t="shared" si="12"/>
        <v>0</v>
      </c>
      <c r="I165" s="71">
        <f t="shared" si="13"/>
        <v>1</v>
      </c>
      <c r="J165" s="71">
        <f t="shared" si="14"/>
        <v>0</v>
      </c>
      <c r="K165" s="16"/>
      <c r="L165" s="16"/>
      <c r="M165" s="17"/>
    </row>
    <row r="166" spans="1:13" ht="26.1" customHeight="1" x14ac:dyDescent="0.15">
      <c r="A166" s="22"/>
      <c r="B166" s="24" t="s">
        <v>58</v>
      </c>
      <c r="C166" s="36" t="s">
        <v>246</v>
      </c>
      <c r="D166" s="40"/>
      <c r="E166" s="40"/>
      <c r="F166" s="15" t="str">
        <f t="shared" si="10"/>
        <v/>
      </c>
      <c r="G166" s="71">
        <f t="shared" si="11"/>
        <v>0</v>
      </c>
      <c r="H166" s="71">
        <f t="shared" si="12"/>
        <v>0</v>
      </c>
      <c r="I166" s="71">
        <f t="shared" si="13"/>
        <v>1</v>
      </c>
      <c r="J166" s="71">
        <f t="shared" si="14"/>
        <v>0</v>
      </c>
      <c r="K166" s="16"/>
      <c r="L166" s="16"/>
      <c r="M166" s="17"/>
    </row>
    <row r="167" spans="1:13" ht="26.1" customHeight="1" x14ac:dyDescent="0.15">
      <c r="A167" s="22"/>
      <c r="B167" s="25" t="s">
        <v>27</v>
      </c>
      <c r="C167" s="37" t="s">
        <v>247</v>
      </c>
      <c r="D167" s="41"/>
      <c r="E167" s="41"/>
      <c r="F167" s="15" t="str">
        <f t="shared" si="10"/>
        <v/>
      </c>
      <c r="G167" s="71">
        <f t="shared" si="11"/>
        <v>0</v>
      </c>
      <c r="H167" s="71">
        <f t="shared" si="12"/>
        <v>0</v>
      </c>
      <c r="I167" s="71">
        <f t="shared" si="13"/>
        <v>1</v>
      </c>
      <c r="J167" s="71">
        <f t="shared" si="14"/>
        <v>0</v>
      </c>
      <c r="K167" s="16"/>
      <c r="L167" s="16"/>
      <c r="M167" s="17"/>
    </row>
    <row r="168" spans="1:13" ht="26.1" customHeight="1" x14ac:dyDescent="0.15">
      <c r="A168" s="22"/>
      <c r="B168" s="25" t="s">
        <v>28</v>
      </c>
      <c r="C168" s="37" t="s">
        <v>248</v>
      </c>
      <c r="D168" s="41"/>
      <c r="E168" s="41"/>
      <c r="F168" s="15" t="str">
        <f t="shared" si="10"/>
        <v/>
      </c>
      <c r="G168" s="71">
        <f t="shared" si="11"/>
        <v>0</v>
      </c>
      <c r="H168" s="71">
        <f t="shared" si="12"/>
        <v>0</v>
      </c>
      <c r="I168" s="71">
        <f t="shared" si="13"/>
        <v>1</v>
      </c>
      <c r="J168" s="71">
        <f t="shared" si="14"/>
        <v>0</v>
      </c>
      <c r="K168" s="16"/>
      <c r="L168" s="16"/>
      <c r="M168" s="17"/>
    </row>
    <row r="169" spans="1:13" ht="26.1" customHeight="1" x14ac:dyDescent="0.15">
      <c r="A169" s="22"/>
      <c r="B169" s="25" t="s">
        <v>29</v>
      </c>
      <c r="C169" s="37" t="s">
        <v>249</v>
      </c>
      <c r="D169" s="41"/>
      <c r="E169" s="41"/>
      <c r="F169" s="15" t="str">
        <f t="shared" si="10"/>
        <v/>
      </c>
      <c r="G169" s="71">
        <f t="shared" si="11"/>
        <v>0</v>
      </c>
      <c r="H169" s="71">
        <f t="shared" si="12"/>
        <v>0</v>
      </c>
      <c r="I169" s="71">
        <f t="shared" si="13"/>
        <v>1</v>
      </c>
      <c r="J169" s="71">
        <f t="shared" si="14"/>
        <v>0</v>
      </c>
      <c r="K169" s="16"/>
      <c r="L169" s="16"/>
      <c r="M169" s="17"/>
    </row>
    <row r="170" spans="1:13" ht="26.1" customHeight="1" x14ac:dyDescent="0.15">
      <c r="A170" s="22"/>
      <c r="B170" s="24" t="s">
        <v>30</v>
      </c>
      <c r="C170" s="36" t="s">
        <v>250</v>
      </c>
      <c r="D170" s="40"/>
      <c r="E170" s="40"/>
      <c r="F170" s="15" t="str">
        <f t="shared" si="10"/>
        <v/>
      </c>
      <c r="G170" s="71">
        <f t="shared" si="11"/>
        <v>0</v>
      </c>
      <c r="H170" s="71">
        <f t="shared" si="12"/>
        <v>0</v>
      </c>
      <c r="I170" s="71">
        <f t="shared" si="13"/>
        <v>1</v>
      </c>
      <c r="J170" s="71">
        <f t="shared" si="14"/>
        <v>0</v>
      </c>
      <c r="K170" s="16"/>
      <c r="L170" s="16"/>
      <c r="M170" s="17"/>
    </row>
    <row r="171" spans="1:13" ht="26.1" customHeight="1" x14ac:dyDescent="0.15">
      <c r="A171" s="22"/>
      <c r="B171" s="24" t="s">
        <v>31</v>
      </c>
      <c r="C171" s="36" t="s">
        <v>251</v>
      </c>
      <c r="D171" s="40"/>
      <c r="E171" s="40"/>
      <c r="F171" s="15" t="str">
        <f t="shared" si="10"/>
        <v/>
      </c>
      <c r="G171" s="71">
        <f t="shared" si="11"/>
        <v>0</v>
      </c>
      <c r="H171" s="71">
        <f t="shared" si="12"/>
        <v>0</v>
      </c>
      <c r="I171" s="71">
        <f t="shared" si="13"/>
        <v>1</v>
      </c>
      <c r="J171" s="71">
        <f t="shared" si="14"/>
        <v>0</v>
      </c>
      <c r="K171" s="16"/>
      <c r="L171" s="16"/>
      <c r="M171" s="17"/>
    </row>
    <row r="172" spans="1:13" ht="26.1" customHeight="1" x14ac:dyDescent="0.15">
      <c r="A172" s="22"/>
      <c r="B172" s="24" t="s">
        <v>32</v>
      </c>
      <c r="C172" s="36" t="s">
        <v>252</v>
      </c>
      <c r="D172" s="40"/>
      <c r="E172" s="40"/>
      <c r="F172" s="15" t="str">
        <f t="shared" si="10"/>
        <v/>
      </c>
      <c r="G172" s="71">
        <f t="shared" si="11"/>
        <v>0</v>
      </c>
      <c r="H172" s="71">
        <f t="shared" si="12"/>
        <v>0</v>
      </c>
      <c r="I172" s="71">
        <f t="shared" si="13"/>
        <v>1</v>
      </c>
      <c r="J172" s="71">
        <f t="shared" si="14"/>
        <v>0</v>
      </c>
      <c r="K172" s="16"/>
      <c r="L172" s="16"/>
      <c r="M172" s="17"/>
    </row>
    <row r="173" spans="1:13" ht="26.1" customHeight="1" x14ac:dyDescent="0.15">
      <c r="A173" s="22"/>
      <c r="B173" s="25" t="s">
        <v>33</v>
      </c>
      <c r="C173" s="37" t="s">
        <v>253</v>
      </c>
      <c r="D173" s="41"/>
      <c r="E173" s="41"/>
      <c r="F173" s="15" t="str">
        <f t="shared" si="10"/>
        <v/>
      </c>
      <c r="G173" s="71">
        <f t="shared" si="11"/>
        <v>0</v>
      </c>
      <c r="H173" s="71">
        <f t="shared" si="12"/>
        <v>0</v>
      </c>
      <c r="I173" s="71">
        <f t="shared" si="13"/>
        <v>1</v>
      </c>
      <c r="J173" s="71">
        <f t="shared" si="14"/>
        <v>0</v>
      </c>
      <c r="K173" s="16"/>
      <c r="L173" s="16"/>
      <c r="M173" s="17"/>
    </row>
    <row r="174" spans="1:13" ht="26.1" customHeight="1" x14ac:dyDescent="0.15">
      <c r="A174" s="22"/>
      <c r="B174" s="25" t="s">
        <v>34</v>
      </c>
      <c r="C174" s="37" t="s">
        <v>254</v>
      </c>
      <c r="D174" s="41"/>
      <c r="E174" s="41"/>
      <c r="F174" s="15" t="str">
        <f t="shared" si="10"/>
        <v/>
      </c>
      <c r="G174" s="71">
        <f t="shared" si="11"/>
        <v>0</v>
      </c>
      <c r="H174" s="71">
        <f t="shared" si="12"/>
        <v>0</v>
      </c>
      <c r="I174" s="71">
        <f t="shared" si="13"/>
        <v>1</v>
      </c>
      <c r="J174" s="71">
        <f t="shared" si="14"/>
        <v>0</v>
      </c>
      <c r="K174" s="16"/>
      <c r="L174" s="16"/>
      <c r="M174" s="17"/>
    </row>
    <row r="175" spans="1:13" ht="26.1" customHeight="1" x14ac:dyDescent="0.15">
      <c r="A175" s="23"/>
      <c r="B175" s="25" t="s">
        <v>35</v>
      </c>
      <c r="C175" s="37" t="s">
        <v>255</v>
      </c>
      <c r="D175" s="41"/>
      <c r="E175" s="41"/>
      <c r="F175" s="15" t="str">
        <f t="shared" si="10"/>
        <v/>
      </c>
      <c r="G175" s="71">
        <f t="shared" si="11"/>
        <v>0</v>
      </c>
      <c r="H175" s="71">
        <f t="shared" si="12"/>
        <v>0</v>
      </c>
      <c r="I175" s="71">
        <f t="shared" si="13"/>
        <v>1</v>
      </c>
      <c r="J175" s="71">
        <f t="shared" si="14"/>
        <v>0</v>
      </c>
      <c r="K175" s="16"/>
      <c r="L175" s="16"/>
      <c r="M175" s="17"/>
    </row>
    <row r="176" spans="1:13" ht="26.1" customHeight="1" x14ac:dyDescent="0.15">
      <c r="A176" s="21">
        <v>5</v>
      </c>
      <c r="B176" s="14" t="s">
        <v>19</v>
      </c>
      <c r="C176" s="34" t="s">
        <v>297</v>
      </c>
      <c r="D176" s="38"/>
      <c r="E176" s="38"/>
      <c r="F176" s="15" t="str">
        <f t="shared" si="10"/>
        <v/>
      </c>
      <c r="G176" s="71">
        <f t="shared" si="11"/>
        <v>0</v>
      </c>
      <c r="H176" s="71">
        <f t="shared" si="12"/>
        <v>0</v>
      </c>
      <c r="I176" s="71">
        <f t="shared" si="13"/>
        <v>1</v>
      </c>
      <c r="J176" s="71">
        <f t="shared" si="14"/>
        <v>0</v>
      </c>
      <c r="K176" s="16"/>
      <c r="L176" s="16"/>
      <c r="M176" s="17"/>
    </row>
    <row r="177" spans="1:13" ht="26.1" customHeight="1" x14ac:dyDescent="0.15">
      <c r="A177" s="22"/>
      <c r="B177" s="14" t="s">
        <v>20</v>
      </c>
      <c r="C177" s="34" t="s">
        <v>298</v>
      </c>
      <c r="D177" s="38"/>
      <c r="E177" s="38"/>
      <c r="F177" s="15" t="str">
        <f t="shared" si="10"/>
        <v/>
      </c>
      <c r="G177" s="71">
        <f t="shared" si="11"/>
        <v>0</v>
      </c>
      <c r="H177" s="71">
        <f t="shared" si="12"/>
        <v>0</v>
      </c>
      <c r="I177" s="71">
        <f t="shared" si="13"/>
        <v>1</v>
      </c>
      <c r="J177" s="71">
        <f t="shared" si="14"/>
        <v>0</v>
      </c>
      <c r="K177" s="16"/>
      <c r="L177" s="16"/>
      <c r="M177" s="17"/>
    </row>
    <row r="178" spans="1:13" ht="26.1" customHeight="1" x14ac:dyDescent="0.15">
      <c r="A178" s="22"/>
      <c r="B178" s="14" t="s">
        <v>21</v>
      </c>
      <c r="C178" s="34" t="s">
        <v>299</v>
      </c>
      <c r="D178" s="38"/>
      <c r="E178" s="38"/>
      <c r="F178" s="15" t="str">
        <f t="shared" si="10"/>
        <v/>
      </c>
      <c r="G178" s="71">
        <f t="shared" si="11"/>
        <v>0</v>
      </c>
      <c r="H178" s="71">
        <f t="shared" si="12"/>
        <v>0</v>
      </c>
      <c r="I178" s="71">
        <f t="shared" si="13"/>
        <v>1</v>
      </c>
      <c r="J178" s="71">
        <f t="shared" si="14"/>
        <v>0</v>
      </c>
      <c r="K178" s="16"/>
      <c r="L178" s="16"/>
      <c r="M178" s="17"/>
    </row>
    <row r="179" spans="1:13" ht="26.1" customHeight="1" x14ac:dyDescent="0.15">
      <c r="A179" s="22"/>
      <c r="B179" s="20" t="s">
        <v>22</v>
      </c>
      <c r="C179" s="35" t="s">
        <v>256</v>
      </c>
      <c r="D179" s="39"/>
      <c r="E179" s="39"/>
      <c r="F179" s="15" t="str">
        <f t="shared" si="10"/>
        <v/>
      </c>
      <c r="G179" s="71">
        <f t="shared" si="11"/>
        <v>0</v>
      </c>
      <c r="H179" s="71">
        <f t="shared" si="12"/>
        <v>0</v>
      </c>
      <c r="I179" s="71">
        <f t="shared" si="13"/>
        <v>1</v>
      </c>
      <c r="J179" s="71">
        <f t="shared" si="14"/>
        <v>0</v>
      </c>
      <c r="K179" s="16"/>
      <c r="L179" s="16"/>
      <c r="M179" s="17"/>
    </row>
    <row r="180" spans="1:13" ht="26.1" customHeight="1" x14ac:dyDescent="0.15">
      <c r="A180" s="22"/>
      <c r="B180" s="20" t="s">
        <v>23</v>
      </c>
      <c r="C180" s="35" t="s">
        <v>257</v>
      </c>
      <c r="D180" s="39"/>
      <c r="E180" s="39"/>
      <c r="F180" s="15" t="str">
        <f t="shared" si="10"/>
        <v/>
      </c>
      <c r="G180" s="71">
        <f t="shared" si="11"/>
        <v>0</v>
      </c>
      <c r="H180" s="71">
        <f t="shared" si="12"/>
        <v>0</v>
      </c>
      <c r="I180" s="71">
        <f t="shared" si="13"/>
        <v>1</v>
      </c>
      <c r="J180" s="71">
        <f t="shared" si="14"/>
        <v>0</v>
      </c>
      <c r="K180" s="16"/>
      <c r="L180" s="16"/>
      <c r="M180" s="17"/>
    </row>
    <row r="181" spans="1:13" ht="26.1" customHeight="1" x14ac:dyDescent="0.15">
      <c r="A181" s="22"/>
      <c r="B181" s="20" t="s">
        <v>24</v>
      </c>
      <c r="C181" s="35" t="s">
        <v>258</v>
      </c>
      <c r="D181" s="39"/>
      <c r="E181" s="39"/>
      <c r="F181" s="15" t="str">
        <f t="shared" si="10"/>
        <v/>
      </c>
      <c r="G181" s="71">
        <f t="shared" si="11"/>
        <v>0</v>
      </c>
      <c r="H181" s="71">
        <f t="shared" si="12"/>
        <v>0</v>
      </c>
      <c r="I181" s="71">
        <f t="shared" si="13"/>
        <v>1</v>
      </c>
      <c r="J181" s="71">
        <f t="shared" si="14"/>
        <v>0</v>
      </c>
      <c r="K181" s="16"/>
      <c r="L181" s="16"/>
      <c r="M181" s="17"/>
    </row>
    <row r="182" spans="1:13" ht="26.1" customHeight="1" x14ac:dyDescent="0.15">
      <c r="A182" s="22"/>
      <c r="B182" s="14" t="s">
        <v>25</v>
      </c>
      <c r="C182" s="34" t="s">
        <v>259</v>
      </c>
      <c r="D182" s="38"/>
      <c r="E182" s="38"/>
      <c r="F182" s="15" t="str">
        <f t="shared" si="10"/>
        <v/>
      </c>
      <c r="G182" s="71">
        <f t="shared" si="11"/>
        <v>0</v>
      </c>
      <c r="H182" s="71">
        <f t="shared" si="12"/>
        <v>0</v>
      </c>
      <c r="I182" s="71">
        <f t="shared" si="13"/>
        <v>1</v>
      </c>
      <c r="J182" s="71">
        <f t="shared" si="14"/>
        <v>0</v>
      </c>
      <c r="K182" s="16"/>
      <c r="L182" s="16"/>
      <c r="M182" s="17"/>
    </row>
    <row r="183" spans="1:13" ht="26.1" customHeight="1" x14ac:dyDescent="0.15">
      <c r="A183" s="22"/>
      <c r="B183" s="14" t="s">
        <v>26</v>
      </c>
      <c r="C183" s="34" t="s">
        <v>260</v>
      </c>
      <c r="D183" s="38"/>
      <c r="E183" s="38"/>
      <c r="F183" s="15" t="str">
        <f t="shared" si="10"/>
        <v/>
      </c>
      <c r="G183" s="71">
        <f t="shared" si="11"/>
        <v>0</v>
      </c>
      <c r="H183" s="71">
        <f t="shared" si="12"/>
        <v>0</v>
      </c>
      <c r="I183" s="71">
        <f t="shared" si="13"/>
        <v>1</v>
      </c>
      <c r="J183" s="71">
        <f t="shared" si="14"/>
        <v>0</v>
      </c>
      <c r="K183" s="16"/>
      <c r="L183" s="16"/>
      <c r="M183" s="17"/>
    </row>
    <row r="184" spans="1:13" ht="26.1" customHeight="1" x14ac:dyDescent="0.15">
      <c r="A184" s="22"/>
      <c r="B184" s="14" t="s">
        <v>58</v>
      </c>
      <c r="C184" s="34" t="s">
        <v>261</v>
      </c>
      <c r="D184" s="38"/>
      <c r="E184" s="38"/>
      <c r="F184" s="15" t="str">
        <f t="shared" si="10"/>
        <v/>
      </c>
      <c r="G184" s="71">
        <f t="shared" si="11"/>
        <v>0</v>
      </c>
      <c r="H184" s="71">
        <f t="shared" si="12"/>
        <v>0</v>
      </c>
      <c r="I184" s="71">
        <f t="shared" si="13"/>
        <v>1</v>
      </c>
      <c r="J184" s="71">
        <f t="shared" si="14"/>
        <v>0</v>
      </c>
      <c r="K184" s="16"/>
      <c r="L184" s="16"/>
      <c r="M184" s="17"/>
    </row>
    <row r="185" spans="1:13" ht="26.1" customHeight="1" x14ac:dyDescent="0.15">
      <c r="A185" s="22"/>
      <c r="B185" s="20" t="s">
        <v>27</v>
      </c>
      <c r="C185" s="35" t="s">
        <v>262</v>
      </c>
      <c r="D185" s="39"/>
      <c r="E185" s="39"/>
      <c r="F185" s="15" t="str">
        <f t="shared" si="10"/>
        <v/>
      </c>
      <c r="G185" s="71">
        <f t="shared" si="11"/>
        <v>0</v>
      </c>
      <c r="H185" s="71">
        <f t="shared" si="12"/>
        <v>0</v>
      </c>
      <c r="I185" s="71">
        <f t="shared" si="13"/>
        <v>1</v>
      </c>
      <c r="J185" s="71">
        <f t="shared" si="14"/>
        <v>0</v>
      </c>
      <c r="K185" s="16"/>
      <c r="L185" s="16"/>
      <c r="M185" s="17"/>
    </row>
    <row r="186" spans="1:13" ht="26.1" customHeight="1" x14ac:dyDescent="0.15">
      <c r="A186" s="22"/>
      <c r="B186" s="20" t="s">
        <v>28</v>
      </c>
      <c r="C186" s="35" t="s">
        <v>263</v>
      </c>
      <c r="D186" s="39"/>
      <c r="E186" s="39"/>
      <c r="F186" s="15" t="str">
        <f t="shared" si="10"/>
        <v/>
      </c>
      <c r="G186" s="71">
        <f t="shared" si="11"/>
        <v>0</v>
      </c>
      <c r="H186" s="71">
        <f t="shared" si="12"/>
        <v>0</v>
      </c>
      <c r="I186" s="71">
        <f t="shared" si="13"/>
        <v>1</v>
      </c>
      <c r="J186" s="71">
        <f t="shared" si="14"/>
        <v>0</v>
      </c>
      <c r="K186" s="16"/>
      <c r="L186" s="16"/>
      <c r="M186" s="17"/>
    </row>
    <row r="187" spans="1:13" ht="26.1" customHeight="1" x14ac:dyDescent="0.15">
      <c r="A187" s="22"/>
      <c r="B187" s="20" t="s">
        <v>29</v>
      </c>
      <c r="C187" s="35" t="s">
        <v>264</v>
      </c>
      <c r="D187" s="39"/>
      <c r="E187" s="39"/>
      <c r="F187" s="15" t="str">
        <f t="shared" si="10"/>
        <v/>
      </c>
      <c r="G187" s="71">
        <f t="shared" si="11"/>
        <v>0</v>
      </c>
      <c r="H187" s="71">
        <f t="shared" si="12"/>
        <v>0</v>
      </c>
      <c r="I187" s="71">
        <f t="shared" si="13"/>
        <v>1</v>
      </c>
      <c r="J187" s="71">
        <f t="shared" si="14"/>
        <v>0</v>
      </c>
      <c r="K187" s="16"/>
      <c r="L187" s="16"/>
      <c r="M187" s="17"/>
    </row>
    <row r="188" spans="1:13" ht="26.1" customHeight="1" x14ac:dyDescent="0.15">
      <c r="A188" s="22"/>
      <c r="B188" s="14" t="s">
        <v>30</v>
      </c>
      <c r="C188" s="34" t="s">
        <v>265</v>
      </c>
      <c r="D188" s="38"/>
      <c r="E188" s="38"/>
      <c r="F188" s="15" t="str">
        <f t="shared" si="10"/>
        <v/>
      </c>
      <c r="G188" s="71">
        <f t="shared" si="11"/>
        <v>0</v>
      </c>
      <c r="H188" s="71">
        <f t="shared" si="12"/>
        <v>0</v>
      </c>
      <c r="I188" s="71">
        <f t="shared" si="13"/>
        <v>1</v>
      </c>
      <c r="J188" s="71">
        <f t="shared" si="14"/>
        <v>0</v>
      </c>
      <c r="K188" s="16"/>
      <c r="L188" s="16"/>
      <c r="M188" s="17"/>
    </row>
    <row r="189" spans="1:13" ht="26.1" customHeight="1" x14ac:dyDescent="0.15">
      <c r="A189" s="22"/>
      <c r="B189" s="14" t="s">
        <v>31</v>
      </c>
      <c r="C189" s="34" t="s">
        <v>266</v>
      </c>
      <c r="D189" s="38"/>
      <c r="E189" s="38"/>
      <c r="F189" s="15" t="str">
        <f t="shared" si="10"/>
        <v/>
      </c>
      <c r="G189" s="71">
        <f t="shared" si="11"/>
        <v>0</v>
      </c>
      <c r="H189" s="71">
        <f t="shared" si="12"/>
        <v>0</v>
      </c>
      <c r="I189" s="71">
        <f t="shared" si="13"/>
        <v>1</v>
      </c>
      <c r="J189" s="71">
        <f t="shared" si="14"/>
        <v>0</v>
      </c>
      <c r="K189" s="16"/>
      <c r="L189" s="16"/>
      <c r="M189" s="17"/>
    </row>
    <row r="190" spans="1:13" ht="26.1" customHeight="1" x14ac:dyDescent="0.15">
      <c r="A190" s="22"/>
      <c r="B190" s="14" t="s">
        <v>32</v>
      </c>
      <c r="C190" s="34" t="s">
        <v>267</v>
      </c>
      <c r="D190" s="38"/>
      <c r="E190" s="38"/>
      <c r="F190" s="15" t="str">
        <f t="shared" si="10"/>
        <v/>
      </c>
      <c r="G190" s="71">
        <f t="shared" si="11"/>
        <v>0</v>
      </c>
      <c r="H190" s="71">
        <f t="shared" si="12"/>
        <v>0</v>
      </c>
      <c r="I190" s="71">
        <f t="shared" si="13"/>
        <v>1</v>
      </c>
      <c r="J190" s="71">
        <f t="shared" si="14"/>
        <v>0</v>
      </c>
      <c r="K190" s="16"/>
      <c r="L190" s="16"/>
      <c r="M190" s="17"/>
    </row>
    <row r="191" spans="1:13" ht="26.1" customHeight="1" x14ac:dyDescent="0.15">
      <c r="A191" s="22"/>
      <c r="B191" s="20" t="s">
        <v>33</v>
      </c>
      <c r="C191" s="35" t="s">
        <v>268</v>
      </c>
      <c r="D191" s="39"/>
      <c r="E191" s="39"/>
      <c r="F191" s="15" t="str">
        <f t="shared" si="10"/>
        <v/>
      </c>
      <c r="G191" s="71">
        <f t="shared" si="11"/>
        <v>0</v>
      </c>
      <c r="H191" s="71">
        <f t="shared" si="12"/>
        <v>0</v>
      </c>
      <c r="I191" s="71">
        <f t="shared" si="13"/>
        <v>1</v>
      </c>
      <c r="J191" s="71">
        <f t="shared" si="14"/>
        <v>0</v>
      </c>
      <c r="K191" s="16"/>
      <c r="L191" s="16"/>
      <c r="M191" s="17"/>
    </row>
    <row r="192" spans="1:13" ht="26.1" customHeight="1" x14ac:dyDescent="0.15">
      <c r="A192" s="22"/>
      <c r="B192" s="20" t="s">
        <v>34</v>
      </c>
      <c r="C192" s="35" t="s">
        <v>269</v>
      </c>
      <c r="D192" s="39"/>
      <c r="E192" s="39"/>
      <c r="F192" s="15" t="str">
        <f t="shared" si="10"/>
        <v/>
      </c>
      <c r="G192" s="71">
        <f t="shared" si="11"/>
        <v>0</v>
      </c>
      <c r="H192" s="71">
        <f t="shared" si="12"/>
        <v>0</v>
      </c>
      <c r="I192" s="71">
        <f t="shared" si="13"/>
        <v>1</v>
      </c>
      <c r="J192" s="71">
        <f t="shared" si="14"/>
        <v>0</v>
      </c>
      <c r="K192" s="16"/>
      <c r="L192" s="16"/>
      <c r="M192" s="17"/>
    </row>
    <row r="193" spans="1:13" ht="26.1" customHeight="1" x14ac:dyDescent="0.15">
      <c r="A193" s="22"/>
      <c r="B193" s="20" t="s">
        <v>35</v>
      </c>
      <c r="C193" s="35" t="s">
        <v>270</v>
      </c>
      <c r="D193" s="39"/>
      <c r="E193" s="39"/>
      <c r="F193" s="15" t="str">
        <f t="shared" si="10"/>
        <v/>
      </c>
      <c r="G193" s="71">
        <f t="shared" si="11"/>
        <v>0</v>
      </c>
      <c r="H193" s="71">
        <f t="shared" si="12"/>
        <v>0</v>
      </c>
      <c r="I193" s="71">
        <f t="shared" si="13"/>
        <v>1</v>
      </c>
      <c r="J193" s="71">
        <f t="shared" si="14"/>
        <v>0</v>
      </c>
      <c r="K193" s="16"/>
      <c r="L193" s="16"/>
      <c r="M193" s="17"/>
    </row>
    <row r="194" spans="1:13" ht="26.1" customHeight="1" x14ac:dyDescent="0.15">
      <c r="A194" s="22"/>
      <c r="B194" s="14" t="s">
        <v>36</v>
      </c>
      <c r="C194" s="34" t="s">
        <v>271</v>
      </c>
      <c r="D194" s="38"/>
      <c r="E194" s="38"/>
      <c r="F194" s="15" t="str">
        <f t="shared" si="10"/>
        <v/>
      </c>
      <c r="G194" s="71">
        <f t="shared" si="11"/>
        <v>0</v>
      </c>
      <c r="H194" s="71">
        <f t="shared" si="12"/>
        <v>0</v>
      </c>
      <c r="I194" s="71">
        <f t="shared" si="13"/>
        <v>1</v>
      </c>
      <c r="J194" s="71">
        <f t="shared" si="14"/>
        <v>0</v>
      </c>
      <c r="K194" s="16"/>
      <c r="L194" s="16"/>
      <c r="M194" s="17"/>
    </row>
    <row r="195" spans="1:13" ht="26.1" customHeight="1" x14ac:dyDescent="0.15">
      <c r="A195" s="22"/>
      <c r="B195" s="14" t="s">
        <v>37</v>
      </c>
      <c r="C195" s="34" t="s">
        <v>272</v>
      </c>
      <c r="D195" s="38"/>
      <c r="E195" s="38"/>
      <c r="F195" s="15" t="str">
        <f t="shared" si="10"/>
        <v/>
      </c>
      <c r="G195" s="71">
        <f t="shared" si="11"/>
        <v>0</v>
      </c>
      <c r="H195" s="71">
        <f t="shared" si="12"/>
        <v>0</v>
      </c>
      <c r="I195" s="71">
        <f t="shared" si="13"/>
        <v>1</v>
      </c>
      <c r="J195" s="71">
        <f t="shared" si="14"/>
        <v>0</v>
      </c>
      <c r="K195" s="16"/>
      <c r="L195" s="16"/>
      <c r="M195" s="17"/>
    </row>
    <row r="196" spans="1:13" ht="26.1" customHeight="1" x14ac:dyDescent="0.15">
      <c r="A196" s="22"/>
      <c r="B196" s="14" t="s">
        <v>38</v>
      </c>
      <c r="C196" s="34" t="s">
        <v>273</v>
      </c>
      <c r="D196" s="38"/>
      <c r="E196" s="38"/>
      <c r="F196" s="15" t="str">
        <f t="shared" si="10"/>
        <v/>
      </c>
      <c r="G196" s="71">
        <f t="shared" si="11"/>
        <v>0</v>
      </c>
      <c r="H196" s="71">
        <f t="shared" si="12"/>
        <v>0</v>
      </c>
      <c r="I196" s="71">
        <f t="shared" si="13"/>
        <v>1</v>
      </c>
      <c r="J196" s="71">
        <f t="shared" si="14"/>
        <v>0</v>
      </c>
      <c r="K196" s="16"/>
      <c r="L196" s="16"/>
      <c r="M196" s="17"/>
    </row>
    <row r="197" spans="1:13" ht="26.1" customHeight="1" x14ac:dyDescent="0.15">
      <c r="A197" s="22"/>
      <c r="B197" s="20" t="s">
        <v>18</v>
      </c>
      <c r="C197" s="35" t="s">
        <v>274</v>
      </c>
      <c r="D197" s="39"/>
      <c r="E197" s="39"/>
      <c r="F197" s="15" t="str">
        <f t="shared" si="10"/>
        <v/>
      </c>
      <c r="G197" s="71">
        <f t="shared" si="11"/>
        <v>0</v>
      </c>
      <c r="H197" s="71">
        <f t="shared" si="12"/>
        <v>0</v>
      </c>
      <c r="I197" s="71">
        <f t="shared" si="13"/>
        <v>1</v>
      </c>
      <c r="J197" s="71">
        <f t="shared" si="14"/>
        <v>0</v>
      </c>
      <c r="K197" s="16"/>
      <c r="L197" s="16"/>
      <c r="M197" s="17"/>
    </row>
    <row r="198" spans="1:13" ht="26.1" customHeight="1" x14ac:dyDescent="0.15">
      <c r="A198" s="22"/>
      <c r="B198" s="20" t="s">
        <v>39</v>
      </c>
      <c r="C198" s="35" t="s">
        <v>275</v>
      </c>
      <c r="D198" s="39"/>
      <c r="E198" s="39"/>
      <c r="F198" s="15" t="str">
        <f t="shared" si="10"/>
        <v/>
      </c>
      <c r="G198" s="71">
        <f t="shared" si="11"/>
        <v>0</v>
      </c>
      <c r="H198" s="71">
        <f t="shared" si="12"/>
        <v>0</v>
      </c>
      <c r="I198" s="71">
        <f t="shared" si="13"/>
        <v>1</v>
      </c>
      <c r="J198" s="71">
        <f t="shared" si="14"/>
        <v>0</v>
      </c>
      <c r="K198" s="16"/>
      <c r="L198" s="16"/>
      <c r="M198" s="17"/>
    </row>
    <row r="199" spans="1:13" ht="26.1" customHeight="1" x14ac:dyDescent="0.15">
      <c r="A199" s="22"/>
      <c r="B199" s="20" t="s">
        <v>40</v>
      </c>
      <c r="C199" s="35" t="s">
        <v>276</v>
      </c>
      <c r="D199" s="39"/>
      <c r="E199" s="39"/>
      <c r="F199" s="15" t="str">
        <f t="shared" si="10"/>
        <v/>
      </c>
      <c r="G199" s="71">
        <f t="shared" si="11"/>
        <v>0</v>
      </c>
      <c r="H199" s="71">
        <f t="shared" si="12"/>
        <v>0</v>
      </c>
      <c r="I199" s="71">
        <f t="shared" si="13"/>
        <v>1</v>
      </c>
      <c r="J199" s="71">
        <f t="shared" si="14"/>
        <v>0</v>
      </c>
      <c r="K199" s="16"/>
      <c r="L199" s="16"/>
      <c r="M199" s="17"/>
    </row>
    <row r="200" spans="1:13" ht="26.1" customHeight="1" x14ac:dyDescent="0.15">
      <c r="A200" s="22"/>
      <c r="B200" s="14" t="s">
        <v>41</v>
      </c>
      <c r="C200" s="34" t="s">
        <v>277</v>
      </c>
      <c r="D200" s="38"/>
      <c r="E200" s="38"/>
      <c r="F200" s="15" t="str">
        <f t="shared" si="10"/>
        <v/>
      </c>
      <c r="G200" s="71">
        <f t="shared" si="11"/>
        <v>0</v>
      </c>
      <c r="H200" s="71">
        <f t="shared" si="12"/>
        <v>0</v>
      </c>
      <c r="I200" s="71">
        <f t="shared" si="13"/>
        <v>1</v>
      </c>
      <c r="J200" s="71">
        <f t="shared" si="14"/>
        <v>0</v>
      </c>
      <c r="K200" s="16"/>
      <c r="L200" s="16"/>
      <c r="M200" s="17"/>
    </row>
    <row r="201" spans="1:13" ht="26.1" customHeight="1" x14ac:dyDescent="0.15">
      <c r="A201" s="22"/>
      <c r="B201" s="14" t="s">
        <v>42</v>
      </c>
      <c r="C201" s="34" t="s">
        <v>278</v>
      </c>
      <c r="D201" s="38"/>
      <c r="E201" s="38"/>
      <c r="F201" s="15" t="str">
        <f t="shared" ref="F201:F264" si="15">IF(D201="x",IF(E201&lt;&gt;"x","Paling Disukai","ERROR"),IF(E201="x","Paling Tidak Disukai",""))</f>
        <v/>
      </c>
      <c r="G201" s="71">
        <f t="shared" ref="G201:G264" si="16">IF(D201="x",IF(E201&lt;&gt;"x",1,0),0)</f>
        <v>0</v>
      </c>
      <c r="H201" s="71">
        <f t="shared" ref="H201:H264" si="17">IF(E201="x",IF(D201&lt;&gt;"x",1,0),0)</f>
        <v>0</v>
      </c>
      <c r="I201" s="71">
        <f t="shared" ref="I201:I264" si="18">IF(E201="x",0,IF(D201&lt;&gt;"x",1,0))</f>
        <v>1</v>
      </c>
      <c r="J201" s="71">
        <f t="shared" ref="J201:J264" si="19">IF(E201="x",IF(D201&lt;&gt;"x",0,1),0)</f>
        <v>0</v>
      </c>
      <c r="K201" s="16"/>
      <c r="L201" s="16"/>
      <c r="M201" s="17"/>
    </row>
    <row r="202" spans="1:13" ht="26.1" customHeight="1" x14ac:dyDescent="0.15">
      <c r="A202" s="22"/>
      <c r="B202" s="14" t="s">
        <v>43</v>
      </c>
      <c r="C202" s="34" t="s">
        <v>279</v>
      </c>
      <c r="D202" s="38"/>
      <c r="E202" s="38"/>
      <c r="F202" s="15" t="str">
        <f t="shared" si="15"/>
        <v/>
      </c>
      <c r="G202" s="71">
        <f t="shared" si="16"/>
        <v>0</v>
      </c>
      <c r="H202" s="71">
        <f t="shared" si="17"/>
        <v>0</v>
      </c>
      <c r="I202" s="71">
        <f t="shared" si="18"/>
        <v>1</v>
      </c>
      <c r="J202" s="71">
        <f t="shared" si="19"/>
        <v>0</v>
      </c>
      <c r="K202" s="16"/>
      <c r="L202" s="16"/>
      <c r="M202" s="17"/>
    </row>
    <row r="203" spans="1:13" ht="26.1" customHeight="1" x14ac:dyDescent="0.15">
      <c r="A203" s="22"/>
      <c r="B203" s="20" t="s">
        <v>3</v>
      </c>
      <c r="C203" s="35" t="s">
        <v>280</v>
      </c>
      <c r="D203" s="39"/>
      <c r="E203" s="39"/>
      <c r="F203" s="15" t="str">
        <f t="shared" si="15"/>
        <v/>
      </c>
      <c r="G203" s="71">
        <f t="shared" si="16"/>
        <v>0</v>
      </c>
      <c r="H203" s="71">
        <f t="shared" si="17"/>
        <v>0</v>
      </c>
      <c r="I203" s="71">
        <f t="shared" si="18"/>
        <v>1</v>
      </c>
      <c r="J203" s="71">
        <f t="shared" si="19"/>
        <v>0</v>
      </c>
      <c r="K203" s="16"/>
      <c r="L203" s="16"/>
      <c r="M203" s="17"/>
    </row>
    <row r="204" spans="1:13" ht="26.1" customHeight="1" x14ac:dyDescent="0.15">
      <c r="A204" s="22"/>
      <c r="B204" s="20" t="s">
        <v>6</v>
      </c>
      <c r="C204" s="35" t="s">
        <v>281</v>
      </c>
      <c r="D204" s="39"/>
      <c r="E204" s="39"/>
      <c r="F204" s="15" t="str">
        <f t="shared" si="15"/>
        <v/>
      </c>
      <c r="G204" s="71">
        <f t="shared" si="16"/>
        <v>0</v>
      </c>
      <c r="H204" s="71">
        <f t="shared" si="17"/>
        <v>0</v>
      </c>
      <c r="I204" s="71">
        <f t="shared" si="18"/>
        <v>1</v>
      </c>
      <c r="J204" s="71">
        <f t="shared" si="19"/>
        <v>0</v>
      </c>
      <c r="K204" s="16"/>
      <c r="L204" s="16"/>
      <c r="M204" s="17"/>
    </row>
    <row r="205" spans="1:13" ht="26.1" customHeight="1" x14ac:dyDescent="0.15">
      <c r="A205" s="22"/>
      <c r="B205" s="20" t="s">
        <v>0</v>
      </c>
      <c r="C205" s="35" t="s">
        <v>282</v>
      </c>
      <c r="D205" s="39"/>
      <c r="E205" s="39"/>
      <c r="F205" s="15" t="str">
        <f t="shared" si="15"/>
        <v/>
      </c>
      <c r="G205" s="71">
        <f t="shared" si="16"/>
        <v>0</v>
      </c>
      <c r="H205" s="71">
        <f t="shared" si="17"/>
        <v>0</v>
      </c>
      <c r="I205" s="71">
        <f t="shared" si="18"/>
        <v>1</v>
      </c>
      <c r="J205" s="71">
        <f t="shared" si="19"/>
        <v>0</v>
      </c>
      <c r="K205" s="16"/>
      <c r="L205" s="16"/>
      <c r="M205" s="17"/>
    </row>
    <row r="206" spans="1:13" ht="26.1" customHeight="1" x14ac:dyDescent="0.15">
      <c r="A206" s="22"/>
      <c r="B206" s="14" t="s">
        <v>44</v>
      </c>
      <c r="C206" s="34" t="s">
        <v>283</v>
      </c>
      <c r="D206" s="38"/>
      <c r="E206" s="38"/>
      <c r="F206" s="15" t="str">
        <f t="shared" si="15"/>
        <v/>
      </c>
      <c r="G206" s="71">
        <f t="shared" si="16"/>
        <v>0</v>
      </c>
      <c r="H206" s="71">
        <f t="shared" si="17"/>
        <v>0</v>
      </c>
      <c r="I206" s="71">
        <f t="shared" si="18"/>
        <v>1</v>
      </c>
      <c r="J206" s="71">
        <f t="shared" si="19"/>
        <v>0</v>
      </c>
      <c r="K206" s="16"/>
      <c r="L206" s="16"/>
      <c r="M206" s="17"/>
    </row>
    <row r="207" spans="1:13" ht="26.1" customHeight="1" x14ac:dyDescent="0.15">
      <c r="A207" s="22"/>
      <c r="B207" s="14" t="s">
        <v>45</v>
      </c>
      <c r="C207" s="34" t="s">
        <v>284</v>
      </c>
      <c r="D207" s="38"/>
      <c r="E207" s="38"/>
      <c r="F207" s="15" t="str">
        <f t="shared" si="15"/>
        <v/>
      </c>
      <c r="G207" s="71">
        <f t="shared" si="16"/>
        <v>0</v>
      </c>
      <c r="H207" s="71">
        <f t="shared" si="17"/>
        <v>0</v>
      </c>
      <c r="I207" s="71">
        <f t="shared" si="18"/>
        <v>1</v>
      </c>
      <c r="J207" s="71">
        <f t="shared" si="19"/>
        <v>0</v>
      </c>
      <c r="K207" s="16"/>
      <c r="L207" s="16"/>
      <c r="M207" s="17"/>
    </row>
    <row r="208" spans="1:13" ht="26.1" customHeight="1" x14ac:dyDescent="0.15">
      <c r="A208" s="22"/>
      <c r="B208" s="14" t="s">
        <v>46</v>
      </c>
      <c r="C208" s="34" t="s">
        <v>285</v>
      </c>
      <c r="D208" s="38"/>
      <c r="E208" s="38"/>
      <c r="F208" s="15" t="str">
        <f t="shared" si="15"/>
        <v/>
      </c>
      <c r="G208" s="71">
        <f t="shared" si="16"/>
        <v>0</v>
      </c>
      <c r="H208" s="71">
        <f t="shared" si="17"/>
        <v>0</v>
      </c>
      <c r="I208" s="71">
        <f t="shared" si="18"/>
        <v>1</v>
      </c>
      <c r="J208" s="71">
        <f t="shared" si="19"/>
        <v>0</v>
      </c>
      <c r="K208" s="16"/>
      <c r="L208" s="16"/>
      <c r="M208" s="17"/>
    </row>
    <row r="209" spans="1:13" ht="26.1" customHeight="1" x14ac:dyDescent="0.15">
      <c r="A209" s="22"/>
      <c r="B209" s="20" t="s">
        <v>1</v>
      </c>
      <c r="C209" s="35" t="s">
        <v>286</v>
      </c>
      <c r="D209" s="39"/>
      <c r="E209" s="39"/>
      <c r="F209" s="15" t="str">
        <f t="shared" si="15"/>
        <v/>
      </c>
      <c r="G209" s="71">
        <f t="shared" si="16"/>
        <v>0</v>
      </c>
      <c r="H209" s="71">
        <f t="shared" si="17"/>
        <v>0</v>
      </c>
      <c r="I209" s="71">
        <f t="shared" si="18"/>
        <v>1</v>
      </c>
      <c r="J209" s="71">
        <f t="shared" si="19"/>
        <v>0</v>
      </c>
      <c r="K209" s="16"/>
      <c r="L209" s="16"/>
      <c r="M209" s="17"/>
    </row>
    <row r="210" spans="1:13" ht="26.1" customHeight="1" x14ac:dyDescent="0.15">
      <c r="A210" s="22"/>
      <c r="B210" s="20" t="s">
        <v>2</v>
      </c>
      <c r="C210" s="35" t="s">
        <v>287</v>
      </c>
      <c r="D210" s="39"/>
      <c r="E210" s="39"/>
      <c r="F210" s="15" t="str">
        <f t="shared" si="15"/>
        <v/>
      </c>
      <c r="G210" s="71">
        <f t="shared" si="16"/>
        <v>0</v>
      </c>
      <c r="H210" s="71">
        <f t="shared" si="17"/>
        <v>0</v>
      </c>
      <c r="I210" s="71">
        <f t="shared" si="18"/>
        <v>1</v>
      </c>
      <c r="J210" s="71">
        <f t="shared" si="19"/>
        <v>0</v>
      </c>
      <c r="K210" s="16"/>
      <c r="L210" s="16"/>
      <c r="M210" s="17"/>
    </row>
    <row r="211" spans="1:13" ht="26.1" customHeight="1" x14ac:dyDescent="0.15">
      <c r="A211" s="22"/>
      <c r="B211" s="20" t="s">
        <v>47</v>
      </c>
      <c r="C211" s="35" t="s">
        <v>288</v>
      </c>
      <c r="D211" s="39"/>
      <c r="E211" s="39"/>
      <c r="F211" s="15" t="str">
        <f t="shared" si="15"/>
        <v/>
      </c>
      <c r="G211" s="71">
        <f t="shared" si="16"/>
        <v>0</v>
      </c>
      <c r="H211" s="71">
        <f t="shared" si="17"/>
        <v>0</v>
      </c>
      <c r="I211" s="71">
        <f t="shared" si="18"/>
        <v>1</v>
      </c>
      <c r="J211" s="71">
        <f t="shared" si="19"/>
        <v>0</v>
      </c>
      <c r="K211" s="16"/>
      <c r="L211" s="16"/>
      <c r="M211" s="17"/>
    </row>
    <row r="212" spans="1:13" ht="26.1" customHeight="1" x14ac:dyDescent="0.15">
      <c r="A212" s="22"/>
      <c r="B212" s="14" t="s">
        <v>5</v>
      </c>
      <c r="C212" s="34" t="s">
        <v>289</v>
      </c>
      <c r="D212" s="38"/>
      <c r="E212" s="38"/>
      <c r="F212" s="15" t="str">
        <f t="shared" si="15"/>
        <v/>
      </c>
      <c r="G212" s="71">
        <f t="shared" si="16"/>
        <v>0</v>
      </c>
      <c r="H212" s="71">
        <f t="shared" si="17"/>
        <v>0</v>
      </c>
      <c r="I212" s="71">
        <f t="shared" si="18"/>
        <v>1</v>
      </c>
      <c r="J212" s="71">
        <f t="shared" si="19"/>
        <v>0</v>
      </c>
      <c r="K212" s="16"/>
      <c r="L212" s="16"/>
      <c r="M212" s="17"/>
    </row>
    <row r="213" spans="1:13" ht="26.1" customHeight="1" x14ac:dyDescent="0.15">
      <c r="A213" s="22"/>
      <c r="B213" s="14" t="s">
        <v>51</v>
      </c>
      <c r="C213" s="34" t="s">
        <v>290</v>
      </c>
      <c r="D213" s="38"/>
      <c r="E213" s="38"/>
      <c r="F213" s="15" t="str">
        <f t="shared" si="15"/>
        <v/>
      </c>
      <c r="G213" s="71">
        <f t="shared" si="16"/>
        <v>0</v>
      </c>
      <c r="H213" s="71">
        <f t="shared" si="17"/>
        <v>0</v>
      </c>
      <c r="I213" s="71">
        <f t="shared" si="18"/>
        <v>1</v>
      </c>
      <c r="J213" s="71">
        <f t="shared" si="19"/>
        <v>0</v>
      </c>
      <c r="K213" s="16"/>
      <c r="L213" s="16"/>
      <c r="M213" s="17"/>
    </row>
    <row r="214" spans="1:13" ht="26.1" customHeight="1" x14ac:dyDescent="0.15">
      <c r="A214" s="22"/>
      <c r="B214" s="14" t="s">
        <v>52</v>
      </c>
      <c r="C214" s="34" t="s">
        <v>291</v>
      </c>
      <c r="D214" s="38"/>
      <c r="E214" s="38"/>
      <c r="F214" s="15" t="str">
        <f t="shared" si="15"/>
        <v/>
      </c>
      <c r="G214" s="71">
        <f t="shared" si="16"/>
        <v>0</v>
      </c>
      <c r="H214" s="71">
        <f t="shared" si="17"/>
        <v>0</v>
      </c>
      <c r="I214" s="71">
        <f t="shared" si="18"/>
        <v>1</v>
      </c>
      <c r="J214" s="71">
        <f t="shared" si="19"/>
        <v>0</v>
      </c>
      <c r="K214" s="16"/>
      <c r="L214" s="16"/>
      <c r="M214" s="17"/>
    </row>
    <row r="215" spans="1:13" ht="26.1" customHeight="1" x14ac:dyDescent="0.15">
      <c r="A215" s="22"/>
      <c r="B215" s="20" t="s">
        <v>48</v>
      </c>
      <c r="C215" s="35" t="s">
        <v>292</v>
      </c>
      <c r="D215" s="39"/>
      <c r="E215" s="39"/>
      <c r="F215" s="15" t="str">
        <f t="shared" si="15"/>
        <v/>
      </c>
      <c r="G215" s="71">
        <f t="shared" si="16"/>
        <v>0</v>
      </c>
      <c r="H215" s="71">
        <f t="shared" si="17"/>
        <v>0</v>
      </c>
      <c r="I215" s="71">
        <f t="shared" si="18"/>
        <v>1</v>
      </c>
      <c r="J215" s="71">
        <f t="shared" si="19"/>
        <v>0</v>
      </c>
      <c r="K215" s="16"/>
      <c r="L215" s="16"/>
      <c r="M215" s="17"/>
    </row>
    <row r="216" spans="1:13" ht="26.1" customHeight="1" x14ac:dyDescent="0.15">
      <c r="A216" s="22"/>
      <c r="B216" s="20" t="s">
        <v>49</v>
      </c>
      <c r="C216" s="35" t="s">
        <v>293</v>
      </c>
      <c r="D216" s="39"/>
      <c r="E216" s="39"/>
      <c r="F216" s="15" t="str">
        <f t="shared" si="15"/>
        <v/>
      </c>
      <c r="G216" s="71">
        <f t="shared" si="16"/>
        <v>0</v>
      </c>
      <c r="H216" s="71">
        <f t="shared" si="17"/>
        <v>0</v>
      </c>
      <c r="I216" s="71">
        <f t="shared" si="18"/>
        <v>1</v>
      </c>
      <c r="J216" s="71">
        <f t="shared" si="19"/>
        <v>0</v>
      </c>
      <c r="K216" s="16"/>
      <c r="L216" s="16"/>
      <c r="M216" s="17"/>
    </row>
    <row r="217" spans="1:13" ht="26.1" customHeight="1" x14ac:dyDescent="0.15">
      <c r="A217" s="23"/>
      <c r="B217" s="20" t="s">
        <v>50</v>
      </c>
      <c r="C217" s="35" t="s">
        <v>294</v>
      </c>
      <c r="D217" s="39"/>
      <c r="E217" s="39"/>
      <c r="F217" s="15" t="str">
        <f t="shared" si="15"/>
        <v/>
      </c>
      <c r="G217" s="71">
        <f t="shared" si="16"/>
        <v>0</v>
      </c>
      <c r="H217" s="71">
        <f t="shared" si="17"/>
        <v>0</v>
      </c>
      <c r="I217" s="71">
        <f t="shared" si="18"/>
        <v>1</v>
      </c>
      <c r="J217" s="71">
        <f t="shared" si="19"/>
        <v>0</v>
      </c>
      <c r="K217" s="16"/>
      <c r="L217" s="16"/>
      <c r="M217" s="17"/>
    </row>
    <row r="218" spans="1:13" ht="26.1" customHeight="1" x14ac:dyDescent="0.15">
      <c r="A218" s="56">
        <v>6</v>
      </c>
      <c r="B218" s="24" t="s">
        <v>41</v>
      </c>
      <c r="C218" s="36" t="s">
        <v>296</v>
      </c>
      <c r="D218" s="40"/>
      <c r="E218" s="40"/>
      <c r="F218" s="15" t="str">
        <f t="shared" si="15"/>
        <v/>
      </c>
      <c r="G218" s="71">
        <f t="shared" si="16"/>
        <v>0</v>
      </c>
      <c r="H218" s="71">
        <f t="shared" si="17"/>
        <v>0</v>
      </c>
      <c r="I218" s="71">
        <f t="shared" si="18"/>
        <v>1</v>
      </c>
      <c r="J218" s="71">
        <f t="shared" si="19"/>
        <v>0</v>
      </c>
      <c r="K218" s="16"/>
      <c r="L218" s="16"/>
      <c r="M218" s="17"/>
    </row>
    <row r="219" spans="1:13" ht="26.1" customHeight="1" x14ac:dyDescent="0.15">
      <c r="A219" s="22"/>
      <c r="B219" s="24" t="s">
        <v>42</v>
      </c>
      <c r="C219" s="36" t="s">
        <v>295</v>
      </c>
      <c r="D219" s="40"/>
      <c r="E219" s="40"/>
      <c r="F219" s="15" t="str">
        <f t="shared" si="15"/>
        <v/>
      </c>
      <c r="G219" s="71">
        <f t="shared" si="16"/>
        <v>0</v>
      </c>
      <c r="H219" s="71">
        <f t="shared" si="17"/>
        <v>0</v>
      </c>
      <c r="I219" s="71">
        <f t="shared" si="18"/>
        <v>1</v>
      </c>
      <c r="J219" s="71">
        <f t="shared" si="19"/>
        <v>0</v>
      </c>
      <c r="K219" s="16"/>
      <c r="L219" s="16"/>
      <c r="M219" s="17"/>
    </row>
    <row r="220" spans="1:13" ht="26.1" customHeight="1" x14ac:dyDescent="0.15">
      <c r="A220" s="22"/>
      <c r="B220" s="24" t="s">
        <v>43</v>
      </c>
      <c r="C220" s="36" t="s">
        <v>300</v>
      </c>
      <c r="D220" s="40"/>
      <c r="E220" s="40"/>
      <c r="F220" s="15" t="str">
        <f t="shared" si="15"/>
        <v/>
      </c>
      <c r="G220" s="71">
        <f t="shared" si="16"/>
        <v>0</v>
      </c>
      <c r="H220" s="71">
        <f t="shared" si="17"/>
        <v>0</v>
      </c>
      <c r="I220" s="71">
        <f t="shared" si="18"/>
        <v>1</v>
      </c>
      <c r="J220" s="71">
        <f t="shared" si="19"/>
        <v>0</v>
      </c>
      <c r="K220" s="16"/>
      <c r="L220" s="16"/>
      <c r="M220" s="17"/>
    </row>
    <row r="221" spans="1:13" ht="26.1" customHeight="1" x14ac:dyDescent="0.15">
      <c r="A221" s="22"/>
      <c r="B221" s="25" t="s">
        <v>3</v>
      </c>
      <c r="C221" s="37" t="s">
        <v>301</v>
      </c>
      <c r="D221" s="41"/>
      <c r="E221" s="41"/>
      <c r="F221" s="15" t="str">
        <f t="shared" si="15"/>
        <v/>
      </c>
      <c r="G221" s="71">
        <f t="shared" si="16"/>
        <v>0</v>
      </c>
      <c r="H221" s="71">
        <f t="shared" si="17"/>
        <v>0</v>
      </c>
      <c r="I221" s="71">
        <f t="shared" si="18"/>
        <v>1</v>
      </c>
      <c r="J221" s="71">
        <f t="shared" si="19"/>
        <v>0</v>
      </c>
      <c r="K221" s="16"/>
      <c r="L221" s="16"/>
      <c r="M221" s="17"/>
    </row>
    <row r="222" spans="1:13" ht="26.1" customHeight="1" x14ac:dyDescent="0.15">
      <c r="A222" s="22"/>
      <c r="B222" s="25" t="s">
        <v>6</v>
      </c>
      <c r="C222" s="37" t="s">
        <v>302</v>
      </c>
      <c r="D222" s="41"/>
      <c r="E222" s="41"/>
      <c r="F222" s="15" t="str">
        <f t="shared" si="15"/>
        <v/>
      </c>
      <c r="G222" s="71">
        <f t="shared" si="16"/>
        <v>0</v>
      </c>
      <c r="H222" s="71">
        <f t="shared" si="17"/>
        <v>0</v>
      </c>
      <c r="I222" s="71">
        <f t="shared" si="18"/>
        <v>1</v>
      </c>
      <c r="J222" s="71">
        <f t="shared" si="19"/>
        <v>0</v>
      </c>
      <c r="K222" s="16"/>
      <c r="L222" s="16"/>
      <c r="M222" s="17"/>
    </row>
    <row r="223" spans="1:13" ht="26.1" customHeight="1" x14ac:dyDescent="0.15">
      <c r="A223" s="22"/>
      <c r="B223" s="25" t="s">
        <v>0</v>
      </c>
      <c r="C223" s="37" t="s">
        <v>303</v>
      </c>
      <c r="D223" s="41"/>
      <c r="E223" s="41"/>
      <c r="F223" s="15" t="str">
        <f t="shared" si="15"/>
        <v/>
      </c>
      <c r="G223" s="71">
        <f t="shared" si="16"/>
        <v>0</v>
      </c>
      <c r="H223" s="71">
        <f t="shared" si="17"/>
        <v>0</v>
      </c>
      <c r="I223" s="71">
        <f t="shared" si="18"/>
        <v>1</v>
      </c>
      <c r="J223" s="71">
        <f t="shared" si="19"/>
        <v>0</v>
      </c>
      <c r="K223" s="16"/>
      <c r="L223" s="16"/>
      <c r="M223" s="17"/>
    </row>
    <row r="224" spans="1:13" ht="26.1" customHeight="1" x14ac:dyDescent="0.15">
      <c r="A224" s="22"/>
      <c r="B224" s="24" t="s">
        <v>44</v>
      </c>
      <c r="C224" s="36" t="s">
        <v>304</v>
      </c>
      <c r="D224" s="40"/>
      <c r="E224" s="40"/>
      <c r="F224" s="15" t="str">
        <f t="shared" si="15"/>
        <v/>
      </c>
      <c r="G224" s="71">
        <f t="shared" si="16"/>
        <v>0</v>
      </c>
      <c r="H224" s="71">
        <f t="shared" si="17"/>
        <v>0</v>
      </c>
      <c r="I224" s="71">
        <f t="shared" si="18"/>
        <v>1</v>
      </c>
      <c r="J224" s="71">
        <f t="shared" si="19"/>
        <v>0</v>
      </c>
      <c r="K224" s="16"/>
      <c r="L224" s="16"/>
      <c r="M224" s="17"/>
    </row>
    <row r="225" spans="1:13" ht="26.1" customHeight="1" x14ac:dyDescent="0.15">
      <c r="A225" s="22"/>
      <c r="B225" s="24" t="s">
        <v>45</v>
      </c>
      <c r="C225" s="36" t="s">
        <v>305</v>
      </c>
      <c r="D225" s="40"/>
      <c r="E225" s="40"/>
      <c r="F225" s="15" t="str">
        <f t="shared" si="15"/>
        <v/>
      </c>
      <c r="G225" s="71">
        <f t="shared" si="16"/>
        <v>0</v>
      </c>
      <c r="H225" s="71">
        <f t="shared" si="17"/>
        <v>0</v>
      </c>
      <c r="I225" s="71">
        <f t="shared" si="18"/>
        <v>1</v>
      </c>
      <c r="J225" s="71">
        <f t="shared" si="19"/>
        <v>0</v>
      </c>
      <c r="K225" s="16"/>
      <c r="L225" s="16"/>
      <c r="M225" s="17"/>
    </row>
    <row r="226" spans="1:13" ht="26.1" customHeight="1" x14ac:dyDescent="0.15">
      <c r="A226" s="22"/>
      <c r="B226" s="24" t="s">
        <v>46</v>
      </c>
      <c r="C226" s="36" t="s">
        <v>306</v>
      </c>
      <c r="D226" s="40"/>
      <c r="E226" s="40"/>
      <c r="F226" s="15" t="str">
        <f t="shared" si="15"/>
        <v/>
      </c>
      <c r="G226" s="71">
        <f t="shared" si="16"/>
        <v>0</v>
      </c>
      <c r="H226" s="71">
        <f t="shared" si="17"/>
        <v>0</v>
      </c>
      <c r="I226" s="71">
        <f t="shared" si="18"/>
        <v>1</v>
      </c>
      <c r="J226" s="71">
        <f t="shared" si="19"/>
        <v>0</v>
      </c>
      <c r="K226" s="16"/>
      <c r="L226" s="16"/>
      <c r="M226" s="17"/>
    </row>
    <row r="227" spans="1:13" ht="26.1" customHeight="1" x14ac:dyDescent="0.15">
      <c r="A227" s="22"/>
      <c r="B227" s="25" t="s">
        <v>1</v>
      </c>
      <c r="C227" s="37" t="s">
        <v>307</v>
      </c>
      <c r="D227" s="41"/>
      <c r="E227" s="41"/>
      <c r="F227" s="15" t="str">
        <f t="shared" si="15"/>
        <v/>
      </c>
      <c r="G227" s="71">
        <f t="shared" si="16"/>
        <v>0</v>
      </c>
      <c r="H227" s="71">
        <f t="shared" si="17"/>
        <v>0</v>
      </c>
      <c r="I227" s="71">
        <f t="shared" si="18"/>
        <v>1</v>
      </c>
      <c r="J227" s="71">
        <f t="shared" si="19"/>
        <v>0</v>
      </c>
      <c r="K227" s="16"/>
      <c r="L227" s="16"/>
      <c r="M227" s="17"/>
    </row>
    <row r="228" spans="1:13" ht="26.1" customHeight="1" x14ac:dyDescent="0.15">
      <c r="A228" s="22"/>
      <c r="B228" s="25" t="s">
        <v>2</v>
      </c>
      <c r="C228" s="37" t="s">
        <v>308</v>
      </c>
      <c r="D228" s="41"/>
      <c r="E228" s="41"/>
      <c r="F228" s="15" t="str">
        <f t="shared" si="15"/>
        <v/>
      </c>
      <c r="G228" s="71">
        <f t="shared" si="16"/>
        <v>0</v>
      </c>
      <c r="H228" s="71">
        <f t="shared" si="17"/>
        <v>0</v>
      </c>
      <c r="I228" s="71">
        <f t="shared" si="18"/>
        <v>1</v>
      </c>
      <c r="J228" s="71">
        <f t="shared" si="19"/>
        <v>0</v>
      </c>
      <c r="K228" s="16"/>
      <c r="L228" s="16"/>
      <c r="M228" s="17"/>
    </row>
    <row r="229" spans="1:13" ht="26.1" customHeight="1" x14ac:dyDescent="0.15">
      <c r="A229" s="22"/>
      <c r="B229" s="25" t="s">
        <v>47</v>
      </c>
      <c r="C229" s="37" t="s">
        <v>309</v>
      </c>
      <c r="D229" s="41"/>
      <c r="E229" s="41"/>
      <c r="F229" s="15" t="str">
        <f t="shared" si="15"/>
        <v/>
      </c>
      <c r="G229" s="71">
        <f t="shared" si="16"/>
        <v>0</v>
      </c>
      <c r="H229" s="71">
        <f t="shared" si="17"/>
        <v>0</v>
      </c>
      <c r="I229" s="71">
        <f t="shared" si="18"/>
        <v>1</v>
      </c>
      <c r="J229" s="71">
        <f t="shared" si="19"/>
        <v>0</v>
      </c>
      <c r="K229" s="16"/>
      <c r="L229" s="16"/>
      <c r="M229" s="17"/>
    </row>
    <row r="230" spans="1:13" ht="26.1" customHeight="1" x14ac:dyDescent="0.15">
      <c r="A230" s="22"/>
      <c r="B230" s="24" t="s">
        <v>5</v>
      </c>
      <c r="C230" s="36" t="s">
        <v>310</v>
      </c>
      <c r="D230" s="40"/>
      <c r="E230" s="40"/>
      <c r="F230" s="15" t="str">
        <f t="shared" si="15"/>
        <v/>
      </c>
      <c r="G230" s="71">
        <f t="shared" si="16"/>
        <v>0</v>
      </c>
      <c r="H230" s="71">
        <f t="shared" si="17"/>
        <v>0</v>
      </c>
      <c r="I230" s="71">
        <f t="shared" si="18"/>
        <v>1</v>
      </c>
      <c r="J230" s="71">
        <f t="shared" si="19"/>
        <v>0</v>
      </c>
      <c r="K230" s="16"/>
      <c r="L230" s="16"/>
      <c r="M230" s="17"/>
    </row>
    <row r="231" spans="1:13" ht="26.1" customHeight="1" x14ac:dyDescent="0.15">
      <c r="A231" s="22"/>
      <c r="B231" s="24" t="s">
        <v>51</v>
      </c>
      <c r="C231" s="36" t="s">
        <v>311</v>
      </c>
      <c r="D231" s="40"/>
      <c r="E231" s="40"/>
      <c r="F231" s="15" t="str">
        <f t="shared" si="15"/>
        <v/>
      </c>
      <c r="G231" s="71">
        <f t="shared" si="16"/>
        <v>0</v>
      </c>
      <c r="H231" s="71">
        <f t="shared" si="17"/>
        <v>0</v>
      </c>
      <c r="I231" s="71">
        <f t="shared" si="18"/>
        <v>1</v>
      </c>
      <c r="J231" s="71">
        <f t="shared" si="19"/>
        <v>0</v>
      </c>
      <c r="K231" s="16"/>
      <c r="L231" s="16"/>
      <c r="M231" s="17"/>
    </row>
    <row r="232" spans="1:13" ht="26.1" customHeight="1" x14ac:dyDescent="0.15">
      <c r="A232" s="22"/>
      <c r="B232" s="24" t="s">
        <v>52</v>
      </c>
      <c r="C232" s="36" t="s">
        <v>312</v>
      </c>
      <c r="D232" s="40"/>
      <c r="E232" s="40"/>
      <c r="F232" s="15" t="str">
        <f t="shared" si="15"/>
        <v/>
      </c>
      <c r="G232" s="71">
        <f t="shared" si="16"/>
        <v>0</v>
      </c>
      <c r="H232" s="71">
        <f t="shared" si="17"/>
        <v>0</v>
      </c>
      <c r="I232" s="71">
        <f t="shared" si="18"/>
        <v>1</v>
      </c>
      <c r="J232" s="71">
        <f t="shared" si="19"/>
        <v>0</v>
      </c>
      <c r="K232" s="16"/>
      <c r="L232" s="16"/>
      <c r="M232" s="17"/>
    </row>
    <row r="233" spans="1:13" ht="26.1" customHeight="1" x14ac:dyDescent="0.15">
      <c r="A233" s="22"/>
      <c r="B233" s="25" t="s">
        <v>48</v>
      </c>
      <c r="C233" s="37" t="s">
        <v>313</v>
      </c>
      <c r="D233" s="41"/>
      <c r="E233" s="41"/>
      <c r="F233" s="15" t="str">
        <f t="shared" si="15"/>
        <v/>
      </c>
      <c r="G233" s="71">
        <f t="shared" si="16"/>
        <v>0</v>
      </c>
      <c r="H233" s="71">
        <f t="shared" si="17"/>
        <v>0</v>
      </c>
      <c r="I233" s="71">
        <f t="shared" si="18"/>
        <v>1</v>
      </c>
      <c r="J233" s="71">
        <f t="shared" si="19"/>
        <v>0</v>
      </c>
      <c r="K233" s="16"/>
      <c r="L233" s="16"/>
      <c r="M233" s="17"/>
    </row>
    <row r="234" spans="1:13" ht="26.1" customHeight="1" x14ac:dyDescent="0.15">
      <c r="A234" s="22"/>
      <c r="B234" s="25" t="s">
        <v>49</v>
      </c>
      <c r="C234" s="37" t="s">
        <v>314</v>
      </c>
      <c r="D234" s="41"/>
      <c r="E234" s="41"/>
      <c r="F234" s="15" t="str">
        <f t="shared" si="15"/>
        <v/>
      </c>
      <c r="G234" s="71">
        <f t="shared" si="16"/>
        <v>0</v>
      </c>
      <c r="H234" s="71">
        <f t="shared" si="17"/>
        <v>0</v>
      </c>
      <c r="I234" s="71">
        <f t="shared" si="18"/>
        <v>1</v>
      </c>
      <c r="J234" s="71">
        <f t="shared" si="19"/>
        <v>0</v>
      </c>
      <c r="K234" s="16"/>
      <c r="L234" s="16"/>
      <c r="M234" s="17"/>
    </row>
    <row r="235" spans="1:13" ht="26.1" customHeight="1" x14ac:dyDescent="0.15">
      <c r="A235" s="22"/>
      <c r="B235" s="25" t="s">
        <v>50</v>
      </c>
      <c r="C235" s="37" t="s">
        <v>315</v>
      </c>
      <c r="D235" s="41"/>
      <c r="E235" s="41"/>
      <c r="F235" s="15" t="str">
        <f t="shared" si="15"/>
        <v/>
      </c>
      <c r="G235" s="71">
        <f t="shared" si="16"/>
        <v>0</v>
      </c>
      <c r="H235" s="71">
        <f t="shared" si="17"/>
        <v>0</v>
      </c>
      <c r="I235" s="71">
        <f t="shared" si="18"/>
        <v>1</v>
      </c>
      <c r="J235" s="71">
        <f t="shared" si="19"/>
        <v>0</v>
      </c>
      <c r="K235" s="16"/>
      <c r="L235" s="16"/>
      <c r="M235" s="17"/>
    </row>
    <row r="236" spans="1:13" ht="26.1" customHeight="1" x14ac:dyDescent="0.15">
      <c r="A236" s="22"/>
      <c r="B236" s="24" t="s">
        <v>53</v>
      </c>
      <c r="C236" s="36" t="s">
        <v>316</v>
      </c>
      <c r="D236" s="40"/>
      <c r="E236" s="40"/>
      <c r="F236" s="15" t="str">
        <f t="shared" si="15"/>
        <v/>
      </c>
      <c r="G236" s="71">
        <f t="shared" si="16"/>
        <v>0</v>
      </c>
      <c r="H236" s="71">
        <f t="shared" si="17"/>
        <v>0</v>
      </c>
      <c r="I236" s="71">
        <f t="shared" si="18"/>
        <v>1</v>
      </c>
      <c r="J236" s="71">
        <f t="shared" si="19"/>
        <v>0</v>
      </c>
      <c r="K236" s="16"/>
      <c r="L236" s="16"/>
      <c r="M236" s="17"/>
    </row>
    <row r="237" spans="1:13" ht="26.1" customHeight="1" x14ac:dyDescent="0.15">
      <c r="A237" s="22"/>
      <c r="B237" s="24" t="s">
        <v>4</v>
      </c>
      <c r="C237" s="36" t="s">
        <v>317</v>
      </c>
      <c r="D237" s="40"/>
      <c r="E237" s="40"/>
      <c r="F237" s="15" t="str">
        <f t="shared" si="15"/>
        <v/>
      </c>
      <c r="G237" s="71">
        <f t="shared" si="16"/>
        <v>0</v>
      </c>
      <c r="H237" s="71">
        <f t="shared" si="17"/>
        <v>0</v>
      </c>
      <c r="I237" s="71">
        <f t="shared" si="18"/>
        <v>1</v>
      </c>
      <c r="J237" s="71">
        <f t="shared" si="19"/>
        <v>0</v>
      </c>
      <c r="K237" s="16"/>
      <c r="L237" s="16"/>
      <c r="M237" s="17"/>
    </row>
    <row r="238" spans="1:13" ht="26.1" customHeight="1" x14ac:dyDescent="0.15">
      <c r="A238" s="22"/>
      <c r="B238" s="24" t="s">
        <v>54</v>
      </c>
      <c r="C238" s="36" t="s">
        <v>318</v>
      </c>
      <c r="D238" s="40"/>
      <c r="E238" s="40"/>
      <c r="F238" s="15" t="str">
        <f t="shared" si="15"/>
        <v/>
      </c>
      <c r="G238" s="71">
        <f t="shared" si="16"/>
        <v>0</v>
      </c>
      <c r="H238" s="71">
        <f t="shared" si="17"/>
        <v>0</v>
      </c>
      <c r="I238" s="71">
        <f t="shared" si="18"/>
        <v>1</v>
      </c>
      <c r="J238" s="71">
        <f t="shared" si="19"/>
        <v>0</v>
      </c>
      <c r="K238" s="16"/>
      <c r="L238" s="16"/>
      <c r="M238" s="17"/>
    </row>
    <row r="239" spans="1:13" ht="26.1" customHeight="1" x14ac:dyDescent="0.15">
      <c r="A239" s="22"/>
      <c r="B239" s="25" t="s">
        <v>55</v>
      </c>
      <c r="C239" s="37" t="s">
        <v>319</v>
      </c>
      <c r="D239" s="41"/>
      <c r="E239" s="41"/>
      <c r="F239" s="15" t="str">
        <f t="shared" si="15"/>
        <v/>
      </c>
      <c r="G239" s="71">
        <f t="shared" si="16"/>
        <v>0</v>
      </c>
      <c r="H239" s="71">
        <f t="shared" si="17"/>
        <v>0</v>
      </c>
      <c r="I239" s="71">
        <f t="shared" si="18"/>
        <v>1</v>
      </c>
      <c r="J239" s="71">
        <f t="shared" si="19"/>
        <v>0</v>
      </c>
      <c r="K239" s="16"/>
      <c r="L239" s="16"/>
      <c r="M239" s="17"/>
    </row>
    <row r="240" spans="1:13" ht="26.1" customHeight="1" x14ac:dyDescent="0.15">
      <c r="A240" s="22"/>
      <c r="B240" s="25" t="s">
        <v>56</v>
      </c>
      <c r="C240" s="37" t="s">
        <v>320</v>
      </c>
      <c r="D240" s="41"/>
      <c r="E240" s="41"/>
      <c r="F240" s="15" t="str">
        <f t="shared" si="15"/>
        <v/>
      </c>
      <c r="G240" s="71">
        <f t="shared" si="16"/>
        <v>0</v>
      </c>
      <c r="H240" s="71">
        <f t="shared" si="17"/>
        <v>0</v>
      </c>
      <c r="I240" s="71">
        <f t="shared" si="18"/>
        <v>1</v>
      </c>
      <c r="J240" s="71">
        <f t="shared" si="19"/>
        <v>0</v>
      </c>
      <c r="K240" s="16"/>
      <c r="L240" s="16"/>
      <c r="M240" s="17"/>
    </row>
    <row r="241" spans="1:13" ht="26.1" customHeight="1" x14ac:dyDescent="0.15">
      <c r="A241" s="22"/>
      <c r="B241" s="25" t="s">
        <v>57</v>
      </c>
      <c r="C241" s="37" t="s">
        <v>321</v>
      </c>
      <c r="D241" s="41"/>
      <c r="E241" s="41"/>
      <c r="F241" s="15" t="str">
        <f t="shared" si="15"/>
        <v/>
      </c>
      <c r="G241" s="71">
        <f t="shared" si="16"/>
        <v>0</v>
      </c>
      <c r="H241" s="71">
        <f t="shared" si="17"/>
        <v>0</v>
      </c>
      <c r="I241" s="71">
        <f t="shared" si="18"/>
        <v>1</v>
      </c>
      <c r="J241" s="71">
        <f t="shared" si="19"/>
        <v>0</v>
      </c>
      <c r="K241" s="16"/>
      <c r="L241" s="16"/>
      <c r="M241" s="17"/>
    </row>
    <row r="242" spans="1:13" ht="26.1" customHeight="1" x14ac:dyDescent="0.15">
      <c r="A242" s="22"/>
      <c r="B242" s="24" t="s">
        <v>19</v>
      </c>
      <c r="C242" s="36" t="s">
        <v>322</v>
      </c>
      <c r="D242" s="40"/>
      <c r="E242" s="40"/>
      <c r="F242" s="15" t="str">
        <f t="shared" si="15"/>
        <v/>
      </c>
      <c r="G242" s="71">
        <f t="shared" si="16"/>
        <v>0</v>
      </c>
      <c r="H242" s="71">
        <f t="shared" si="17"/>
        <v>0</v>
      </c>
      <c r="I242" s="71">
        <f t="shared" si="18"/>
        <v>1</v>
      </c>
      <c r="J242" s="71">
        <f t="shared" si="19"/>
        <v>0</v>
      </c>
      <c r="K242" s="16"/>
      <c r="L242" s="16"/>
      <c r="M242" s="17"/>
    </row>
    <row r="243" spans="1:13" ht="26.1" customHeight="1" x14ac:dyDescent="0.15">
      <c r="A243" s="22"/>
      <c r="B243" s="24" t="s">
        <v>20</v>
      </c>
      <c r="C243" s="36" t="s">
        <v>323</v>
      </c>
      <c r="D243" s="40"/>
      <c r="E243" s="40"/>
      <c r="F243" s="15" t="str">
        <f t="shared" si="15"/>
        <v/>
      </c>
      <c r="G243" s="71">
        <f t="shared" si="16"/>
        <v>0</v>
      </c>
      <c r="H243" s="71">
        <f t="shared" si="17"/>
        <v>0</v>
      </c>
      <c r="I243" s="71">
        <f t="shared" si="18"/>
        <v>1</v>
      </c>
      <c r="J243" s="71">
        <f t="shared" si="19"/>
        <v>0</v>
      </c>
      <c r="K243" s="16"/>
      <c r="L243" s="16"/>
      <c r="M243" s="17"/>
    </row>
    <row r="244" spans="1:13" ht="26.1" customHeight="1" x14ac:dyDescent="0.15">
      <c r="A244" s="22"/>
      <c r="B244" s="24" t="s">
        <v>21</v>
      </c>
      <c r="C244" s="36" t="s">
        <v>324</v>
      </c>
      <c r="D244" s="40"/>
      <c r="E244" s="40"/>
      <c r="F244" s="15" t="str">
        <f t="shared" si="15"/>
        <v/>
      </c>
      <c r="G244" s="71">
        <f t="shared" si="16"/>
        <v>0</v>
      </c>
      <c r="H244" s="71">
        <f t="shared" si="17"/>
        <v>0</v>
      </c>
      <c r="I244" s="71">
        <f t="shared" si="18"/>
        <v>1</v>
      </c>
      <c r="J244" s="71">
        <f t="shared" si="19"/>
        <v>0</v>
      </c>
      <c r="K244" s="16"/>
      <c r="L244" s="16"/>
      <c r="M244" s="17"/>
    </row>
    <row r="245" spans="1:13" ht="26.1" customHeight="1" x14ac:dyDescent="0.15">
      <c r="A245" s="22"/>
      <c r="B245" s="25" t="s">
        <v>22</v>
      </c>
      <c r="C245" s="37" t="s">
        <v>325</v>
      </c>
      <c r="D245" s="41"/>
      <c r="E245" s="41"/>
      <c r="F245" s="15" t="str">
        <f t="shared" si="15"/>
        <v/>
      </c>
      <c r="G245" s="71">
        <f t="shared" si="16"/>
        <v>0</v>
      </c>
      <c r="H245" s="71">
        <f t="shared" si="17"/>
        <v>0</v>
      </c>
      <c r="I245" s="71">
        <f t="shared" si="18"/>
        <v>1</v>
      </c>
      <c r="J245" s="71">
        <f t="shared" si="19"/>
        <v>0</v>
      </c>
      <c r="K245" s="16"/>
      <c r="L245" s="16"/>
      <c r="M245" s="17"/>
    </row>
    <row r="246" spans="1:13" ht="26.1" customHeight="1" x14ac:dyDescent="0.15">
      <c r="A246" s="22"/>
      <c r="B246" s="25" t="s">
        <v>23</v>
      </c>
      <c r="C246" s="37" t="s">
        <v>326</v>
      </c>
      <c r="D246" s="41"/>
      <c r="E246" s="41"/>
      <c r="F246" s="15" t="str">
        <f t="shared" si="15"/>
        <v/>
      </c>
      <c r="G246" s="71">
        <f t="shared" si="16"/>
        <v>0</v>
      </c>
      <c r="H246" s="71">
        <f t="shared" si="17"/>
        <v>0</v>
      </c>
      <c r="I246" s="71">
        <f t="shared" si="18"/>
        <v>1</v>
      </c>
      <c r="J246" s="71">
        <f t="shared" si="19"/>
        <v>0</v>
      </c>
      <c r="K246" s="16"/>
      <c r="L246" s="16"/>
      <c r="M246" s="17"/>
    </row>
    <row r="247" spans="1:13" ht="26.1" customHeight="1" x14ac:dyDescent="0.15">
      <c r="A247" s="22"/>
      <c r="B247" s="25" t="s">
        <v>24</v>
      </c>
      <c r="C247" s="37" t="s">
        <v>327</v>
      </c>
      <c r="D247" s="41"/>
      <c r="E247" s="41"/>
      <c r="F247" s="15" t="str">
        <f t="shared" si="15"/>
        <v/>
      </c>
      <c r="G247" s="71">
        <f t="shared" si="16"/>
        <v>0</v>
      </c>
      <c r="H247" s="71">
        <f t="shared" si="17"/>
        <v>0</v>
      </c>
      <c r="I247" s="71">
        <f t="shared" si="18"/>
        <v>1</v>
      </c>
      <c r="J247" s="71">
        <f t="shared" si="19"/>
        <v>0</v>
      </c>
      <c r="K247" s="16"/>
      <c r="L247" s="16"/>
      <c r="M247" s="17"/>
    </row>
    <row r="248" spans="1:13" ht="26.1" customHeight="1" x14ac:dyDescent="0.15">
      <c r="A248" s="22"/>
      <c r="B248" s="24" t="s">
        <v>25</v>
      </c>
      <c r="C248" s="36" t="s">
        <v>328</v>
      </c>
      <c r="D248" s="40"/>
      <c r="E248" s="40"/>
      <c r="F248" s="15" t="str">
        <f t="shared" si="15"/>
        <v/>
      </c>
      <c r="G248" s="71">
        <f t="shared" si="16"/>
        <v>0</v>
      </c>
      <c r="H248" s="71">
        <f t="shared" si="17"/>
        <v>0</v>
      </c>
      <c r="I248" s="71">
        <f t="shared" si="18"/>
        <v>1</v>
      </c>
      <c r="J248" s="71">
        <f t="shared" si="19"/>
        <v>0</v>
      </c>
      <c r="K248" s="16"/>
      <c r="L248" s="16"/>
      <c r="M248" s="17"/>
    </row>
    <row r="249" spans="1:13" ht="26.1" customHeight="1" x14ac:dyDescent="0.15">
      <c r="A249" s="22"/>
      <c r="B249" s="24" t="s">
        <v>26</v>
      </c>
      <c r="C249" s="36" t="s">
        <v>329</v>
      </c>
      <c r="D249" s="40"/>
      <c r="E249" s="40"/>
      <c r="F249" s="15" t="str">
        <f t="shared" si="15"/>
        <v/>
      </c>
      <c r="G249" s="71">
        <f t="shared" si="16"/>
        <v>0</v>
      </c>
      <c r="H249" s="71">
        <f t="shared" si="17"/>
        <v>0</v>
      </c>
      <c r="I249" s="71">
        <f t="shared" si="18"/>
        <v>1</v>
      </c>
      <c r="J249" s="71">
        <f t="shared" si="19"/>
        <v>0</v>
      </c>
      <c r="K249" s="16"/>
      <c r="L249" s="16"/>
      <c r="M249" s="17"/>
    </row>
    <row r="250" spans="1:13" ht="26.1" customHeight="1" x14ac:dyDescent="0.15">
      <c r="A250" s="22"/>
      <c r="B250" s="24" t="s">
        <v>58</v>
      </c>
      <c r="C250" s="36" t="s">
        <v>330</v>
      </c>
      <c r="D250" s="40"/>
      <c r="E250" s="40"/>
      <c r="F250" s="15" t="str">
        <f t="shared" si="15"/>
        <v/>
      </c>
      <c r="G250" s="71">
        <f t="shared" si="16"/>
        <v>0</v>
      </c>
      <c r="H250" s="71">
        <f t="shared" si="17"/>
        <v>0</v>
      </c>
      <c r="I250" s="71">
        <f t="shared" si="18"/>
        <v>1</v>
      </c>
      <c r="J250" s="71">
        <f t="shared" si="19"/>
        <v>0</v>
      </c>
      <c r="K250" s="16"/>
      <c r="L250" s="16"/>
      <c r="M250" s="17"/>
    </row>
    <row r="251" spans="1:13" ht="26.1" customHeight="1" x14ac:dyDescent="0.15">
      <c r="A251" s="22"/>
      <c r="B251" s="25" t="s">
        <v>27</v>
      </c>
      <c r="C251" s="37" t="s">
        <v>331</v>
      </c>
      <c r="D251" s="41"/>
      <c r="E251" s="41"/>
      <c r="F251" s="15" t="str">
        <f t="shared" si="15"/>
        <v/>
      </c>
      <c r="G251" s="71">
        <f t="shared" si="16"/>
        <v>0</v>
      </c>
      <c r="H251" s="71">
        <f t="shared" si="17"/>
        <v>0</v>
      </c>
      <c r="I251" s="71">
        <f t="shared" si="18"/>
        <v>1</v>
      </c>
      <c r="J251" s="71">
        <f t="shared" si="19"/>
        <v>0</v>
      </c>
      <c r="K251" s="16"/>
      <c r="L251" s="16"/>
      <c r="M251" s="17"/>
    </row>
    <row r="252" spans="1:13" ht="26.1" customHeight="1" x14ac:dyDescent="0.15">
      <c r="A252" s="22"/>
      <c r="B252" s="25" t="s">
        <v>28</v>
      </c>
      <c r="C252" s="37" t="s">
        <v>332</v>
      </c>
      <c r="D252" s="41"/>
      <c r="E252" s="41"/>
      <c r="F252" s="15" t="str">
        <f t="shared" si="15"/>
        <v/>
      </c>
      <c r="G252" s="71">
        <f t="shared" si="16"/>
        <v>0</v>
      </c>
      <c r="H252" s="71">
        <f t="shared" si="17"/>
        <v>0</v>
      </c>
      <c r="I252" s="71">
        <f t="shared" si="18"/>
        <v>1</v>
      </c>
      <c r="J252" s="71">
        <f t="shared" si="19"/>
        <v>0</v>
      </c>
      <c r="K252" s="16"/>
      <c r="L252" s="16"/>
      <c r="M252" s="17"/>
    </row>
    <row r="253" spans="1:13" ht="26.1" customHeight="1" x14ac:dyDescent="0.15">
      <c r="A253" s="22"/>
      <c r="B253" s="25" t="s">
        <v>29</v>
      </c>
      <c r="C253" s="37" t="s">
        <v>333</v>
      </c>
      <c r="D253" s="41"/>
      <c r="E253" s="41"/>
      <c r="F253" s="15" t="str">
        <f t="shared" si="15"/>
        <v/>
      </c>
      <c r="G253" s="71">
        <f t="shared" si="16"/>
        <v>0</v>
      </c>
      <c r="H253" s="71">
        <f t="shared" si="17"/>
        <v>0</v>
      </c>
      <c r="I253" s="71">
        <f t="shared" si="18"/>
        <v>1</v>
      </c>
      <c r="J253" s="71">
        <f t="shared" si="19"/>
        <v>0</v>
      </c>
      <c r="K253" s="16"/>
      <c r="L253" s="16"/>
      <c r="M253" s="17"/>
    </row>
    <row r="254" spans="1:13" ht="26.1" customHeight="1" x14ac:dyDescent="0.15">
      <c r="A254" s="22"/>
      <c r="B254" s="24" t="s">
        <v>30</v>
      </c>
      <c r="C254" s="36" t="s">
        <v>334</v>
      </c>
      <c r="D254" s="40"/>
      <c r="E254" s="40"/>
      <c r="F254" s="15" t="str">
        <f t="shared" si="15"/>
        <v/>
      </c>
      <c r="G254" s="71">
        <f t="shared" si="16"/>
        <v>0</v>
      </c>
      <c r="H254" s="71">
        <f t="shared" si="17"/>
        <v>0</v>
      </c>
      <c r="I254" s="71">
        <f t="shared" si="18"/>
        <v>1</v>
      </c>
      <c r="J254" s="71">
        <f t="shared" si="19"/>
        <v>0</v>
      </c>
      <c r="K254" s="16"/>
      <c r="L254" s="16"/>
      <c r="M254" s="17"/>
    </row>
    <row r="255" spans="1:13" ht="26.1" customHeight="1" x14ac:dyDescent="0.15">
      <c r="A255" s="22"/>
      <c r="B255" s="24" t="s">
        <v>31</v>
      </c>
      <c r="C255" s="36" t="s">
        <v>335</v>
      </c>
      <c r="D255" s="40"/>
      <c r="E255" s="40"/>
      <c r="F255" s="15" t="str">
        <f t="shared" si="15"/>
        <v/>
      </c>
      <c r="G255" s="71">
        <f t="shared" si="16"/>
        <v>0</v>
      </c>
      <c r="H255" s="71">
        <f t="shared" si="17"/>
        <v>0</v>
      </c>
      <c r="I255" s="71">
        <f t="shared" si="18"/>
        <v>1</v>
      </c>
      <c r="J255" s="71">
        <f t="shared" si="19"/>
        <v>0</v>
      </c>
      <c r="K255" s="16"/>
      <c r="L255" s="16"/>
      <c r="M255" s="17"/>
    </row>
    <row r="256" spans="1:13" ht="26.1" customHeight="1" x14ac:dyDescent="0.15">
      <c r="A256" s="22"/>
      <c r="B256" s="24" t="s">
        <v>32</v>
      </c>
      <c r="C256" s="36" t="s">
        <v>336</v>
      </c>
      <c r="D256" s="40"/>
      <c r="E256" s="40"/>
      <c r="F256" s="15" t="str">
        <f t="shared" si="15"/>
        <v/>
      </c>
      <c r="G256" s="71">
        <f t="shared" si="16"/>
        <v>0</v>
      </c>
      <c r="H256" s="71">
        <f t="shared" si="17"/>
        <v>0</v>
      </c>
      <c r="I256" s="71">
        <f t="shared" si="18"/>
        <v>1</v>
      </c>
      <c r="J256" s="71">
        <f t="shared" si="19"/>
        <v>0</v>
      </c>
      <c r="K256" s="16"/>
      <c r="L256" s="16"/>
      <c r="M256" s="17"/>
    </row>
    <row r="257" spans="1:13" ht="26.1" customHeight="1" x14ac:dyDescent="0.15">
      <c r="A257" s="22"/>
      <c r="B257" s="25" t="s">
        <v>33</v>
      </c>
      <c r="C257" s="37" t="s">
        <v>337</v>
      </c>
      <c r="D257" s="41"/>
      <c r="E257" s="41"/>
      <c r="F257" s="15" t="str">
        <f t="shared" si="15"/>
        <v/>
      </c>
      <c r="G257" s="71">
        <f t="shared" si="16"/>
        <v>0</v>
      </c>
      <c r="H257" s="71">
        <f t="shared" si="17"/>
        <v>0</v>
      </c>
      <c r="I257" s="71">
        <f t="shared" si="18"/>
        <v>1</v>
      </c>
      <c r="J257" s="71">
        <f t="shared" si="19"/>
        <v>0</v>
      </c>
      <c r="K257" s="16"/>
      <c r="L257" s="16"/>
      <c r="M257" s="17"/>
    </row>
    <row r="258" spans="1:13" ht="26.1" customHeight="1" x14ac:dyDescent="0.15">
      <c r="A258" s="22"/>
      <c r="B258" s="25" t="s">
        <v>34</v>
      </c>
      <c r="C258" s="37" t="s">
        <v>338</v>
      </c>
      <c r="D258" s="41"/>
      <c r="E258" s="41"/>
      <c r="F258" s="15" t="str">
        <f t="shared" si="15"/>
        <v/>
      </c>
      <c r="G258" s="71">
        <f t="shared" si="16"/>
        <v>0</v>
      </c>
      <c r="H258" s="71">
        <f t="shared" si="17"/>
        <v>0</v>
      </c>
      <c r="I258" s="71">
        <f t="shared" si="18"/>
        <v>1</v>
      </c>
      <c r="J258" s="71">
        <f t="shared" si="19"/>
        <v>0</v>
      </c>
      <c r="K258" s="16"/>
      <c r="L258" s="16"/>
      <c r="M258" s="17"/>
    </row>
    <row r="259" spans="1:13" ht="26.1" customHeight="1" x14ac:dyDescent="0.15">
      <c r="A259" s="23"/>
      <c r="B259" s="25" t="s">
        <v>35</v>
      </c>
      <c r="C259" s="37" t="s">
        <v>339</v>
      </c>
      <c r="D259" s="41"/>
      <c r="E259" s="41"/>
      <c r="F259" s="15" t="str">
        <f t="shared" si="15"/>
        <v/>
      </c>
      <c r="G259" s="71">
        <f t="shared" si="16"/>
        <v>0</v>
      </c>
      <c r="H259" s="71">
        <f t="shared" si="17"/>
        <v>0</v>
      </c>
      <c r="I259" s="71">
        <f t="shared" si="18"/>
        <v>1</v>
      </c>
      <c r="J259" s="71">
        <f t="shared" si="19"/>
        <v>0</v>
      </c>
      <c r="K259" s="16"/>
      <c r="L259" s="16"/>
      <c r="M259" s="17"/>
    </row>
    <row r="260" spans="1:13" ht="26.1" customHeight="1" x14ac:dyDescent="0.15">
      <c r="A260" s="21">
        <v>7</v>
      </c>
      <c r="B260" s="14" t="s">
        <v>19</v>
      </c>
      <c r="C260" s="34" t="s">
        <v>340</v>
      </c>
      <c r="D260" s="38"/>
      <c r="E260" s="38"/>
      <c r="F260" s="15" t="str">
        <f t="shared" si="15"/>
        <v/>
      </c>
      <c r="G260" s="71">
        <f t="shared" si="16"/>
        <v>0</v>
      </c>
      <c r="H260" s="71">
        <f t="shared" si="17"/>
        <v>0</v>
      </c>
      <c r="I260" s="71">
        <f t="shared" si="18"/>
        <v>1</v>
      </c>
      <c r="J260" s="71">
        <f t="shared" si="19"/>
        <v>0</v>
      </c>
      <c r="K260" s="16"/>
      <c r="L260" s="16"/>
      <c r="M260" s="17"/>
    </row>
    <row r="261" spans="1:13" ht="26.1" customHeight="1" x14ac:dyDescent="0.15">
      <c r="A261" s="22"/>
      <c r="B261" s="14" t="s">
        <v>20</v>
      </c>
      <c r="C261" s="34" t="s">
        <v>341</v>
      </c>
      <c r="D261" s="38"/>
      <c r="E261" s="38"/>
      <c r="F261" s="15" t="str">
        <f t="shared" si="15"/>
        <v/>
      </c>
      <c r="G261" s="71">
        <f t="shared" si="16"/>
        <v>0</v>
      </c>
      <c r="H261" s="71">
        <f t="shared" si="17"/>
        <v>0</v>
      </c>
      <c r="I261" s="71">
        <f t="shared" si="18"/>
        <v>1</v>
      </c>
      <c r="J261" s="71">
        <f t="shared" si="19"/>
        <v>0</v>
      </c>
      <c r="K261" s="16"/>
      <c r="L261" s="16"/>
      <c r="M261" s="17"/>
    </row>
    <row r="262" spans="1:13" ht="26.1" customHeight="1" x14ac:dyDescent="0.15">
      <c r="A262" s="22"/>
      <c r="B262" s="14" t="s">
        <v>21</v>
      </c>
      <c r="C262" s="34" t="s">
        <v>342</v>
      </c>
      <c r="D262" s="38"/>
      <c r="E262" s="38"/>
      <c r="F262" s="15" t="str">
        <f t="shared" si="15"/>
        <v/>
      </c>
      <c r="G262" s="71">
        <f t="shared" si="16"/>
        <v>0</v>
      </c>
      <c r="H262" s="71">
        <f t="shared" si="17"/>
        <v>0</v>
      </c>
      <c r="I262" s="71">
        <f t="shared" si="18"/>
        <v>1</v>
      </c>
      <c r="J262" s="71">
        <f t="shared" si="19"/>
        <v>0</v>
      </c>
      <c r="K262" s="16"/>
      <c r="L262" s="16"/>
      <c r="M262" s="17"/>
    </row>
    <row r="263" spans="1:13" ht="26.1" customHeight="1" x14ac:dyDescent="0.15">
      <c r="A263" s="22"/>
      <c r="B263" s="20" t="s">
        <v>22</v>
      </c>
      <c r="C263" s="35" t="s">
        <v>343</v>
      </c>
      <c r="D263" s="39"/>
      <c r="E263" s="39"/>
      <c r="F263" s="15" t="str">
        <f t="shared" si="15"/>
        <v/>
      </c>
      <c r="G263" s="71">
        <f t="shared" si="16"/>
        <v>0</v>
      </c>
      <c r="H263" s="71">
        <f t="shared" si="17"/>
        <v>0</v>
      </c>
      <c r="I263" s="71">
        <f t="shared" si="18"/>
        <v>1</v>
      </c>
      <c r="J263" s="71">
        <f t="shared" si="19"/>
        <v>0</v>
      </c>
      <c r="K263" s="16"/>
      <c r="L263" s="16"/>
      <c r="M263" s="17"/>
    </row>
    <row r="264" spans="1:13" ht="26.1" customHeight="1" x14ac:dyDescent="0.15">
      <c r="A264" s="22"/>
      <c r="B264" s="20" t="s">
        <v>23</v>
      </c>
      <c r="C264" s="35" t="s">
        <v>344</v>
      </c>
      <c r="D264" s="39"/>
      <c r="E264" s="39"/>
      <c r="F264" s="15" t="str">
        <f t="shared" si="15"/>
        <v/>
      </c>
      <c r="G264" s="71">
        <f t="shared" si="16"/>
        <v>0</v>
      </c>
      <c r="H264" s="71">
        <f t="shared" si="17"/>
        <v>0</v>
      </c>
      <c r="I264" s="71">
        <f t="shared" si="18"/>
        <v>1</v>
      </c>
      <c r="J264" s="71">
        <f t="shared" si="19"/>
        <v>0</v>
      </c>
      <c r="K264" s="16"/>
      <c r="L264" s="16"/>
      <c r="M264" s="17"/>
    </row>
    <row r="265" spans="1:13" ht="26.1" customHeight="1" x14ac:dyDescent="0.15">
      <c r="A265" s="22"/>
      <c r="B265" s="20" t="s">
        <v>24</v>
      </c>
      <c r="C265" s="35" t="s">
        <v>345</v>
      </c>
      <c r="D265" s="39"/>
      <c r="E265" s="39"/>
      <c r="F265" s="15" t="str">
        <f t="shared" ref="F265:F328" si="20">IF(D265="x",IF(E265&lt;&gt;"x","Paling Disukai","ERROR"),IF(E265="x","Paling Tidak Disukai",""))</f>
        <v/>
      </c>
      <c r="G265" s="71">
        <f t="shared" ref="G265:G289" si="21">IF(D265="x",IF(E265&lt;&gt;"x",1,0),0)</f>
        <v>0</v>
      </c>
      <c r="H265" s="71">
        <f t="shared" ref="H265:H289" si="22">IF(E265="x",IF(D265&lt;&gt;"x",1,0),0)</f>
        <v>0</v>
      </c>
      <c r="I265" s="71">
        <f t="shared" ref="I265:I289" si="23">IF(E265="x",0,IF(D265&lt;&gt;"x",1,0))</f>
        <v>1</v>
      </c>
      <c r="J265" s="71">
        <f t="shared" ref="J265:J289" si="24">IF(E265="x",IF(D265&lt;&gt;"x",0,1),0)</f>
        <v>0</v>
      </c>
      <c r="K265" s="16"/>
      <c r="L265" s="16"/>
      <c r="M265" s="17"/>
    </row>
    <row r="266" spans="1:13" ht="26.1" customHeight="1" x14ac:dyDescent="0.15">
      <c r="A266" s="22"/>
      <c r="B266" s="14" t="s">
        <v>25</v>
      </c>
      <c r="C266" s="34" t="s">
        <v>346</v>
      </c>
      <c r="D266" s="38"/>
      <c r="E266" s="38"/>
      <c r="F266" s="15" t="str">
        <f t="shared" si="20"/>
        <v/>
      </c>
      <c r="G266" s="71">
        <f t="shared" si="21"/>
        <v>0</v>
      </c>
      <c r="H266" s="71">
        <f t="shared" si="22"/>
        <v>0</v>
      </c>
      <c r="I266" s="71">
        <f t="shared" si="23"/>
        <v>1</v>
      </c>
      <c r="J266" s="71">
        <f t="shared" si="24"/>
        <v>0</v>
      </c>
      <c r="K266" s="16"/>
      <c r="L266" s="16"/>
      <c r="M266" s="17"/>
    </row>
    <row r="267" spans="1:13" ht="26.1" customHeight="1" x14ac:dyDescent="0.15">
      <c r="A267" s="22"/>
      <c r="B267" s="14" t="s">
        <v>26</v>
      </c>
      <c r="C267" s="34" t="s">
        <v>347</v>
      </c>
      <c r="D267" s="38"/>
      <c r="E267" s="38"/>
      <c r="F267" s="15" t="str">
        <f t="shared" si="20"/>
        <v/>
      </c>
      <c r="G267" s="71">
        <f t="shared" si="21"/>
        <v>0</v>
      </c>
      <c r="H267" s="71">
        <f t="shared" si="22"/>
        <v>0</v>
      </c>
      <c r="I267" s="71">
        <f t="shared" si="23"/>
        <v>1</v>
      </c>
      <c r="J267" s="71">
        <f t="shared" si="24"/>
        <v>0</v>
      </c>
      <c r="K267" s="16"/>
      <c r="L267" s="16"/>
      <c r="M267" s="17"/>
    </row>
    <row r="268" spans="1:13" ht="26.1" customHeight="1" x14ac:dyDescent="0.15">
      <c r="A268" s="22"/>
      <c r="B268" s="14" t="s">
        <v>58</v>
      </c>
      <c r="C268" s="34" t="s">
        <v>348</v>
      </c>
      <c r="D268" s="38"/>
      <c r="E268" s="38"/>
      <c r="F268" s="15" t="str">
        <f t="shared" si="20"/>
        <v/>
      </c>
      <c r="G268" s="71">
        <f t="shared" si="21"/>
        <v>0</v>
      </c>
      <c r="H268" s="71">
        <f t="shared" si="22"/>
        <v>0</v>
      </c>
      <c r="I268" s="71">
        <f t="shared" si="23"/>
        <v>1</v>
      </c>
      <c r="J268" s="71">
        <f t="shared" si="24"/>
        <v>0</v>
      </c>
      <c r="K268" s="16"/>
      <c r="L268" s="16"/>
      <c r="M268" s="17"/>
    </row>
    <row r="269" spans="1:13" ht="26.1" customHeight="1" x14ac:dyDescent="0.15">
      <c r="A269" s="22"/>
      <c r="B269" s="20" t="s">
        <v>27</v>
      </c>
      <c r="C269" s="35" t="s">
        <v>349</v>
      </c>
      <c r="D269" s="39"/>
      <c r="E269" s="39"/>
      <c r="F269" s="15" t="str">
        <f t="shared" si="20"/>
        <v/>
      </c>
      <c r="G269" s="71">
        <f t="shared" si="21"/>
        <v>0</v>
      </c>
      <c r="H269" s="71">
        <f t="shared" si="22"/>
        <v>0</v>
      </c>
      <c r="I269" s="71">
        <f t="shared" si="23"/>
        <v>1</v>
      </c>
      <c r="J269" s="71">
        <f t="shared" si="24"/>
        <v>0</v>
      </c>
      <c r="K269" s="16"/>
      <c r="L269" s="16"/>
      <c r="M269" s="17"/>
    </row>
    <row r="270" spans="1:13" ht="26.1" customHeight="1" x14ac:dyDescent="0.15">
      <c r="A270" s="22"/>
      <c r="B270" s="20" t="s">
        <v>28</v>
      </c>
      <c r="C270" s="35" t="s">
        <v>350</v>
      </c>
      <c r="D270" s="39"/>
      <c r="E270" s="39"/>
      <c r="F270" s="15" t="str">
        <f t="shared" si="20"/>
        <v/>
      </c>
      <c r="G270" s="71">
        <f t="shared" si="21"/>
        <v>0</v>
      </c>
      <c r="H270" s="71">
        <f t="shared" si="22"/>
        <v>0</v>
      </c>
      <c r="I270" s="71">
        <f t="shared" si="23"/>
        <v>1</v>
      </c>
      <c r="J270" s="71">
        <f t="shared" si="24"/>
        <v>0</v>
      </c>
      <c r="K270" s="16"/>
      <c r="L270" s="16"/>
      <c r="M270" s="17"/>
    </row>
    <row r="271" spans="1:13" ht="26.1" customHeight="1" x14ac:dyDescent="0.15">
      <c r="A271" s="22"/>
      <c r="B271" s="20" t="s">
        <v>29</v>
      </c>
      <c r="C271" s="35" t="s">
        <v>351</v>
      </c>
      <c r="D271" s="39"/>
      <c r="E271" s="39"/>
      <c r="F271" s="15" t="str">
        <f t="shared" si="20"/>
        <v/>
      </c>
      <c r="G271" s="71">
        <f t="shared" si="21"/>
        <v>0</v>
      </c>
      <c r="H271" s="71">
        <f t="shared" si="22"/>
        <v>0</v>
      </c>
      <c r="I271" s="71">
        <f t="shared" si="23"/>
        <v>1</v>
      </c>
      <c r="J271" s="71">
        <f t="shared" si="24"/>
        <v>0</v>
      </c>
      <c r="K271" s="16"/>
      <c r="L271" s="16"/>
      <c r="M271" s="17"/>
    </row>
    <row r="272" spans="1:13" ht="26.1" customHeight="1" x14ac:dyDescent="0.15">
      <c r="A272" s="22"/>
      <c r="B272" s="14" t="s">
        <v>30</v>
      </c>
      <c r="C272" s="34" t="s">
        <v>352</v>
      </c>
      <c r="D272" s="38"/>
      <c r="E272" s="38"/>
      <c r="F272" s="15" t="str">
        <f t="shared" si="20"/>
        <v/>
      </c>
      <c r="G272" s="71">
        <f t="shared" si="21"/>
        <v>0</v>
      </c>
      <c r="H272" s="71">
        <f t="shared" si="22"/>
        <v>0</v>
      </c>
      <c r="I272" s="71">
        <f t="shared" si="23"/>
        <v>1</v>
      </c>
      <c r="J272" s="71">
        <f t="shared" si="24"/>
        <v>0</v>
      </c>
      <c r="K272" s="16"/>
      <c r="L272" s="16"/>
      <c r="M272" s="17"/>
    </row>
    <row r="273" spans="1:13" ht="26.1" customHeight="1" x14ac:dyDescent="0.15">
      <c r="A273" s="22"/>
      <c r="B273" s="14" t="s">
        <v>31</v>
      </c>
      <c r="C273" s="34" t="s">
        <v>353</v>
      </c>
      <c r="D273" s="38"/>
      <c r="E273" s="38"/>
      <c r="F273" s="15" t="str">
        <f t="shared" si="20"/>
        <v/>
      </c>
      <c r="G273" s="71">
        <f t="shared" si="21"/>
        <v>0</v>
      </c>
      <c r="H273" s="71">
        <f t="shared" si="22"/>
        <v>0</v>
      </c>
      <c r="I273" s="71">
        <f t="shared" si="23"/>
        <v>1</v>
      </c>
      <c r="J273" s="71">
        <f t="shared" si="24"/>
        <v>0</v>
      </c>
      <c r="K273" s="16"/>
      <c r="L273" s="16"/>
      <c r="M273" s="17"/>
    </row>
    <row r="274" spans="1:13" ht="26.1" customHeight="1" x14ac:dyDescent="0.15">
      <c r="A274" s="22"/>
      <c r="B274" s="14" t="s">
        <v>32</v>
      </c>
      <c r="C274" s="34" t="s">
        <v>354</v>
      </c>
      <c r="D274" s="38"/>
      <c r="E274" s="38"/>
      <c r="F274" s="15" t="str">
        <f t="shared" si="20"/>
        <v/>
      </c>
      <c r="G274" s="71">
        <f t="shared" si="21"/>
        <v>0</v>
      </c>
      <c r="H274" s="71">
        <f t="shared" si="22"/>
        <v>0</v>
      </c>
      <c r="I274" s="71">
        <f t="shared" si="23"/>
        <v>1</v>
      </c>
      <c r="J274" s="71">
        <f t="shared" si="24"/>
        <v>0</v>
      </c>
      <c r="K274" s="16"/>
      <c r="L274" s="16"/>
      <c r="M274" s="17"/>
    </row>
    <row r="275" spans="1:13" ht="26.1" customHeight="1" x14ac:dyDescent="0.15">
      <c r="A275" s="22"/>
      <c r="B275" s="20" t="s">
        <v>33</v>
      </c>
      <c r="C275" s="35" t="s">
        <v>355</v>
      </c>
      <c r="D275" s="39"/>
      <c r="E275" s="39"/>
      <c r="F275" s="15" t="str">
        <f t="shared" si="20"/>
        <v/>
      </c>
      <c r="G275" s="71">
        <f t="shared" si="21"/>
        <v>0</v>
      </c>
      <c r="H275" s="71">
        <f t="shared" si="22"/>
        <v>0</v>
      </c>
      <c r="I275" s="71">
        <f t="shared" si="23"/>
        <v>1</v>
      </c>
      <c r="J275" s="71">
        <f t="shared" si="24"/>
        <v>0</v>
      </c>
      <c r="K275" s="16"/>
      <c r="L275" s="16"/>
      <c r="M275" s="17"/>
    </row>
    <row r="276" spans="1:13" ht="26.1" customHeight="1" x14ac:dyDescent="0.15">
      <c r="A276" s="22"/>
      <c r="B276" s="20" t="s">
        <v>34</v>
      </c>
      <c r="C276" s="35" t="s">
        <v>356</v>
      </c>
      <c r="D276" s="39"/>
      <c r="E276" s="39"/>
      <c r="F276" s="15" t="str">
        <f t="shared" si="20"/>
        <v/>
      </c>
      <c r="G276" s="71">
        <f t="shared" si="21"/>
        <v>0</v>
      </c>
      <c r="H276" s="71">
        <f t="shared" si="22"/>
        <v>0</v>
      </c>
      <c r="I276" s="71">
        <f t="shared" si="23"/>
        <v>1</v>
      </c>
      <c r="J276" s="71">
        <f t="shared" si="24"/>
        <v>0</v>
      </c>
      <c r="K276" s="16"/>
      <c r="L276" s="16"/>
      <c r="M276" s="17"/>
    </row>
    <row r="277" spans="1:13" ht="26.1" customHeight="1" x14ac:dyDescent="0.15">
      <c r="A277" s="22"/>
      <c r="B277" s="20" t="s">
        <v>35</v>
      </c>
      <c r="C277" s="35" t="s">
        <v>357</v>
      </c>
      <c r="D277" s="39"/>
      <c r="E277" s="39"/>
      <c r="F277" s="15" t="str">
        <f t="shared" si="20"/>
        <v/>
      </c>
      <c r="G277" s="71">
        <f t="shared" si="21"/>
        <v>0</v>
      </c>
      <c r="H277" s="71">
        <f t="shared" si="22"/>
        <v>0</v>
      </c>
      <c r="I277" s="71">
        <f t="shared" si="23"/>
        <v>1</v>
      </c>
      <c r="J277" s="71">
        <f t="shared" si="24"/>
        <v>0</v>
      </c>
      <c r="K277" s="16"/>
      <c r="L277" s="16"/>
      <c r="M277" s="17"/>
    </row>
    <row r="278" spans="1:13" ht="26.1" customHeight="1" x14ac:dyDescent="0.15">
      <c r="A278" s="22"/>
      <c r="B278" s="14" t="s">
        <v>36</v>
      </c>
      <c r="C278" s="34" t="s">
        <v>358</v>
      </c>
      <c r="D278" s="38"/>
      <c r="E278" s="38"/>
      <c r="F278" s="15" t="str">
        <f t="shared" si="20"/>
        <v/>
      </c>
      <c r="G278" s="71">
        <f t="shared" si="21"/>
        <v>0</v>
      </c>
      <c r="H278" s="71">
        <f t="shared" si="22"/>
        <v>0</v>
      </c>
      <c r="I278" s="71">
        <f t="shared" si="23"/>
        <v>1</v>
      </c>
      <c r="J278" s="71">
        <f t="shared" si="24"/>
        <v>0</v>
      </c>
      <c r="K278" s="16"/>
      <c r="L278" s="16"/>
      <c r="M278" s="17"/>
    </row>
    <row r="279" spans="1:13" ht="26.1" customHeight="1" x14ac:dyDescent="0.15">
      <c r="A279" s="22"/>
      <c r="B279" s="14" t="s">
        <v>37</v>
      </c>
      <c r="C279" s="34" t="s">
        <v>359</v>
      </c>
      <c r="D279" s="38"/>
      <c r="E279" s="38"/>
      <c r="F279" s="15" t="str">
        <f t="shared" si="20"/>
        <v/>
      </c>
      <c r="G279" s="71">
        <f t="shared" si="21"/>
        <v>0</v>
      </c>
      <c r="H279" s="71">
        <f t="shared" si="22"/>
        <v>0</v>
      </c>
      <c r="I279" s="71">
        <f t="shared" si="23"/>
        <v>1</v>
      </c>
      <c r="J279" s="71">
        <f t="shared" si="24"/>
        <v>0</v>
      </c>
      <c r="K279" s="16"/>
      <c r="L279" s="16"/>
      <c r="M279" s="17"/>
    </row>
    <row r="280" spans="1:13" ht="26.1" customHeight="1" x14ac:dyDescent="0.15">
      <c r="A280" s="22"/>
      <c r="B280" s="14" t="s">
        <v>38</v>
      </c>
      <c r="C280" s="34" t="s">
        <v>360</v>
      </c>
      <c r="D280" s="38"/>
      <c r="E280" s="38"/>
      <c r="F280" s="15" t="str">
        <f t="shared" si="20"/>
        <v/>
      </c>
      <c r="G280" s="71">
        <f t="shared" si="21"/>
        <v>0</v>
      </c>
      <c r="H280" s="71">
        <f t="shared" si="22"/>
        <v>0</v>
      </c>
      <c r="I280" s="71">
        <f t="shared" si="23"/>
        <v>1</v>
      </c>
      <c r="J280" s="71">
        <f t="shared" si="24"/>
        <v>0</v>
      </c>
      <c r="K280" s="16"/>
      <c r="L280" s="16"/>
      <c r="M280" s="17"/>
    </row>
    <row r="281" spans="1:13" ht="26.1" customHeight="1" x14ac:dyDescent="0.15">
      <c r="A281" s="22"/>
      <c r="B281" s="20" t="s">
        <v>18</v>
      </c>
      <c r="C281" s="35" t="s">
        <v>361</v>
      </c>
      <c r="D281" s="39"/>
      <c r="E281" s="39"/>
      <c r="F281" s="15" t="str">
        <f t="shared" si="20"/>
        <v/>
      </c>
      <c r="G281" s="71">
        <f t="shared" si="21"/>
        <v>0</v>
      </c>
      <c r="H281" s="71">
        <f t="shared" si="22"/>
        <v>0</v>
      </c>
      <c r="I281" s="71">
        <f t="shared" si="23"/>
        <v>1</v>
      </c>
      <c r="J281" s="71">
        <f t="shared" si="24"/>
        <v>0</v>
      </c>
      <c r="K281" s="16"/>
      <c r="L281" s="16"/>
      <c r="M281" s="17"/>
    </row>
    <row r="282" spans="1:13" ht="26.1" customHeight="1" x14ac:dyDescent="0.15">
      <c r="A282" s="22"/>
      <c r="B282" s="20" t="s">
        <v>39</v>
      </c>
      <c r="C282" s="35" t="s">
        <v>362</v>
      </c>
      <c r="D282" s="39"/>
      <c r="E282" s="39"/>
      <c r="F282" s="15" t="str">
        <f t="shared" si="20"/>
        <v/>
      </c>
      <c r="G282" s="71">
        <f t="shared" si="21"/>
        <v>0</v>
      </c>
      <c r="H282" s="71">
        <f t="shared" si="22"/>
        <v>0</v>
      </c>
      <c r="I282" s="71">
        <f t="shared" si="23"/>
        <v>1</v>
      </c>
      <c r="J282" s="71">
        <f t="shared" si="24"/>
        <v>0</v>
      </c>
      <c r="K282" s="16"/>
      <c r="L282" s="16"/>
      <c r="M282" s="17"/>
    </row>
    <row r="283" spans="1:13" ht="26.1" customHeight="1" x14ac:dyDescent="0.15">
      <c r="A283" s="22"/>
      <c r="B283" s="20" t="s">
        <v>40</v>
      </c>
      <c r="C283" s="35" t="s">
        <v>363</v>
      </c>
      <c r="D283" s="39"/>
      <c r="E283" s="39"/>
      <c r="F283" s="15" t="str">
        <f t="shared" si="20"/>
        <v/>
      </c>
      <c r="G283" s="71">
        <f t="shared" si="21"/>
        <v>0</v>
      </c>
      <c r="H283" s="71">
        <f t="shared" si="22"/>
        <v>0</v>
      </c>
      <c r="I283" s="71">
        <f t="shared" si="23"/>
        <v>1</v>
      </c>
      <c r="J283" s="71">
        <f t="shared" si="24"/>
        <v>0</v>
      </c>
      <c r="K283" s="16"/>
      <c r="L283" s="16"/>
      <c r="M283" s="17"/>
    </row>
    <row r="284" spans="1:13" ht="26.1" customHeight="1" x14ac:dyDescent="0.15">
      <c r="A284" s="22"/>
      <c r="B284" s="14" t="s">
        <v>41</v>
      </c>
      <c r="C284" s="34" t="s">
        <v>364</v>
      </c>
      <c r="D284" s="38"/>
      <c r="E284" s="38"/>
      <c r="F284" s="15" t="str">
        <f t="shared" si="20"/>
        <v/>
      </c>
      <c r="G284" s="71">
        <f t="shared" si="21"/>
        <v>0</v>
      </c>
      <c r="H284" s="71">
        <f t="shared" si="22"/>
        <v>0</v>
      </c>
      <c r="I284" s="71">
        <f t="shared" si="23"/>
        <v>1</v>
      </c>
      <c r="J284" s="71">
        <f t="shared" si="24"/>
        <v>0</v>
      </c>
      <c r="K284" s="16"/>
      <c r="L284" s="16"/>
      <c r="M284" s="17"/>
    </row>
    <row r="285" spans="1:13" ht="26.1" customHeight="1" x14ac:dyDescent="0.15">
      <c r="A285" s="22"/>
      <c r="B285" s="14" t="s">
        <v>42</v>
      </c>
      <c r="C285" s="34" t="s">
        <v>365</v>
      </c>
      <c r="D285" s="38"/>
      <c r="E285" s="38"/>
      <c r="F285" s="15" t="str">
        <f t="shared" si="20"/>
        <v/>
      </c>
      <c r="G285" s="71">
        <f t="shared" si="21"/>
        <v>0</v>
      </c>
      <c r="H285" s="71">
        <f t="shared" si="22"/>
        <v>0</v>
      </c>
      <c r="I285" s="71">
        <f t="shared" si="23"/>
        <v>1</v>
      </c>
      <c r="J285" s="71">
        <f t="shared" si="24"/>
        <v>0</v>
      </c>
      <c r="K285" s="16"/>
      <c r="L285" s="16"/>
      <c r="M285" s="17"/>
    </row>
    <row r="286" spans="1:13" ht="26.1" customHeight="1" x14ac:dyDescent="0.15">
      <c r="A286" s="22"/>
      <c r="B286" s="14" t="s">
        <v>43</v>
      </c>
      <c r="C286" s="34" t="s">
        <v>366</v>
      </c>
      <c r="D286" s="38"/>
      <c r="E286" s="38"/>
      <c r="F286" s="15" t="str">
        <f t="shared" si="20"/>
        <v/>
      </c>
      <c r="G286" s="71">
        <f t="shared" si="21"/>
        <v>0</v>
      </c>
      <c r="H286" s="71">
        <f t="shared" si="22"/>
        <v>0</v>
      </c>
      <c r="I286" s="71">
        <f t="shared" si="23"/>
        <v>1</v>
      </c>
      <c r="J286" s="71">
        <f t="shared" si="24"/>
        <v>0</v>
      </c>
      <c r="K286" s="16"/>
      <c r="L286" s="16"/>
      <c r="M286" s="17"/>
    </row>
    <row r="287" spans="1:13" ht="26.1" customHeight="1" x14ac:dyDescent="0.15">
      <c r="A287" s="22"/>
      <c r="B287" s="20" t="s">
        <v>3</v>
      </c>
      <c r="C287" s="35" t="s">
        <v>367</v>
      </c>
      <c r="D287" s="39"/>
      <c r="E287" s="39"/>
      <c r="F287" s="15" t="str">
        <f t="shared" si="20"/>
        <v/>
      </c>
      <c r="G287" s="71">
        <f t="shared" si="21"/>
        <v>0</v>
      </c>
      <c r="H287" s="71">
        <f t="shared" si="22"/>
        <v>0</v>
      </c>
      <c r="I287" s="71">
        <f t="shared" si="23"/>
        <v>1</v>
      </c>
      <c r="J287" s="71">
        <f t="shared" si="24"/>
        <v>0</v>
      </c>
      <c r="K287" s="16"/>
      <c r="L287" s="16"/>
      <c r="M287" s="17"/>
    </row>
    <row r="288" spans="1:13" ht="26.1" customHeight="1" x14ac:dyDescent="0.15">
      <c r="A288" s="22"/>
      <c r="B288" s="20" t="s">
        <v>6</v>
      </c>
      <c r="C288" s="35" t="s">
        <v>368</v>
      </c>
      <c r="D288" s="39"/>
      <c r="E288" s="39"/>
      <c r="F288" s="15" t="str">
        <f t="shared" si="20"/>
        <v/>
      </c>
      <c r="G288" s="71">
        <f t="shared" si="21"/>
        <v>0</v>
      </c>
      <c r="H288" s="71">
        <f t="shared" si="22"/>
        <v>0</v>
      </c>
      <c r="I288" s="71">
        <f t="shared" si="23"/>
        <v>1</v>
      </c>
      <c r="J288" s="71">
        <f t="shared" si="24"/>
        <v>0</v>
      </c>
      <c r="K288" s="16"/>
      <c r="L288" s="16"/>
      <c r="M288" s="17"/>
    </row>
    <row r="289" spans="1:13" ht="26.1" customHeight="1" x14ac:dyDescent="0.15">
      <c r="A289" s="22"/>
      <c r="B289" s="20" t="s">
        <v>0</v>
      </c>
      <c r="C289" s="35" t="s">
        <v>369</v>
      </c>
      <c r="D289" s="39"/>
      <c r="E289" s="39"/>
      <c r="F289" s="15" t="str">
        <f t="shared" si="20"/>
        <v/>
      </c>
      <c r="G289" s="71">
        <f t="shared" si="21"/>
        <v>0</v>
      </c>
      <c r="H289" s="71">
        <f t="shared" si="22"/>
        <v>0</v>
      </c>
      <c r="I289" s="71">
        <f t="shared" si="23"/>
        <v>1</v>
      </c>
      <c r="J289" s="71">
        <f t="shared" si="24"/>
        <v>0</v>
      </c>
      <c r="K289" s="16"/>
      <c r="L289" s="16"/>
      <c r="M289" s="17"/>
    </row>
    <row r="290" spans="1:13" ht="26.1" customHeight="1" x14ac:dyDescent="0.15">
      <c r="A290" s="22"/>
      <c r="B290" s="14" t="s">
        <v>44</v>
      </c>
      <c r="C290" s="34" t="s">
        <v>370</v>
      </c>
      <c r="D290" s="38"/>
      <c r="E290" s="38"/>
      <c r="F290" s="15" t="str">
        <f t="shared" si="20"/>
        <v/>
      </c>
      <c r="G290" s="71">
        <f t="shared" ref="G290:G329" si="25">IF(D290="x",IF(E290&lt;&gt;"x",1,0),0)</f>
        <v>0</v>
      </c>
      <c r="H290" s="71">
        <f t="shared" ref="H290:H329" si="26">IF(E290="x",IF(D290&lt;&gt;"x",1,0),0)</f>
        <v>0</v>
      </c>
      <c r="I290" s="71">
        <f t="shared" ref="I290:I329" si="27">IF(E290="x",0,IF(D290&lt;&gt;"x",1,0))</f>
        <v>1</v>
      </c>
      <c r="J290" s="71">
        <f t="shared" ref="J290:J329" si="28">IF(E290="x",IF(D290&lt;&gt;"x",0,1),0)</f>
        <v>0</v>
      </c>
      <c r="K290" s="16"/>
      <c r="L290" s="16"/>
      <c r="M290" s="17"/>
    </row>
    <row r="291" spans="1:13" ht="26.1" customHeight="1" x14ac:dyDescent="0.15">
      <c r="A291" s="22"/>
      <c r="B291" s="14" t="s">
        <v>45</v>
      </c>
      <c r="C291" s="34" t="s">
        <v>371</v>
      </c>
      <c r="D291" s="38"/>
      <c r="E291" s="38"/>
      <c r="F291" s="15" t="str">
        <f t="shared" si="20"/>
        <v/>
      </c>
      <c r="G291" s="71">
        <f t="shared" si="25"/>
        <v>0</v>
      </c>
      <c r="H291" s="71">
        <f t="shared" si="26"/>
        <v>0</v>
      </c>
      <c r="I291" s="71">
        <f t="shared" si="27"/>
        <v>1</v>
      </c>
      <c r="J291" s="71">
        <f t="shared" si="28"/>
        <v>0</v>
      </c>
      <c r="K291" s="16"/>
      <c r="L291" s="16"/>
      <c r="M291" s="17"/>
    </row>
    <row r="292" spans="1:13" ht="26.1" customHeight="1" x14ac:dyDescent="0.15">
      <c r="A292" s="22"/>
      <c r="B292" s="14" t="s">
        <v>46</v>
      </c>
      <c r="C292" s="34" t="s">
        <v>372</v>
      </c>
      <c r="D292" s="38"/>
      <c r="E292" s="38"/>
      <c r="F292" s="15" t="str">
        <f t="shared" si="20"/>
        <v/>
      </c>
      <c r="G292" s="71">
        <f t="shared" si="25"/>
        <v>0</v>
      </c>
      <c r="H292" s="71">
        <f t="shared" si="26"/>
        <v>0</v>
      </c>
      <c r="I292" s="71">
        <f t="shared" si="27"/>
        <v>1</v>
      </c>
      <c r="J292" s="71">
        <f t="shared" si="28"/>
        <v>0</v>
      </c>
      <c r="K292" s="16"/>
      <c r="L292" s="16"/>
      <c r="M292" s="17"/>
    </row>
    <row r="293" spans="1:13" ht="26.1" customHeight="1" x14ac:dyDescent="0.15">
      <c r="A293" s="22"/>
      <c r="B293" s="20" t="s">
        <v>1</v>
      </c>
      <c r="C293" s="35" t="s">
        <v>373</v>
      </c>
      <c r="D293" s="39"/>
      <c r="E293" s="39"/>
      <c r="F293" s="15" t="str">
        <f t="shared" si="20"/>
        <v/>
      </c>
      <c r="G293" s="71">
        <f t="shared" si="25"/>
        <v>0</v>
      </c>
      <c r="H293" s="71">
        <f t="shared" si="26"/>
        <v>0</v>
      </c>
      <c r="I293" s="71">
        <f t="shared" si="27"/>
        <v>1</v>
      </c>
      <c r="J293" s="71">
        <f t="shared" si="28"/>
        <v>0</v>
      </c>
      <c r="K293" s="16"/>
      <c r="L293" s="16"/>
      <c r="M293" s="17"/>
    </row>
    <row r="294" spans="1:13" ht="26.1" customHeight="1" x14ac:dyDescent="0.15">
      <c r="A294" s="22"/>
      <c r="B294" s="20" t="s">
        <v>2</v>
      </c>
      <c r="C294" s="35" t="s">
        <v>374</v>
      </c>
      <c r="D294" s="39"/>
      <c r="E294" s="39"/>
      <c r="F294" s="15" t="str">
        <f t="shared" si="20"/>
        <v/>
      </c>
      <c r="G294" s="71">
        <f t="shared" si="25"/>
        <v>0</v>
      </c>
      <c r="H294" s="71">
        <f t="shared" si="26"/>
        <v>0</v>
      </c>
      <c r="I294" s="71">
        <f t="shared" si="27"/>
        <v>1</v>
      </c>
      <c r="J294" s="71">
        <f t="shared" si="28"/>
        <v>0</v>
      </c>
      <c r="K294" s="16"/>
      <c r="L294" s="16"/>
      <c r="M294" s="17"/>
    </row>
    <row r="295" spans="1:13" ht="26.1" customHeight="1" x14ac:dyDescent="0.15">
      <c r="A295" s="22"/>
      <c r="B295" s="20" t="s">
        <v>47</v>
      </c>
      <c r="C295" s="35" t="s">
        <v>375</v>
      </c>
      <c r="D295" s="39"/>
      <c r="E295" s="39"/>
      <c r="F295" s="15" t="str">
        <f t="shared" si="20"/>
        <v/>
      </c>
      <c r="G295" s="71">
        <f t="shared" si="25"/>
        <v>0</v>
      </c>
      <c r="H295" s="71">
        <f t="shared" si="26"/>
        <v>0</v>
      </c>
      <c r="I295" s="71">
        <f t="shared" si="27"/>
        <v>1</v>
      </c>
      <c r="J295" s="71">
        <f t="shared" si="28"/>
        <v>0</v>
      </c>
      <c r="K295" s="16"/>
      <c r="L295" s="16"/>
      <c r="M295" s="17"/>
    </row>
    <row r="296" spans="1:13" ht="26.1" customHeight="1" x14ac:dyDescent="0.15">
      <c r="A296" s="22"/>
      <c r="B296" s="14" t="s">
        <v>5</v>
      </c>
      <c r="C296" s="34" t="s">
        <v>376</v>
      </c>
      <c r="D296" s="38"/>
      <c r="E296" s="38"/>
      <c r="F296" s="15" t="str">
        <f t="shared" si="20"/>
        <v/>
      </c>
      <c r="G296" s="71">
        <f t="shared" si="25"/>
        <v>0</v>
      </c>
      <c r="H296" s="71">
        <f t="shared" si="26"/>
        <v>0</v>
      </c>
      <c r="I296" s="71">
        <f t="shared" si="27"/>
        <v>1</v>
      </c>
      <c r="J296" s="71">
        <f t="shared" si="28"/>
        <v>0</v>
      </c>
      <c r="K296" s="16"/>
      <c r="L296" s="16"/>
      <c r="M296" s="17"/>
    </row>
    <row r="297" spans="1:13" ht="26.1" customHeight="1" x14ac:dyDescent="0.15">
      <c r="A297" s="22"/>
      <c r="B297" s="14" t="s">
        <v>51</v>
      </c>
      <c r="C297" s="34" t="s">
        <v>377</v>
      </c>
      <c r="D297" s="38"/>
      <c r="E297" s="38"/>
      <c r="F297" s="15" t="str">
        <f t="shared" si="20"/>
        <v/>
      </c>
      <c r="G297" s="71">
        <f t="shared" si="25"/>
        <v>0</v>
      </c>
      <c r="H297" s="71">
        <f t="shared" si="26"/>
        <v>0</v>
      </c>
      <c r="I297" s="71">
        <f t="shared" si="27"/>
        <v>1</v>
      </c>
      <c r="J297" s="71">
        <f t="shared" si="28"/>
        <v>0</v>
      </c>
      <c r="K297" s="16"/>
      <c r="L297" s="16"/>
      <c r="M297" s="17"/>
    </row>
    <row r="298" spans="1:13" ht="26.1" customHeight="1" x14ac:dyDescent="0.15">
      <c r="A298" s="22"/>
      <c r="B298" s="14" t="s">
        <v>52</v>
      </c>
      <c r="C298" s="34" t="s">
        <v>378</v>
      </c>
      <c r="D298" s="38"/>
      <c r="E298" s="38"/>
      <c r="F298" s="15" t="str">
        <f t="shared" si="20"/>
        <v/>
      </c>
      <c r="G298" s="71">
        <f t="shared" si="25"/>
        <v>0</v>
      </c>
      <c r="H298" s="71">
        <f t="shared" si="26"/>
        <v>0</v>
      </c>
      <c r="I298" s="71">
        <f t="shared" si="27"/>
        <v>1</v>
      </c>
      <c r="J298" s="71">
        <f t="shared" si="28"/>
        <v>0</v>
      </c>
      <c r="K298" s="16"/>
      <c r="L298" s="16"/>
      <c r="M298" s="17"/>
    </row>
    <row r="299" spans="1:13" ht="26.1" customHeight="1" x14ac:dyDescent="0.15">
      <c r="A299" s="22"/>
      <c r="B299" s="20" t="s">
        <v>48</v>
      </c>
      <c r="C299" s="35" t="s">
        <v>379</v>
      </c>
      <c r="D299" s="39"/>
      <c r="E299" s="39"/>
      <c r="F299" s="15" t="str">
        <f t="shared" si="20"/>
        <v/>
      </c>
      <c r="G299" s="71">
        <f t="shared" si="25"/>
        <v>0</v>
      </c>
      <c r="H299" s="71">
        <f t="shared" si="26"/>
        <v>0</v>
      </c>
      <c r="I299" s="71">
        <f t="shared" si="27"/>
        <v>1</v>
      </c>
      <c r="J299" s="71">
        <f t="shared" si="28"/>
        <v>0</v>
      </c>
      <c r="K299" s="16"/>
      <c r="L299" s="16"/>
      <c r="M299" s="17"/>
    </row>
    <row r="300" spans="1:13" ht="26.1" customHeight="1" x14ac:dyDescent="0.15">
      <c r="A300" s="22"/>
      <c r="B300" s="20" t="s">
        <v>49</v>
      </c>
      <c r="C300" s="35" t="s">
        <v>380</v>
      </c>
      <c r="D300" s="39"/>
      <c r="E300" s="39"/>
      <c r="F300" s="15" t="str">
        <f t="shared" si="20"/>
        <v/>
      </c>
      <c r="G300" s="71">
        <f t="shared" si="25"/>
        <v>0</v>
      </c>
      <c r="H300" s="71">
        <f t="shared" si="26"/>
        <v>0</v>
      </c>
      <c r="I300" s="71">
        <f t="shared" si="27"/>
        <v>1</v>
      </c>
      <c r="J300" s="71">
        <f t="shared" si="28"/>
        <v>0</v>
      </c>
      <c r="K300" s="16"/>
      <c r="L300" s="16"/>
      <c r="M300" s="17"/>
    </row>
    <row r="301" spans="1:13" ht="26.1" customHeight="1" x14ac:dyDescent="0.15">
      <c r="A301" s="23"/>
      <c r="B301" s="20" t="s">
        <v>50</v>
      </c>
      <c r="C301" s="35" t="s">
        <v>381</v>
      </c>
      <c r="D301" s="39"/>
      <c r="E301" s="39"/>
      <c r="F301" s="15" t="str">
        <f t="shared" si="20"/>
        <v/>
      </c>
      <c r="G301" s="71">
        <f t="shared" si="25"/>
        <v>0</v>
      </c>
      <c r="H301" s="71">
        <f t="shared" si="26"/>
        <v>0</v>
      </c>
      <c r="I301" s="71">
        <f t="shared" si="27"/>
        <v>1</v>
      </c>
      <c r="J301" s="71">
        <f t="shared" si="28"/>
        <v>0</v>
      </c>
      <c r="K301" s="16"/>
      <c r="L301" s="16"/>
      <c r="M301" s="17"/>
    </row>
    <row r="302" spans="1:13" ht="26.1" customHeight="1" x14ac:dyDescent="0.15">
      <c r="A302" s="56">
        <v>8</v>
      </c>
      <c r="B302" s="24" t="s">
        <v>41</v>
      </c>
      <c r="C302" s="36" t="s">
        <v>382</v>
      </c>
      <c r="D302" s="40"/>
      <c r="E302" s="40"/>
      <c r="F302" s="15" t="str">
        <f t="shared" si="20"/>
        <v/>
      </c>
      <c r="G302" s="71">
        <f t="shared" si="25"/>
        <v>0</v>
      </c>
      <c r="H302" s="71">
        <f t="shared" si="26"/>
        <v>0</v>
      </c>
      <c r="I302" s="71">
        <f t="shared" si="27"/>
        <v>1</v>
      </c>
      <c r="J302" s="71">
        <f t="shared" si="28"/>
        <v>0</v>
      </c>
      <c r="K302" s="16"/>
      <c r="L302" s="16"/>
      <c r="M302" s="17"/>
    </row>
    <row r="303" spans="1:13" ht="26.1" customHeight="1" x14ac:dyDescent="0.15">
      <c r="A303" s="22"/>
      <c r="B303" s="24" t="s">
        <v>42</v>
      </c>
      <c r="C303" s="36" t="s">
        <v>383</v>
      </c>
      <c r="D303" s="40"/>
      <c r="E303" s="40"/>
      <c r="F303" s="15" t="str">
        <f t="shared" si="20"/>
        <v/>
      </c>
      <c r="G303" s="71">
        <f t="shared" si="25"/>
        <v>0</v>
      </c>
      <c r="H303" s="71">
        <f t="shared" si="26"/>
        <v>0</v>
      </c>
      <c r="I303" s="71">
        <f t="shared" si="27"/>
        <v>1</v>
      </c>
      <c r="J303" s="71">
        <f t="shared" si="28"/>
        <v>0</v>
      </c>
      <c r="K303" s="16"/>
      <c r="L303" s="16"/>
      <c r="M303" s="17"/>
    </row>
    <row r="304" spans="1:13" ht="26.1" customHeight="1" x14ac:dyDescent="0.15">
      <c r="A304" s="22"/>
      <c r="B304" s="24" t="s">
        <v>43</v>
      </c>
      <c r="C304" s="36" t="s">
        <v>384</v>
      </c>
      <c r="D304" s="40"/>
      <c r="E304" s="40"/>
      <c r="F304" s="15" t="str">
        <f t="shared" si="20"/>
        <v/>
      </c>
      <c r="G304" s="71">
        <f t="shared" si="25"/>
        <v>0</v>
      </c>
      <c r="H304" s="71">
        <f t="shared" si="26"/>
        <v>0</v>
      </c>
      <c r="I304" s="71">
        <f t="shared" si="27"/>
        <v>1</v>
      </c>
      <c r="J304" s="71">
        <f t="shared" si="28"/>
        <v>0</v>
      </c>
      <c r="K304" s="16"/>
      <c r="L304" s="16"/>
      <c r="M304" s="17"/>
    </row>
    <row r="305" spans="1:13" ht="26.1" customHeight="1" x14ac:dyDescent="0.15">
      <c r="A305" s="22"/>
      <c r="B305" s="25" t="s">
        <v>3</v>
      </c>
      <c r="C305" s="37" t="s">
        <v>385</v>
      </c>
      <c r="D305" s="41"/>
      <c r="E305" s="41"/>
      <c r="F305" s="15" t="str">
        <f t="shared" si="20"/>
        <v/>
      </c>
      <c r="G305" s="71">
        <f t="shared" si="25"/>
        <v>0</v>
      </c>
      <c r="H305" s="71">
        <f t="shared" si="26"/>
        <v>0</v>
      </c>
      <c r="I305" s="71">
        <f t="shared" si="27"/>
        <v>1</v>
      </c>
      <c r="J305" s="71">
        <f t="shared" si="28"/>
        <v>0</v>
      </c>
      <c r="K305" s="16"/>
      <c r="L305" s="16"/>
      <c r="M305" s="17"/>
    </row>
    <row r="306" spans="1:13" ht="26.1" customHeight="1" x14ac:dyDescent="0.15">
      <c r="A306" s="22"/>
      <c r="B306" s="25" t="s">
        <v>6</v>
      </c>
      <c r="C306" s="37" t="s">
        <v>386</v>
      </c>
      <c r="D306" s="41"/>
      <c r="E306" s="41"/>
      <c r="F306" s="15" t="str">
        <f t="shared" si="20"/>
        <v/>
      </c>
      <c r="G306" s="71">
        <f t="shared" si="25"/>
        <v>0</v>
      </c>
      <c r="H306" s="71">
        <f t="shared" si="26"/>
        <v>0</v>
      </c>
      <c r="I306" s="71">
        <f t="shared" si="27"/>
        <v>1</v>
      </c>
      <c r="J306" s="71">
        <f t="shared" si="28"/>
        <v>0</v>
      </c>
      <c r="K306" s="16"/>
      <c r="L306" s="16"/>
      <c r="M306" s="17"/>
    </row>
    <row r="307" spans="1:13" ht="26.1" customHeight="1" x14ac:dyDescent="0.15">
      <c r="A307" s="22"/>
      <c r="B307" s="25" t="s">
        <v>0</v>
      </c>
      <c r="C307" s="37" t="s">
        <v>387</v>
      </c>
      <c r="D307" s="41"/>
      <c r="E307" s="41"/>
      <c r="F307" s="15" t="str">
        <f t="shared" si="20"/>
        <v/>
      </c>
      <c r="G307" s="71">
        <f t="shared" si="25"/>
        <v>0</v>
      </c>
      <c r="H307" s="71">
        <f t="shared" si="26"/>
        <v>0</v>
      </c>
      <c r="I307" s="71">
        <f t="shared" si="27"/>
        <v>1</v>
      </c>
      <c r="J307" s="71">
        <f t="shared" si="28"/>
        <v>0</v>
      </c>
      <c r="K307" s="16"/>
      <c r="L307" s="16"/>
      <c r="M307" s="17"/>
    </row>
    <row r="308" spans="1:13" ht="26.1" customHeight="1" x14ac:dyDescent="0.15">
      <c r="A308" s="22"/>
      <c r="B308" s="24" t="s">
        <v>44</v>
      </c>
      <c r="C308" s="36" t="s">
        <v>388</v>
      </c>
      <c r="D308" s="40"/>
      <c r="E308" s="40"/>
      <c r="F308" s="15" t="str">
        <f t="shared" si="20"/>
        <v/>
      </c>
      <c r="G308" s="71">
        <f t="shared" si="25"/>
        <v>0</v>
      </c>
      <c r="H308" s="71">
        <f t="shared" si="26"/>
        <v>0</v>
      </c>
      <c r="I308" s="71">
        <f t="shared" si="27"/>
        <v>1</v>
      </c>
      <c r="J308" s="71">
        <f t="shared" si="28"/>
        <v>0</v>
      </c>
      <c r="K308" s="16"/>
      <c r="L308" s="16"/>
      <c r="M308" s="17"/>
    </row>
    <row r="309" spans="1:13" ht="26.1" customHeight="1" x14ac:dyDescent="0.15">
      <c r="A309" s="22"/>
      <c r="B309" s="24" t="s">
        <v>45</v>
      </c>
      <c r="C309" s="36" t="s">
        <v>389</v>
      </c>
      <c r="D309" s="40"/>
      <c r="E309" s="40"/>
      <c r="F309" s="15" t="str">
        <f t="shared" si="20"/>
        <v/>
      </c>
      <c r="G309" s="71">
        <f t="shared" si="25"/>
        <v>0</v>
      </c>
      <c r="H309" s="71">
        <f t="shared" si="26"/>
        <v>0</v>
      </c>
      <c r="I309" s="71">
        <f t="shared" si="27"/>
        <v>1</v>
      </c>
      <c r="J309" s="71">
        <f t="shared" si="28"/>
        <v>0</v>
      </c>
      <c r="K309" s="16"/>
      <c r="L309" s="16"/>
      <c r="M309" s="17"/>
    </row>
    <row r="310" spans="1:13" ht="26.1" customHeight="1" x14ac:dyDescent="0.15">
      <c r="A310" s="22"/>
      <c r="B310" s="24" t="s">
        <v>46</v>
      </c>
      <c r="C310" s="36" t="s">
        <v>390</v>
      </c>
      <c r="D310" s="40"/>
      <c r="E310" s="40"/>
      <c r="F310" s="15" t="str">
        <f t="shared" si="20"/>
        <v/>
      </c>
      <c r="G310" s="71">
        <f t="shared" si="25"/>
        <v>0</v>
      </c>
      <c r="H310" s="71">
        <f t="shared" si="26"/>
        <v>0</v>
      </c>
      <c r="I310" s="71">
        <f t="shared" si="27"/>
        <v>1</v>
      </c>
      <c r="J310" s="71">
        <f t="shared" si="28"/>
        <v>0</v>
      </c>
      <c r="K310" s="16"/>
      <c r="L310" s="16"/>
      <c r="M310" s="17"/>
    </row>
    <row r="311" spans="1:13" ht="26.1" customHeight="1" x14ac:dyDescent="0.15">
      <c r="A311" s="22"/>
      <c r="B311" s="25" t="s">
        <v>1</v>
      </c>
      <c r="C311" s="37" t="s">
        <v>391</v>
      </c>
      <c r="D311" s="41"/>
      <c r="E311" s="41"/>
      <c r="F311" s="15" t="str">
        <f t="shared" si="20"/>
        <v/>
      </c>
      <c r="G311" s="71">
        <f t="shared" si="25"/>
        <v>0</v>
      </c>
      <c r="H311" s="71">
        <f t="shared" si="26"/>
        <v>0</v>
      </c>
      <c r="I311" s="71">
        <f t="shared" si="27"/>
        <v>1</v>
      </c>
      <c r="J311" s="71">
        <f t="shared" si="28"/>
        <v>0</v>
      </c>
      <c r="K311" s="16"/>
      <c r="L311" s="16"/>
      <c r="M311" s="17"/>
    </row>
    <row r="312" spans="1:13" ht="26.1" customHeight="1" x14ac:dyDescent="0.15">
      <c r="A312" s="22"/>
      <c r="B312" s="25" t="s">
        <v>2</v>
      </c>
      <c r="C312" s="37" t="s">
        <v>392</v>
      </c>
      <c r="D312" s="41"/>
      <c r="E312" s="41"/>
      <c r="F312" s="15" t="str">
        <f t="shared" si="20"/>
        <v/>
      </c>
      <c r="G312" s="71">
        <f t="shared" si="25"/>
        <v>0</v>
      </c>
      <c r="H312" s="71">
        <f t="shared" si="26"/>
        <v>0</v>
      </c>
      <c r="I312" s="71">
        <f t="shared" si="27"/>
        <v>1</v>
      </c>
      <c r="J312" s="71">
        <f t="shared" si="28"/>
        <v>0</v>
      </c>
      <c r="K312" s="16"/>
      <c r="L312" s="16"/>
      <c r="M312" s="17"/>
    </row>
    <row r="313" spans="1:13" ht="26.1" customHeight="1" x14ac:dyDescent="0.15">
      <c r="A313" s="22"/>
      <c r="B313" s="25" t="s">
        <v>47</v>
      </c>
      <c r="C313" s="37" t="s">
        <v>393</v>
      </c>
      <c r="D313" s="41"/>
      <c r="E313" s="41"/>
      <c r="F313" s="15" t="str">
        <f t="shared" si="20"/>
        <v/>
      </c>
      <c r="G313" s="71">
        <f t="shared" si="25"/>
        <v>0</v>
      </c>
      <c r="H313" s="71">
        <f t="shared" si="26"/>
        <v>0</v>
      </c>
      <c r="I313" s="71">
        <f t="shared" si="27"/>
        <v>1</v>
      </c>
      <c r="J313" s="71">
        <f t="shared" si="28"/>
        <v>0</v>
      </c>
      <c r="K313" s="16"/>
      <c r="L313" s="16"/>
      <c r="M313" s="17"/>
    </row>
    <row r="314" spans="1:13" ht="26.1" customHeight="1" x14ac:dyDescent="0.15">
      <c r="A314" s="22"/>
      <c r="B314" s="24" t="s">
        <v>5</v>
      </c>
      <c r="C314" s="36" t="s">
        <v>394</v>
      </c>
      <c r="D314" s="40"/>
      <c r="E314" s="40"/>
      <c r="F314" s="15" t="str">
        <f t="shared" si="20"/>
        <v/>
      </c>
      <c r="G314" s="71">
        <f t="shared" si="25"/>
        <v>0</v>
      </c>
      <c r="H314" s="71">
        <f t="shared" si="26"/>
        <v>0</v>
      </c>
      <c r="I314" s="71">
        <f t="shared" si="27"/>
        <v>1</v>
      </c>
      <c r="J314" s="71">
        <f t="shared" si="28"/>
        <v>0</v>
      </c>
      <c r="K314" s="16"/>
      <c r="L314" s="16"/>
      <c r="M314" s="17"/>
    </row>
    <row r="315" spans="1:13" ht="26.1" customHeight="1" x14ac:dyDescent="0.15">
      <c r="A315" s="22"/>
      <c r="B315" s="24" t="s">
        <v>51</v>
      </c>
      <c r="C315" s="36" t="s">
        <v>395</v>
      </c>
      <c r="D315" s="40"/>
      <c r="E315" s="40"/>
      <c r="F315" s="15" t="str">
        <f t="shared" si="20"/>
        <v/>
      </c>
      <c r="G315" s="71">
        <f t="shared" si="25"/>
        <v>0</v>
      </c>
      <c r="H315" s="71">
        <f t="shared" si="26"/>
        <v>0</v>
      </c>
      <c r="I315" s="71">
        <f t="shared" si="27"/>
        <v>1</v>
      </c>
      <c r="J315" s="71">
        <f t="shared" si="28"/>
        <v>0</v>
      </c>
      <c r="K315" s="16"/>
      <c r="L315" s="16"/>
      <c r="M315" s="17"/>
    </row>
    <row r="316" spans="1:13" ht="26.1" customHeight="1" x14ac:dyDescent="0.15">
      <c r="A316" s="22"/>
      <c r="B316" s="24" t="s">
        <v>52</v>
      </c>
      <c r="C316" s="36" t="s">
        <v>396</v>
      </c>
      <c r="D316" s="40"/>
      <c r="E316" s="40"/>
      <c r="F316" s="15" t="str">
        <f t="shared" si="20"/>
        <v/>
      </c>
      <c r="G316" s="71">
        <f t="shared" si="25"/>
        <v>0</v>
      </c>
      <c r="H316" s="71">
        <f t="shared" si="26"/>
        <v>0</v>
      </c>
      <c r="I316" s="71">
        <f t="shared" si="27"/>
        <v>1</v>
      </c>
      <c r="J316" s="71">
        <f t="shared" si="28"/>
        <v>0</v>
      </c>
      <c r="K316" s="16"/>
      <c r="L316" s="16"/>
      <c r="M316" s="17"/>
    </row>
    <row r="317" spans="1:13" ht="26.1" customHeight="1" x14ac:dyDescent="0.15">
      <c r="A317" s="22"/>
      <c r="B317" s="25" t="s">
        <v>48</v>
      </c>
      <c r="C317" s="37" t="s">
        <v>397</v>
      </c>
      <c r="D317" s="41"/>
      <c r="E317" s="41"/>
      <c r="F317" s="15" t="str">
        <f t="shared" si="20"/>
        <v/>
      </c>
      <c r="G317" s="71">
        <f t="shared" si="25"/>
        <v>0</v>
      </c>
      <c r="H317" s="71">
        <f t="shared" si="26"/>
        <v>0</v>
      </c>
      <c r="I317" s="71">
        <f t="shared" si="27"/>
        <v>1</v>
      </c>
      <c r="J317" s="71">
        <f t="shared" si="28"/>
        <v>0</v>
      </c>
      <c r="K317" s="16"/>
      <c r="L317" s="16"/>
      <c r="M317" s="17"/>
    </row>
    <row r="318" spans="1:13" ht="26.1" customHeight="1" x14ac:dyDescent="0.15">
      <c r="A318" s="22"/>
      <c r="B318" s="25" t="s">
        <v>49</v>
      </c>
      <c r="C318" s="37" t="s">
        <v>398</v>
      </c>
      <c r="D318" s="41"/>
      <c r="E318" s="41"/>
      <c r="F318" s="15" t="str">
        <f t="shared" si="20"/>
        <v/>
      </c>
      <c r="G318" s="71">
        <f t="shared" si="25"/>
        <v>0</v>
      </c>
      <c r="H318" s="71">
        <f t="shared" si="26"/>
        <v>0</v>
      </c>
      <c r="I318" s="71">
        <f t="shared" si="27"/>
        <v>1</v>
      </c>
      <c r="J318" s="71">
        <f t="shared" si="28"/>
        <v>0</v>
      </c>
      <c r="K318" s="16"/>
      <c r="L318" s="16"/>
      <c r="M318" s="17"/>
    </row>
    <row r="319" spans="1:13" ht="26.1" customHeight="1" x14ac:dyDescent="0.15">
      <c r="A319" s="22"/>
      <c r="B319" s="25" t="s">
        <v>50</v>
      </c>
      <c r="C319" s="37" t="s">
        <v>399</v>
      </c>
      <c r="D319" s="41"/>
      <c r="E319" s="41"/>
      <c r="F319" s="15" t="str">
        <f t="shared" si="20"/>
        <v/>
      </c>
      <c r="G319" s="71">
        <f t="shared" si="25"/>
        <v>0</v>
      </c>
      <c r="H319" s="71">
        <f t="shared" si="26"/>
        <v>0</v>
      </c>
      <c r="I319" s="71">
        <f t="shared" si="27"/>
        <v>1</v>
      </c>
      <c r="J319" s="71">
        <f t="shared" si="28"/>
        <v>0</v>
      </c>
      <c r="K319" s="16"/>
      <c r="L319" s="16"/>
      <c r="M319" s="17"/>
    </row>
    <row r="320" spans="1:13" ht="26.1" customHeight="1" x14ac:dyDescent="0.15">
      <c r="A320" s="22"/>
      <c r="B320" s="24" t="s">
        <v>53</v>
      </c>
      <c r="C320" s="36" t="s">
        <v>400</v>
      </c>
      <c r="D320" s="40"/>
      <c r="E320" s="40"/>
      <c r="F320" s="15" t="str">
        <f t="shared" si="20"/>
        <v/>
      </c>
      <c r="G320" s="71">
        <f t="shared" si="25"/>
        <v>0</v>
      </c>
      <c r="H320" s="71">
        <f t="shared" si="26"/>
        <v>0</v>
      </c>
      <c r="I320" s="71">
        <f t="shared" si="27"/>
        <v>1</v>
      </c>
      <c r="J320" s="71">
        <f t="shared" si="28"/>
        <v>0</v>
      </c>
      <c r="K320" s="16"/>
      <c r="L320" s="16"/>
      <c r="M320" s="17"/>
    </row>
    <row r="321" spans="1:13" ht="26.1" customHeight="1" x14ac:dyDescent="0.15">
      <c r="A321" s="22"/>
      <c r="B321" s="24" t="s">
        <v>4</v>
      </c>
      <c r="C321" s="36" t="s">
        <v>401</v>
      </c>
      <c r="D321" s="40"/>
      <c r="E321" s="40"/>
      <c r="F321" s="15" t="str">
        <f t="shared" si="20"/>
        <v/>
      </c>
      <c r="G321" s="71">
        <f t="shared" si="25"/>
        <v>0</v>
      </c>
      <c r="H321" s="71">
        <f t="shared" si="26"/>
        <v>0</v>
      </c>
      <c r="I321" s="71">
        <f t="shared" si="27"/>
        <v>1</v>
      </c>
      <c r="J321" s="71">
        <f t="shared" si="28"/>
        <v>0</v>
      </c>
      <c r="K321" s="16"/>
      <c r="L321" s="16"/>
      <c r="M321" s="17"/>
    </row>
    <row r="322" spans="1:13" ht="26.1" customHeight="1" x14ac:dyDescent="0.15">
      <c r="A322" s="22"/>
      <c r="B322" s="24" t="s">
        <v>54</v>
      </c>
      <c r="C322" s="36" t="s">
        <v>231</v>
      </c>
      <c r="D322" s="40"/>
      <c r="E322" s="40"/>
      <c r="F322" s="15" t="str">
        <f t="shared" si="20"/>
        <v/>
      </c>
      <c r="G322" s="71">
        <f t="shared" si="25"/>
        <v>0</v>
      </c>
      <c r="H322" s="71">
        <f t="shared" si="26"/>
        <v>0</v>
      </c>
      <c r="I322" s="71">
        <f t="shared" si="27"/>
        <v>1</v>
      </c>
      <c r="J322" s="71">
        <f t="shared" si="28"/>
        <v>0</v>
      </c>
      <c r="K322" s="16"/>
      <c r="L322" s="16"/>
      <c r="M322" s="17"/>
    </row>
    <row r="323" spans="1:13" ht="26.1" customHeight="1" x14ac:dyDescent="0.15">
      <c r="A323" s="22"/>
      <c r="B323" s="25" t="s">
        <v>55</v>
      </c>
      <c r="C323" s="37" t="s">
        <v>402</v>
      </c>
      <c r="D323" s="41"/>
      <c r="E323" s="41"/>
      <c r="F323" s="15" t="str">
        <f t="shared" si="20"/>
        <v/>
      </c>
      <c r="G323" s="71">
        <f t="shared" si="25"/>
        <v>0</v>
      </c>
      <c r="H323" s="71">
        <f t="shared" si="26"/>
        <v>0</v>
      </c>
      <c r="I323" s="71">
        <f t="shared" si="27"/>
        <v>1</v>
      </c>
      <c r="J323" s="71">
        <f t="shared" si="28"/>
        <v>0</v>
      </c>
      <c r="K323" s="16"/>
      <c r="L323" s="16"/>
      <c r="M323" s="17"/>
    </row>
    <row r="324" spans="1:13" ht="26.1" customHeight="1" x14ac:dyDescent="0.15">
      <c r="A324" s="22"/>
      <c r="B324" s="25" t="s">
        <v>56</v>
      </c>
      <c r="C324" s="37" t="s">
        <v>403</v>
      </c>
      <c r="D324" s="41"/>
      <c r="E324" s="41"/>
      <c r="F324" s="15" t="str">
        <f t="shared" si="20"/>
        <v/>
      </c>
      <c r="G324" s="71">
        <f t="shared" si="25"/>
        <v>0</v>
      </c>
      <c r="H324" s="71">
        <f t="shared" si="26"/>
        <v>0</v>
      </c>
      <c r="I324" s="71">
        <f t="shared" si="27"/>
        <v>1</v>
      </c>
      <c r="J324" s="71">
        <f t="shared" si="28"/>
        <v>0</v>
      </c>
      <c r="K324" s="16"/>
      <c r="L324" s="16"/>
      <c r="M324" s="17"/>
    </row>
    <row r="325" spans="1:13" ht="26.1" customHeight="1" x14ac:dyDescent="0.15">
      <c r="A325" s="22"/>
      <c r="B325" s="25" t="s">
        <v>57</v>
      </c>
      <c r="C325" s="37" t="s">
        <v>404</v>
      </c>
      <c r="D325" s="41"/>
      <c r="E325" s="41"/>
      <c r="F325" s="15" t="str">
        <f t="shared" si="20"/>
        <v/>
      </c>
      <c r="G325" s="71">
        <f t="shared" si="25"/>
        <v>0</v>
      </c>
      <c r="H325" s="71">
        <f t="shared" si="26"/>
        <v>0</v>
      </c>
      <c r="I325" s="71">
        <f t="shared" si="27"/>
        <v>1</v>
      </c>
      <c r="J325" s="71">
        <f t="shared" si="28"/>
        <v>0</v>
      </c>
      <c r="K325" s="16"/>
      <c r="L325" s="16"/>
      <c r="M325" s="17"/>
    </row>
    <row r="326" spans="1:13" ht="26.1" customHeight="1" x14ac:dyDescent="0.15">
      <c r="A326" s="22"/>
      <c r="B326" s="24" t="s">
        <v>19</v>
      </c>
      <c r="C326" s="36" t="s">
        <v>405</v>
      </c>
      <c r="D326" s="40"/>
      <c r="E326" s="40"/>
      <c r="F326" s="15" t="str">
        <f t="shared" si="20"/>
        <v/>
      </c>
      <c r="G326" s="71">
        <f t="shared" si="25"/>
        <v>0</v>
      </c>
      <c r="H326" s="71">
        <f t="shared" si="26"/>
        <v>0</v>
      </c>
      <c r="I326" s="71">
        <f t="shared" si="27"/>
        <v>1</v>
      </c>
      <c r="J326" s="71">
        <f t="shared" si="28"/>
        <v>0</v>
      </c>
      <c r="K326" s="16"/>
      <c r="L326" s="16"/>
      <c r="M326" s="17"/>
    </row>
    <row r="327" spans="1:13" ht="26.1" customHeight="1" x14ac:dyDescent="0.15">
      <c r="A327" s="22"/>
      <c r="B327" s="24" t="s">
        <v>20</v>
      </c>
      <c r="C327" s="36" t="s">
        <v>406</v>
      </c>
      <c r="D327" s="40"/>
      <c r="E327" s="40"/>
      <c r="F327" s="15" t="str">
        <f t="shared" si="20"/>
        <v/>
      </c>
      <c r="G327" s="71">
        <f t="shared" si="25"/>
        <v>0</v>
      </c>
      <c r="H327" s="71">
        <f t="shared" si="26"/>
        <v>0</v>
      </c>
      <c r="I327" s="71">
        <f t="shared" si="27"/>
        <v>1</v>
      </c>
      <c r="J327" s="71">
        <f t="shared" si="28"/>
        <v>0</v>
      </c>
      <c r="K327" s="16"/>
      <c r="L327" s="16"/>
      <c r="M327" s="17"/>
    </row>
    <row r="328" spans="1:13" ht="26.1" customHeight="1" x14ac:dyDescent="0.15">
      <c r="A328" s="22"/>
      <c r="B328" s="24" t="s">
        <v>21</v>
      </c>
      <c r="C328" s="36" t="s">
        <v>407</v>
      </c>
      <c r="D328" s="40"/>
      <c r="E328" s="40"/>
      <c r="F328" s="15" t="str">
        <f t="shared" si="20"/>
        <v/>
      </c>
      <c r="G328" s="71">
        <f t="shared" si="25"/>
        <v>0</v>
      </c>
      <c r="H328" s="71">
        <f t="shared" si="26"/>
        <v>0</v>
      </c>
      <c r="I328" s="71">
        <f t="shared" si="27"/>
        <v>1</v>
      </c>
      <c r="J328" s="71">
        <f t="shared" si="28"/>
        <v>0</v>
      </c>
      <c r="K328" s="16"/>
      <c r="L328" s="16"/>
      <c r="M328" s="17"/>
    </row>
    <row r="329" spans="1:13" ht="26.1" customHeight="1" x14ac:dyDescent="0.15">
      <c r="A329" s="22"/>
      <c r="B329" s="25" t="s">
        <v>22</v>
      </c>
      <c r="C329" s="37" t="s">
        <v>408</v>
      </c>
      <c r="D329" s="41"/>
      <c r="E329" s="41"/>
      <c r="F329" s="15" t="str">
        <f t="shared" ref="F329:F392" si="29">IF(D329="x",IF(E329&lt;&gt;"x","Paling Disukai","ERROR"),IF(E329="x","Paling Tidak Disukai",""))</f>
        <v/>
      </c>
      <c r="G329" s="71">
        <f t="shared" si="25"/>
        <v>0</v>
      </c>
      <c r="H329" s="71">
        <f t="shared" si="26"/>
        <v>0</v>
      </c>
      <c r="I329" s="71">
        <f t="shared" si="27"/>
        <v>1</v>
      </c>
      <c r="J329" s="71">
        <f t="shared" si="28"/>
        <v>0</v>
      </c>
      <c r="K329" s="16"/>
      <c r="L329" s="16"/>
      <c r="M329" s="17"/>
    </row>
    <row r="330" spans="1:13" ht="26.1" customHeight="1" x14ac:dyDescent="0.15">
      <c r="A330" s="22"/>
      <c r="B330" s="25" t="s">
        <v>23</v>
      </c>
      <c r="C330" s="37" t="s">
        <v>409</v>
      </c>
      <c r="D330" s="41"/>
      <c r="E330" s="41"/>
      <c r="F330" s="15" t="str">
        <f t="shared" si="29"/>
        <v/>
      </c>
      <c r="G330" s="71">
        <f t="shared" ref="G330:G393" si="30">IF(D330="x",IF(E330&lt;&gt;"x",1,0),0)</f>
        <v>0</v>
      </c>
      <c r="H330" s="71">
        <f t="shared" ref="H330:H393" si="31">IF(E330="x",IF(D330&lt;&gt;"x",1,0),0)</f>
        <v>0</v>
      </c>
      <c r="I330" s="71">
        <f t="shared" ref="I330:I393" si="32">IF(E330="x",0,IF(D330&lt;&gt;"x",1,0))</f>
        <v>1</v>
      </c>
      <c r="J330" s="71">
        <f t="shared" ref="J330:J393" si="33">IF(E330="x",IF(D330&lt;&gt;"x",0,1),0)</f>
        <v>0</v>
      </c>
      <c r="K330" s="16"/>
      <c r="L330" s="16"/>
      <c r="M330" s="17"/>
    </row>
    <row r="331" spans="1:13" ht="26.1" customHeight="1" x14ac:dyDescent="0.15">
      <c r="A331" s="22"/>
      <c r="B331" s="25" t="s">
        <v>24</v>
      </c>
      <c r="C331" s="37" t="s">
        <v>410</v>
      </c>
      <c r="D331" s="41"/>
      <c r="E331" s="41"/>
      <c r="F331" s="15" t="str">
        <f t="shared" si="29"/>
        <v/>
      </c>
      <c r="G331" s="71">
        <f t="shared" si="30"/>
        <v>0</v>
      </c>
      <c r="H331" s="71">
        <f t="shared" si="31"/>
        <v>0</v>
      </c>
      <c r="I331" s="71">
        <f t="shared" si="32"/>
        <v>1</v>
      </c>
      <c r="J331" s="71">
        <f t="shared" si="33"/>
        <v>0</v>
      </c>
      <c r="K331" s="16"/>
      <c r="L331" s="16"/>
      <c r="M331" s="17"/>
    </row>
    <row r="332" spans="1:13" ht="26.1" customHeight="1" x14ac:dyDescent="0.15">
      <c r="A332" s="22"/>
      <c r="B332" s="24" t="s">
        <v>25</v>
      </c>
      <c r="C332" s="36" t="s">
        <v>411</v>
      </c>
      <c r="D332" s="40"/>
      <c r="E332" s="40"/>
      <c r="F332" s="15" t="str">
        <f t="shared" si="29"/>
        <v/>
      </c>
      <c r="G332" s="71">
        <f t="shared" si="30"/>
        <v>0</v>
      </c>
      <c r="H332" s="71">
        <f t="shared" si="31"/>
        <v>0</v>
      </c>
      <c r="I332" s="71">
        <f t="shared" si="32"/>
        <v>1</v>
      </c>
      <c r="J332" s="71">
        <f t="shared" si="33"/>
        <v>0</v>
      </c>
      <c r="K332" s="16"/>
      <c r="L332" s="16"/>
      <c r="M332" s="17"/>
    </row>
    <row r="333" spans="1:13" ht="26.1" customHeight="1" x14ac:dyDescent="0.15">
      <c r="A333" s="22"/>
      <c r="B333" s="24" t="s">
        <v>26</v>
      </c>
      <c r="C333" s="36" t="s">
        <v>412</v>
      </c>
      <c r="D333" s="40"/>
      <c r="E333" s="40"/>
      <c r="F333" s="15" t="str">
        <f t="shared" si="29"/>
        <v/>
      </c>
      <c r="G333" s="71">
        <f t="shared" si="30"/>
        <v>0</v>
      </c>
      <c r="H333" s="71">
        <f t="shared" si="31"/>
        <v>0</v>
      </c>
      <c r="I333" s="71">
        <f t="shared" si="32"/>
        <v>1</v>
      </c>
      <c r="J333" s="71">
        <f t="shared" si="33"/>
        <v>0</v>
      </c>
      <c r="K333" s="16"/>
      <c r="L333" s="16"/>
      <c r="M333" s="17"/>
    </row>
    <row r="334" spans="1:13" ht="26.1" customHeight="1" x14ac:dyDescent="0.15">
      <c r="A334" s="22"/>
      <c r="B334" s="24" t="s">
        <v>58</v>
      </c>
      <c r="C334" s="36" t="s">
        <v>413</v>
      </c>
      <c r="D334" s="40"/>
      <c r="E334" s="40"/>
      <c r="F334" s="15" t="str">
        <f t="shared" si="29"/>
        <v/>
      </c>
      <c r="G334" s="71">
        <f t="shared" si="30"/>
        <v>0</v>
      </c>
      <c r="H334" s="71">
        <f t="shared" si="31"/>
        <v>0</v>
      </c>
      <c r="I334" s="71">
        <f t="shared" si="32"/>
        <v>1</v>
      </c>
      <c r="J334" s="71">
        <f t="shared" si="33"/>
        <v>0</v>
      </c>
      <c r="K334" s="16"/>
      <c r="L334" s="16"/>
      <c r="M334" s="17"/>
    </row>
    <row r="335" spans="1:13" ht="26.1" customHeight="1" x14ac:dyDescent="0.15">
      <c r="A335" s="22"/>
      <c r="B335" s="25" t="s">
        <v>27</v>
      </c>
      <c r="C335" s="37" t="s">
        <v>414</v>
      </c>
      <c r="D335" s="41"/>
      <c r="E335" s="41"/>
      <c r="F335" s="15" t="str">
        <f t="shared" si="29"/>
        <v/>
      </c>
      <c r="G335" s="71">
        <f t="shared" si="30"/>
        <v>0</v>
      </c>
      <c r="H335" s="71">
        <f t="shared" si="31"/>
        <v>0</v>
      </c>
      <c r="I335" s="71">
        <f t="shared" si="32"/>
        <v>1</v>
      </c>
      <c r="J335" s="71">
        <f t="shared" si="33"/>
        <v>0</v>
      </c>
      <c r="K335" s="16"/>
      <c r="L335" s="16"/>
      <c r="M335" s="17"/>
    </row>
    <row r="336" spans="1:13" ht="26.1" customHeight="1" x14ac:dyDescent="0.15">
      <c r="A336" s="22"/>
      <c r="B336" s="25" t="s">
        <v>28</v>
      </c>
      <c r="C336" s="37" t="s">
        <v>415</v>
      </c>
      <c r="D336" s="41"/>
      <c r="E336" s="41"/>
      <c r="F336" s="15" t="str">
        <f t="shared" si="29"/>
        <v/>
      </c>
      <c r="G336" s="71">
        <f t="shared" si="30"/>
        <v>0</v>
      </c>
      <c r="H336" s="71">
        <f t="shared" si="31"/>
        <v>0</v>
      </c>
      <c r="I336" s="71">
        <f t="shared" si="32"/>
        <v>1</v>
      </c>
      <c r="J336" s="71">
        <f t="shared" si="33"/>
        <v>0</v>
      </c>
      <c r="K336" s="16"/>
      <c r="L336" s="16"/>
      <c r="M336" s="17"/>
    </row>
    <row r="337" spans="1:13" ht="26.1" customHeight="1" x14ac:dyDescent="0.15">
      <c r="A337" s="22"/>
      <c r="B337" s="25" t="s">
        <v>29</v>
      </c>
      <c r="C337" s="37" t="s">
        <v>416</v>
      </c>
      <c r="D337" s="41"/>
      <c r="E337" s="41"/>
      <c r="F337" s="15" t="str">
        <f t="shared" si="29"/>
        <v/>
      </c>
      <c r="G337" s="71">
        <f t="shared" si="30"/>
        <v>0</v>
      </c>
      <c r="H337" s="71">
        <f t="shared" si="31"/>
        <v>0</v>
      </c>
      <c r="I337" s="71">
        <f t="shared" si="32"/>
        <v>1</v>
      </c>
      <c r="J337" s="71">
        <f t="shared" si="33"/>
        <v>0</v>
      </c>
      <c r="K337" s="16"/>
      <c r="L337" s="16"/>
      <c r="M337" s="17"/>
    </row>
    <row r="338" spans="1:13" ht="26.1" customHeight="1" x14ac:dyDescent="0.15">
      <c r="A338" s="22"/>
      <c r="B338" s="24" t="s">
        <v>30</v>
      </c>
      <c r="C338" s="36" t="s">
        <v>417</v>
      </c>
      <c r="D338" s="40"/>
      <c r="E338" s="40"/>
      <c r="F338" s="15" t="str">
        <f t="shared" si="29"/>
        <v/>
      </c>
      <c r="G338" s="71">
        <f t="shared" si="30"/>
        <v>0</v>
      </c>
      <c r="H338" s="71">
        <f t="shared" si="31"/>
        <v>0</v>
      </c>
      <c r="I338" s="71">
        <f t="shared" si="32"/>
        <v>1</v>
      </c>
      <c r="J338" s="71">
        <f t="shared" si="33"/>
        <v>0</v>
      </c>
      <c r="K338" s="16"/>
      <c r="L338" s="16"/>
      <c r="M338" s="17"/>
    </row>
    <row r="339" spans="1:13" ht="26.1" customHeight="1" x14ac:dyDescent="0.15">
      <c r="A339" s="22"/>
      <c r="B339" s="24" t="s">
        <v>31</v>
      </c>
      <c r="C339" s="36" t="s">
        <v>418</v>
      </c>
      <c r="D339" s="40"/>
      <c r="E339" s="40"/>
      <c r="F339" s="15" t="str">
        <f t="shared" si="29"/>
        <v/>
      </c>
      <c r="G339" s="71">
        <f t="shared" si="30"/>
        <v>0</v>
      </c>
      <c r="H339" s="71">
        <f t="shared" si="31"/>
        <v>0</v>
      </c>
      <c r="I339" s="71">
        <f t="shared" si="32"/>
        <v>1</v>
      </c>
      <c r="J339" s="71">
        <f t="shared" si="33"/>
        <v>0</v>
      </c>
      <c r="K339" s="16"/>
      <c r="L339" s="16"/>
      <c r="M339" s="17"/>
    </row>
    <row r="340" spans="1:13" ht="26.1" customHeight="1" x14ac:dyDescent="0.15">
      <c r="A340" s="22"/>
      <c r="B340" s="24" t="s">
        <v>32</v>
      </c>
      <c r="C340" s="36" t="s">
        <v>419</v>
      </c>
      <c r="D340" s="40"/>
      <c r="E340" s="40"/>
      <c r="F340" s="15" t="str">
        <f t="shared" si="29"/>
        <v/>
      </c>
      <c r="G340" s="71">
        <f t="shared" si="30"/>
        <v>0</v>
      </c>
      <c r="H340" s="71">
        <f t="shared" si="31"/>
        <v>0</v>
      </c>
      <c r="I340" s="71">
        <f t="shared" si="32"/>
        <v>1</v>
      </c>
      <c r="J340" s="71">
        <f t="shared" si="33"/>
        <v>0</v>
      </c>
      <c r="K340" s="16"/>
      <c r="L340" s="16"/>
      <c r="M340" s="17"/>
    </row>
    <row r="341" spans="1:13" ht="26.1" customHeight="1" x14ac:dyDescent="0.15">
      <c r="A341" s="22"/>
      <c r="B341" s="25" t="s">
        <v>33</v>
      </c>
      <c r="C341" s="37" t="s">
        <v>420</v>
      </c>
      <c r="D341" s="41"/>
      <c r="E341" s="41"/>
      <c r="F341" s="15" t="str">
        <f t="shared" si="29"/>
        <v/>
      </c>
      <c r="G341" s="71">
        <f t="shared" si="30"/>
        <v>0</v>
      </c>
      <c r="H341" s="71">
        <f t="shared" si="31"/>
        <v>0</v>
      </c>
      <c r="I341" s="71">
        <f t="shared" si="32"/>
        <v>1</v>
      </c>
      <c r="J341" s="71">
        <f t="shared" si="33"/>
        <v>0</v>
      </c>
      <c r="K341" s="16"/>
      <c r="L341" s="16"/>
      <c r="M341" s="17"/>
    </row>
    <row r="342" spans="1:13" ht="26.1" customHeight="1" x14ac:dyDescent="0.15">
      <c r="A342" s="22"/>
      <c r="B342" s="25" t="s">
        <v>34</v>
      </c>
      <c r="C342" s="37" t="s">
        <v>421</v>
      </c>
      <c r="D342" s="41"/>
      <c r="E342" s="41"/>
      <c r="F342" s="15" t="str">
        <f t="shared" si="29"/>
        <v/>
      </c>
      <c r="G342" s="71">
        <f t="shared" si="30"/>
        <v>0</v>
      </c>
      <c r="H342" s="71">
        <f t="shared" si="31"/>
        <v>0</v>
      </c>
      <c r="I342" s="71">
        <f t="shared" si="32"/>
        <v>1</v>
      </c>
      <c r="J342" s="71">
        <f t="shared" si="33"/>
        <v>0</v>
      </c>
      <c r="K342" s="16"/>
      <c r="L342" s="16"/>
      <c r="M342" s="17"/>
    </row>
    <row r="343" spans="1:13" ht="26.1" customHeight="1" x14ac:dyDescent="0.15">
      <c r="A343" s="23"/>
      <c r="B343" s="25" t="s">
        <v>35</v>
      </c>
      <c r="C343" s="37" t="s">
        <v>119</v>
      </c>
      <c r="D343" s="41"/>
      <c r="E343" s="41"/>
      <c r="F343" s="15" t="str">
        <f t="shared" si="29"/>
        <v/>
      </c>
      <c r="G343" s="71">
        <f t="shared" si="30"/>
        <v>0</v>
      </c>
      <c r="H343" s="71">
        <f t="shared" si="31"/>
        <v>0</v>
      </c>
      <c r="I343" s="71">
        <f t="shared" si="32"/>
        <v>1</v>
      </c>
      <c r="J343" s="71">
        <f t="shared" si="33"/>
        <v>0</v>
      </c>
      <c r="K343" s="16"/>
      <c r="L343" s="16"/>
      <c r="M343" s="17"/>
    </row>
    <row r="344" spans="1:13" ht="26.1" customHeight="1" x14ac:dyDescent="0.15">
      <c r="A344" s="21">
        <v>9</v>
      </c>
      <c r="B344" s="14" t="s">
        <v>19</v>
      </c>
      <c r="C344" s="34" t="s">
        <v>422</v>
      </c>
      <c r="D344" s="38"/>
      <c r="E344" s="38"/>
      <c r="F344" s="15" t="str">
        <f t="shared" si="29"/>
        <v/>
      </c>
      <c r="G344" s="71">
        <f t="shared" si="30"/>
        <v>0</v>
      </c>
      <c r="H344" s="71">
        <f t="shared" si="31"/>
        <v>0</v>
      </c>
      <c r="I344" s="71">
        <f t="shared" si="32"/>
        <v>1</v>
      </c>
      <c r="J344" s="71">
        <f t="shared" si="33"/>
        <v>0</v>
      </c>
      <c r="K344" s="16"/>
      <c r="L344" s="16"/>
      <c r="M344" s="17"/>
    </row>
    <row r="345" spans="1:13" ht="26.1" customHeight="1" x14ac:dyDescent="0.15">
      <c r="A345" s="22"/>
      <c r="B345" s="14" t="s">
        <v>20</v>
      </c>
      <c r="C345" s="34" t="s">
        <v>423</v>
      </c>
      <c r="D345" s="38"/>
      <c r="E345" s="38"/>
      <c r="F345" s="15" t="str">
        <f t="shared" si="29"/>
        <v/>
      </c>
      <c r="G345" s="71">
        <f t="shared" si="30"/>
        <v>0</v>
      </c>
      <c r="H345" s="71">
        <f t="shared" si="31"/>
        <v>0</v>
      </c>
      <c r="I345" s="71">
        <f t="shared" si="32"/>
        <v>1</v>
      </c>
      <c r="J345" s="71">
        <f t="shared" si="33"/>
        <v>0</v>
      </c>
      <c r="K345" s="16"/>
      <c r="L345" s="16"/>
      <c r="M345" s="17"/>
    </row>
    <row r="346" spans="1:13" ht="26.1" customHeight="1" x14ac:dyDescent="0.15">
      <c r="A346" s="22"/>
      <c r="B346" s="14" t="s">
        <v>21</v>
      </c>
      <c r="C346" s="34" t="s">
        <v>243</v>
      </c>
      <c r="D346" s="38"/>
      <c r="E346" s="38"/>
      <c r="F346" s="15" t="str">
        <f t="shared" si="29"/>
        <v/>
      </c>
      <c r="G346" s="71">
        <f t="shared" si="30"/>
        <v>0</v>
      </c>
      <c r="H346" s="71">
        <f t="shared" si="31"/>
        <v>0</v>
      </c>
      <c r="I346" s="71">
        <f t="shared" si="32"/>
        <v>1</v>
      </c>
      <c r="J346" s="71">
        <f t="shared" si="33"/>
        <v>0</v>
      </c>
      <c r="K346" s="16"/>
      <c r="L346" s="16"/>
      <c r="M346" s="17"/>
    </row>
    <row r="347" spans="1:13" ht="26.1" customHeight="1" x14ac:dyDescent="0.15">
      <c r="A347" s="22"/>
      <c r="B347" s="20" t="s">
        <v>22</v>
      </c>
      <c r="C347" s="35" t="s">
        <v>424</v>
      </c>
      <c r="D347" s="39"/>
      <c r="E347" s="39"/>
      <c r="F347" s="15" t="str">
        <f t="shared" si="29"/>
        <v/>
      </c>
      <c r="G347" s="71">
        <f t="shared" si="30"/>
        <v>0</v>
      </c>
      <c r="H347" s="71">
        <f t="shared" si="31"/>
        <v>0</v>
      </c>
      <c r="I347" s="71">
        <f t="shared" si="32"/>
        <v>1</v>
      </c>
      <c r="J347" s="71">
        <f t="shared" si="33"/>
        <v>0</v>
      </c>
      <c r="K347" s="16"/>
      <c r="L347" s="16"/>
      <c r="M347" s="17"/>
    </row>
    <row r="348" spans="1:13" ht="26.1" customHeight="1" x14ac:dyDescent="0.15">
      <c r="A348" s="22"/>
      <c r="B348" s="20" t="s">
        <v>23</v>
      </c>
      <c r="C348" s="35" t="s">
        <v>425</v>
      </c>
      <c r="D348" s="39"/>
      <c r="E348" s="39"/>
      <c r="F348" s="15" t="str">
        <f t="shared" si="29"/>
        <v/>
      </c>
      <c r="G348" s="71">
        <f t="shared" si="30"/>
        <v>0</v>
      </c>
      <c r="H348" s="71">
        <f t="shared" si="31"/>
        <v>0</v>
      </c>
      <c r="I348" s="71">
        <f t="shared" si="32"/>
        <v>1</v>
      </c>
      <c r="J348" s="71">
        <f t="shared" si="33"/>
        <v>0</v>
      </c>
      <c r="K348" s="16"/>
      <c r="L348" s="16"/>
      <c r="M348" s="17"/>
    </row>
    <row r="349" spans="1:13" ht="26.1" customHeight="1" x14ac:dyDescent="0.15">
      <c r="A349" s="22"/>
      <c r="B349" s="20" t="s">
        <v>24</v>
      </c>
      <c r="C349" s="35" t="s">
        <v>426</v>
      </c>
      <c r="D349" s="39"/>
      <c r="E349" s="39"/>
      <c r="F349" s="15" t="str">
        <f t="shared" si="29"/>
        <v/>
      </c>
      <c r="G349" s="71">
        <f t="shared" si="30"/>
        <v>0</v>
      </c>
      <c r="H349" s="71">
        <f t="shared" si="31"/>
        <v>0</v>
      </c>
      <c r="I349" s="71">
        <f t="shared" si="32"/>
        <v>1</v>
      </c>
      <c r="J349" s="71">
        <f t="shared" si="33"/>
        <v>0</v>
      </c>
      <c r="K349" s="16"/>
      <c r="L349" s="16"/>
      <c r="M349" s="17"/>
    </row>
    <row r="350" spans="1:13" ht="26.1" customHeight="1" x14ac:dyDescent="0.15">
      <c r="A350" s="22"/>
      <c r="B350" s="14" t="s">
        <v>25</v>
      </c>
      <c r="C350" s="34" t="s">
        <v>427</v>
      </c>
      <c r="D350" s="38"/>
      <c r="E350" s="38"/>
      <c r="F350" s="15" t="str">
        <f t="shared" si="29"/>
        <v/>
      </c>
      <c r="G350" s="71">
        <f t="shared" si="30"/>
        <v>0</v>
      </c>
      <c r="H350" s="71">
        <f t="shared" si="31"/>
        <v>0</v>
      </c>
      <c r="I350" s="71">
        <f t="shared" si="32"/>
        <v>1</v>
      </c>
      <c r="J350" s="71">
        <f t="shared" si="33"/>
        <v>0</v>
      </c>
      <c r="K350" s="16"/>
      <c r="L350" s="16"/>
      <c r="M350" s="17"/>
    </row>
    <row r="351" spans="1:13" ht="26.1" customHeight="1" x14ac:dyDescent="0.15">
      <c r="A351" s="22"/>
      <c r="B351" s="14" t="s">
        <v>26</v>
      </c>
      <c r="C351" s="34" t="s">
        <v>428</v>
      </c>
      <c r="D351" s="38"/>
      <c r="E351" s="38"/>
      <c r="F351" s="15" t="str">
        <f t="shared" si="29"/>
        <v/>
      </c>
      <c r="G351" s="71">
        <f t="shared" si="30"/>
        <v>0</v>
      </c>
      <c r="H351" s="71">
        <f t="shared" si="31"/>
        <v>0</v>
      </c>
      <c r="I351" s="71">
        <f t="shared" si="32"/>
        <v>1</v>
      </c>
      <c r="J351" s="71">
        <f t="shared" si="33"/>
        <v>0</v>
      </c>
      <c r="K351" s="16"/>
      <c r="L351" s="16"/>
      <c r="M351" s="17"/>
    </row>
    <row r="352" spans="1:13" ht="26.1" customHeight="1" x14ac:dyDescent="0.15">
      <c r="A352" s="22"/>
      <c r="B352" s="14" t="s">
        <v>58</v>
      </c>
      <c r="C352" s="34" t="s">
        <v>429</v>
      </c>
      <c r="D352" s="38"/>
      <c r="E352" s="38"/>
      <c r="F352" s="15" t="str">
        <f t="shared" si="29"/>
        <v/>
      </c>
      <c r="G352" s="71">
        <f t="shared" si="30"/>
        <v>0</v>
      </c>
      <c r="H352" s="71">
        <f t="shared" si="31"/>
        <v>0</v>
      </c>
      <c r="I352" s="71">
        <f t="shared" si="32"/>
        <v>1</v>
      </c>
      <c r="J352" s="71">
        <f t="shared" si="33"/>
        <v>0</v>
      </c>
      <c r="K352" s="16"/>
      <c r="L352" s="16"/>
      <c r="M352" s="17"/>
    </row>
    <row r="353" spans="1:13" ht="26.1" customHeight="1" x14ac:dyDescent="0.15">
      <c r="A353" s="22"/>
      <c r="B353" s="20" t="s">
        <v>27</v>
      </c>
      <c r="C353" s="35" t="s">
        <v>430</v>
      </c>
      <c r="D353" s="39"/>
      <c r="E353" s="39"/>
      <c r="F353" s="15" t="str">
        <f t="shared" si="29"/>
        <v/>
      </c>
      <c r="G353" s="71">
        <f t="shared" si="30"/>
        <v>0</v>
      </c>
      <c r="H353" s="71">
        <f t="shared" si="31"/>
        <v>0</v>
      </c>
      <c r="I353" s="71">
        <f t="shared" si="32"/>
        <v>1</v>
      </c>
      <c r="J353" s="71">
        <f t="shared" si="33"/>
        <v>0</v>
      </c>
      <c r="K353" s="16"/>
      <c r="L353" s="16"/>
      <c r="M353" s="17"/>
    </row>
    <row r="354" spans="1:13" ht="26.1" customHeight="1" x14ac:dyDescent="0.15">
      <c r="A354" s="22"/>
      <c r="B354" s="20" t="s">
        <v>28</v>
      </c>
      <c r="C354" s="35" t="s">
        <v>431</v>
      </c>
      <c r="D354" s="39"/>
      <c r="E354" s="39"/>
      <c r="F354" s="15" t="str">
        <f t="shared" si="29"/>
        <v/>
      </c>
      <c r="G354" s="71">
        <f t="shared" si="30"/>
        <v>0</v>
      </c>
      <c r="H354" s="71">
        <f t="shared" si="31"/>
        <v>0</v>
      </c>
      <c r="I354" s="71">
        <f t="shared" si="32"/>
        <v>1</v>
      </c>
      <c r="J354" s="71">
        <f t="shared" si="33"/>
        <v>0</v>
      </c>
      <c r="K354" s="16"/>
      <c r="L354" s="16"/>
      <c r="M354" s="17"/>
    </row>
    <row r="355" spans="1:13" ht="26.1" customHeight="1" x14ac:dyDescent="0.15">
      <c r="A355" s="22"/>
      <c r="B355" s="20" t="s">
        <v>29</v>
      </c>
      <c r="C355" s="35" t="s">
        <v>432</v>
      </c>
      <c r="D355" s="39"/>
      <c r="E355" s="39"/>
      <c r="F355" s="15" t="str">
        <f t="shared" si="29"/>
        <v/>
      </c>
      <c r="G355" s="71">
        <f t="shared" si="30"/>
        <v>0</v>
      </c>
      <c r="H355" s="71">
        <f t="shared" si="31"/>
        <v>0</v>
      </c>
      <c r="I355" s="71">
        <f t="shared" si="32"/>
        <v>1</v>
      </c>
      <c r="J355" s="71">
        <f t="shared" si="33"/>
        <v>0</v>
      </c>
      <c r="K355" s="16"/>
      <c r="L355" s="16"/>
      <c r="M355" s="17"/>
    </row>
    <row r="356" spans="1:13" ht="26.1" customHeight="1" x14ac:dyDescent="0.15">
      <c r="A356" s="22"/>
      <c r="B356" s="14" t="s">
        <v>30</v>
      </c>
      <c r="C356" s="34" t="s">
        <v>433</v>
      </c>
      <c r="D356" s="38"/>
      <c r="E356" s="38"/>
      <c r="F356" s="15" t="str">
        <f t="shared" si="29"/>
        <v/>
      </c>
      <c r="G356" s="71">
        <f t="shared" si="30"/>
        <v>0</v>
      </c>
      <c r="H356" s="71">
        <f t="shared" si="31"/>
        <v>0</v>
      </c>
      <c r="I356" s="71">
        <f t="shared" si="32"/>
        <v>1</v>
      </c>
      <c r="J356" s="71">
        <f t="shared" si="33"/>
        <v>0</v>
      </c>
      <c r="K356" s="16"/>
      <c r="L356" s="16"/>
      <c r="M356" s="17"/>
    </row>
    <row r="357" spans="1:13" ht="26.1" customHeight="1" x14ac:dyDescent="0.15">
      <c r="A357" s="22"/>
      <c r="B357" s="14" t="s">
        <v>31</v>
      </c>
      <c r="C357" s="34" t="s">
        <v>434</v>
      </c>
      <c r="D357" s="38"/>
      <c r="E357" s="38"/>
      <c r="F357" s="15" t="str">
        <f t="shared" si="29"/>
        <v/>
      </c>
      <c r="G357" s="71">
        <f t="shared" si="30"/>
        <v>0</v>
      </c>
      <c r="H357" s="71">
        <f t="shared" si="31"/>
        <v>0</v>
      </c>
      <c r="I357" s="71">
        <f t="shared" si="32"/>
        <v>1</v>
      </c>
      <c r="J357" s="71">
        <f t="shared" si="33"/>
        <v>0</v>
      </c>
      <c r="K357" s="16"/>
      <c r="L357" s="16"/>
      <c r="M357" s="17"/>
    </row>
    <row r="358" spans="1:13" ht="26.1" customHeight="1" x14ac:dyDescent="0.15">
      <c r="A358" s="22"/>
      <c r="B358" s="14" t="s">
        <v>32</v>
      </c>
      <c r="C358" s="34" t="s">
        <v>435</v>
      </c>
      <c r="D358" s="38"/>
      <c r="E358" s="38"/>
      <c r="F358" s="15" t="str">
        <f t="shared" si="29"/>
        <v/>
      </c>
      <c r="G358" s="71">
        <f t="shared" si="30"/>
        <v>0</v>
      </c>
      <c r="H358" s="71">
        <f t="shared" si="31"/>
        <v>0</v>
      </c>
      <c r="I358" s="71">
        <f t="shared" si="32"/>
        <v>1</v>
      </c>
      <c r="J358" s="71">
        <f t="shared" si="33"/>
        <v>0</v>
      </c>
      <c r="K358" s="16"/>
      <c r="L358" s="16"/>
      <c r="M358" s="17"/>
    </row>
    <row r="359" spans="1:13" ht="26.1" customHeight="1" x14ac:dyDescent="0.15">
      <c r="A359" s="22"/>
      <c r="B359" s="20" t="s">
        <v>33</v>
      </c>
      <c r="C359" s="35" t="s">
        <v>436</v>
      </c>
      <c r="D359" s="39"/>
      <c r="E359" s="39"/>
      <c r="F359" s="15" t="str">
        <f t="shared" si="29"/>
        <v/>
      </c>
      <c r="G359" s="71">
        <f t="shared" si="30"/>
        <v>0</v>
      </c>
      <c r="H359" s="71">
        <f t="shared" si="31"/>
        <v>0</v>
      </c>
      <c r="I359" s="71">
        <f t="shared" si="32"/>
        <v>1</v>
      </c>
      <c r="J359" s="71">
        <f t="shared" si="33"/>
        <v>0</v>
      </c>
      <c r="K359" s="16"/>
      <c r="L359" s="16"/>
      <c r="M359" s="17"/>
    </row>
    <row r="360" spans="1:13" ht="26.1" customHeight="1" x14ac:dyDescent="0.15">
      <c r="A360" s="22"/>
      <c r="B360" s="20" t="s">
        <v>34</v>
      </c>
      <c r="C360" s="35" t="s">
        <v>437</v>
      </c>
      <c r="D360" s="39"/>
      <c r="E360" s="39"/>
      <c r="F360" s="15" t="str">
        <f t="shared" si="29"/>
        <v/>
      </c>
      <c r="G360" s="71">
        <f t="shared" si="30"/>
        <v>0</v>
      </c>
      <c r="H360" s="71">
        <f t="shared" si="31"/>
        <v>0</v>
      </c>
      <c r="I360" s="71">
        <f t="shared" si="32"/>
        <v>1</v>
      </c>
      <c r="J360" s="71">
        <f t="shared" si="33"/>
        <v>0</v>
      </c>
      <c r="K360" s="16"/>
      <c r="L360" s="16"/>
      <c r="M360" s="17"/>
    </row>
    <row r="361" spans="1:13" ht="26.1" customHeight="1" x14ac:dyDescent="0.15">
      <c r="A361" s="22"/>
      <c r="B361" s="20" t="s">
        <v>35</v>
      </c>
      <c r="C361" s="35" t="s">
        <v>438</v>
      </c>
      <c r="D361" s="39"/>
      <c r="E361" s="39"/>
      <c r="F361" s="15" t="str">
        <f t="shared" si="29"/>
        <v/>
      </c>
      <c r="G361" s="71">
        <f t="shared" si="30"/>
        <v>0</v>
      </c>
      <c r="H361" s="71">
        <f t="shared" si="31"/>
        <v>0</v>
      </c>
      <c r="I361" s="71">
        <f t="shared" si="32"/>
        <v>1</v>
      </c>
      <c r="J361" s="71">
        <f t="shared" si="33"/>
        <v>0</v>
      </c>
      <c r="K361" s="16"/>
      <c r="L361" s="16"/>
      <c r="M361" s="17"/>
    </row>
    <row r="362" spans="1:13" ht="26.1" customHeight="1" x14ac:dyDescent="0.15">
      <c r="A362" s="22"/>
      <c r="B362" s="14" t="s">
        <v>36</v>
      </c>
      <c r="C362" s="34" t="s">
        <v>439</v>
      </c>
      <c r="D362" s="38"/>
      <c r="E362" s="38"/>
      <c r="F362" s="15" t="str">
        <f t="shared" si="29"/>
        <v/>
      </c>
      <c r="G362" s="71">
        <f t="shared" si="30"/>
        <v>0</v>
      </c>
      <c r="H362" s="71">
        <f t="shared" si="31"/>
        <v>0</v>
      </c>
      <c r="I362" s="71">
        <f t="shared" si="32"/>
        <v>1</v>
      </c>
      <c r="J362" s="71">
        <f t="shared" si="33"/>
        <v>0</v>
      </c>
      <c r="K362" s="16"/>
      <c r="L362" s="16"/>
      <c r="M362" s="17"/>
    </row>
    <row r="363" spans="1:13" ht="26.1" customHeight="1" x14ac:dyDescent="0.15">
      <c r="A363" s="22"/>
      <c r="B363" s="14" t="s">
        <v>37</v>
      </c>
      <c r="C363" s="34" t="s">
        <v>440</v>
      </c>
      <c r="D363" s="38"/>
      <c r="E363" s="38"/>
      <c r="F363" s="15" t="str">
        <f t="shared" si="29"/>
        <v/>
      </c>
      <c r="G363" s="71">
        <f t="shared" si="30"/>
        <v>0</v>
      </c>
      <c r="H363" s="71">
        <f t="shared" si="31"/>
        <v>0</v>
      </c>
      <c r="I363" s="71">
        <f t="shared" si="32"/>
        <v>1</v>
      </c>
      <c r="J363" s="71">
        <f t="shared" si="33"/>
        <v>0</v>
      </c>
      <c r="K363" s="16"/>
      <c r="L363" s="16"/>
      <c r="M363" s="17"/>
    </row>
    <row r="364" spans="1:13" ht="26.1" customHeight="1" x14ac:dyDescent="0.15">
      <c r="A364" s="22"/>
      <c r="B364" s="14" t="s">
        <v>38</v>
      </c>
      <c r="C364" s="34" t="s">
        <v>441</v>
      </c>
      <c r="D364" s="38"/>
      <c r="E364" s="38"/>
      <c r="F364" s="15" t="str">
        <f t="shared" si="29"/>
        <v/>
      </c>
      <c r="G364" s="71">
        <f t="shared" si="30"/>
        <v>0</v>
      </c>
      <c r="H364" s="71">
        <f t="shared" si="31"/>
        <v>0</v>
      </c>
      <c r="I364" s="71">
        <f t="shared" si="32"/>
        <v>1</v>
      </c>
      <c r="J364" s="71">
        <f t="shared" si="33"/>
        <v>0</v>
      </c>
      <c r="K364" s="16"/>
      <c r="L364" s="16"/>
      <c r="M364" s="17"/>
    </row>
    <row r="365" spans="1:13" ht="26.1" customHeight="1" x14ac:dyDescent="0.15">
      <c r="A365" s="22"/>
      <c r="B365" s="20" t="s">
        <v>18</v>
      </c>
      <c r="C365" s="35" t="s">
        <v>442</v>
      </c>
      <c r="D365" s="39"/>
      <c r="E365" s="39"/>
      <c r="F365" s="15" t="str">
        <f t="shared" si="29"/>
        <v/>
      </c>
      <c r="G365" s="71">
        <f t="shared" si="30"/>
        <v>0</v>
      </c>
      <c r="H365" s="71">
        <f t="shared" si="31"/>
        <v>0</v>
      </c>
      <c r="I365" s="71">
        <f t="shared" si="32"/>
        <v>1</v>
      </c>
      <c r="J365" s="71">
        <f t="shared" si="33"/>
        <v>0</v>
      </c>
      <c r="K365" s="16"/>
      <c r="L365" s="16"/>
      <c r="M365" s="17"/>
    </row>
    <row r="366" spans="1:13" ht="26.1" customHeight="1" x14ac:dyDescent="0.15">
      <c r="A366" s="22"/>
      <c r="B366" s="20" t="s">
        <v>39</v>
      </c>
      <c r="C366" s="35" t="s">
        <v>443</v>
      </c>
      <c r="D366" s="39"/>
      <c r="E366" s="39"/>
      <c r="F366" s="15" t="str">
        <f t="shared" si="29"/>
        <v/>
      </c>
      <c r="G366" s="71">
        <f t="shared" si="30"/>
        <v>0</v>
      </c>
      <c r="H366" s="71">
        <f t="shared" si="31"/>
        <v>0</v>
      </c>
      <c r="I366" s="71">
        <f t="shared" si="32"/>
        <v>1</v>
      </c>
      <c r="J366" s="71">
        <f t="shared" si="33"/>
        <v>0</v>
      </c>
      <c r="K366" s="16"/>
      <c r="L366" s="16"/>
      <c r="M366" s="17"/>
    </row>
    <row r="367" spans="1:13" ht="26.1" customHeight="1" x14ac:dyDescent="0.15">
      <c r="A367" s="22"/>
      <c r="B367" s="20" t="s">
        <v>40</v>
      </c>
      <c r="C367" s="35" t="s">
        <v>444</v>
      </c>
      <c r="D367" s="39"/>
      <c r="E367" s="39"/>
      <c r="F367" s="15" t="str">
        <f t="shared" si="29"/>
        <v/>
      </c>
      <c r="G367" s="71">
        <f t="shared" si="30"/>
        <v>0</v>
      </c>
      <c r="H367" s="71">
        <f t="shared" si="31"/>
        <v>0</v>
      </c>
      <c r="I367" s="71">
        <f t="shared" si="32"/>
        <v>1</v>
      </c>
      <c r="J367" s="71">
        <f t="shared" si="33"/>
        <v>0</v>
      </c>
      <c r="K367" s="16"/>
      <c r="L367" s="16"/>
      <c r="M367" s="17"/>
    </row>
    <row r="368" spans="1:13" ht="26.1" customHeight="1" x14ac:dyDescent="0.15">
      <c r="A368" s="22"/>
      <c r="B368" s="14" t="s">
        <v>41</v>
      </c>
      <c r="C368" s="34" t="s">
        <v>445</v>
      </c>
      <c r="D368" s="38"/>
      <c r="E368" s="38"/>
      <c r="F368" s="15" t="str">
        <f t="shared" si="29"/>
        <v/>
      </c>
      <c r="G368" s="71">
        <f t="shared" si="30"/>
        <v>0</v>
      </c>
      <c r="H368" s="71">
        <f t="shared" si="31"/>
        <v>0</v>
      </c>
      <c r="I368" s="71">
        <f t="shared" si="32"/>
        <v>1</v>
      </c>
      <c r="J368" s="71">
        <f t="shared" si="33"/>
        <v>0</v>
      </c>
      <c r="K368" s="16"/>
      <c r="L368" s="16"/>
      <c r="M368" s="17"/>
    </row>
    <row r="369" spans="1:13" ht="26.1" customHeight="1" x14ac:dyDescent="0.15">
      <c r="A369" s="22"/>
      <c r="B369" s="14" t="s">
        <v>42</v>
      </c>
      <c r="C369" s="34" t="s">
        <v>446</v>
      </c>
      <c r="D369" s="38"/>
      <c r="E369" s="38"/>
      <c r="F369" s="15" t="str">
        <f t="shared" si="29"/>
        <v/>
      </c>
      <c r="G369" s="71">
        <f t="shared" si="30"/>
        <v>0</v>
      </c>
      <c r="H369" s="71">
        <f t="shared" si="31"/>
        <v>0</v>
      </c>
      <c r="I369" s="71">
        <f t="shared" si="32"/>
        <v>1</v>
      </c>
      <c r="J369" s="71">
        <f t="shared" si="33"/>
        <v>0</v>
      </c>
      <c r="K369" s="16"/>
      <c r="L369" s="16"/>
      <c r="M369" s="17"/>
    </row>
    <row r="370" spans="1:13" ht="26.1" customHeight="1" x14ac:dyDescent="0.15">
      <c r="A370" s="22"/>
      <c r="B370" s="14" t="s">
        <v>43</v>
      </c>
      <c r="C370" s="34" t="s">
        <v>447</v>
      </c>
      <c r="D370" s="38"/>
      <c r="E370" s="38"/>
      <c r="F370" s="15" t="str">
        <f t="shared" si="29"/>
        <v/>
      </c>
      <c r="G370" s="71">
        <f t="shared" si="30"/>
        <v>0</v>
      </c>
      <c r="H370" s="71">
        <f t="shared" si="31"/>
        <v>0</v>
      </c>
      <c r="I370" s="71">
        <f t="shared" si="32"/>
        <v>1</v>
      </c>
      <c r="J370" s="71">
        <f t="shared" si="33"/>
        <v>0</v>
      </c>
      <c r="K370" s="16"/>
      <c r="L370" s="16"/>
      <c r="M370" s="17"/>
    </row>
    <row r="371" spans="1:13" ht="26.1" customHeight="1" x14ac:dyDescent="0.15">
      <c r="A371" s="22"/>
      <c r="B371" s="20" t="s">
        <v>3</v>
      </c>
      <c r="C371" s="35" t="s">
        <v>448</v>
      </c>
      <c r="D371" s="39"/>
      <c r="E371" s="39"/>
      <c r="F371" s="15" t="str">
        <f t="shared" si="29"/>
        <v/>
      </c>
      <c r="G371" s="71">
        <f t="shared" si="30"/>
        <v>0</v>
      </c>
      <c r="H371" s="71">
        <f t="shared" si="31"/>
        <v>0</v>
      </c>
      <c r="I371" s="71">
        <f t="shared" si="32"/>
        <v>1</v>
      </c>
      <c r="J371" s="71">
        <f t="shared" si="33"/>
        <v>0</v>
      </c>
      <c r="K371" s="16"/>
      <c r="L371" s="16"/>
      <c r="M371" s="17"/>
    </row>
    <row r="372" spans="1:13" ht="26.1" customHeight="1" x14ac:dyDescent="0.15">
      <c r="A372" s="22"/>
      <c r="B372" s="20" t="s">
        <v>6</v>
      </c>
      <c r="C372" s="35" t="s">
        <v>449</v>
      </c>
      <c r="D372" s="39"/>
      <c r="E372" s="39"/>
      <c r="F372" s="15" t="str">
        <f t="shared" si="29"/>
        <v/>
      </c>
      <c r="G372" s="71">
        <f t="shared" si="30"/>
        <v>0</v>
      </c>
      <c r="H372" s="71">
        <f t="shared" si="31"/>
        <v>0</v>
      </c>
      <c r="I372" s="71">
        <f t="shared" si="32"/>
        <v>1</v>
      </c>
      <c r="J372" s="71">
        <f t="shared" si="33"/>
        <v>0</v>
      </c>
      <c r="K372" s="16"/>
      <c r="L372" s="16"/>
      <c r="M372" s="17"/>
    </row>
    <row r="373" spans="1:13" ht="26.1" customHeight="1" x14ac:dyDescent="0.15">
      <c r="A373" s="22"/>
      <c r="B373" s="20" t="s">
        <v>0</v>
      </c>
      <c r="C373" s="35" t="s">
        <v>450</v>
      </c>
      <c r="D373" s="39"/>
      <c r="E373" s="39"/>
      <c r="F373" s="15" t="str">
        <f t="shared" si="29"/>
        <v/>
      </c>
      <c r="G373" s="71">
        <f t="shared" si="30"/>
        <v>0</v>
      </c>
      <c r="H373" s="71">
        <f t="shared" si="31"/>
        <v>0</v>
      </c>
      <c r="I373" s="71">
        <f t="shared" si="32"/>
        <v>1</v>
      </c>
      <c r="J373" s="71">
        <f t="shared" si="33"/>
        <v>0</v>
      </c>
      <c r="K373" s="16"/>
      <c r="L373" s="16"/>
      <c r="M373" s="17"/>
    </row>
    <row r="374" spans="1:13" ht="26.1" customHeight="1" x14ac:dyDescent="0.15">
      <c r="A374" s="22"/>
      <c r="B374" s="14" t="s">
        <v>44</v>
      </c>
      <c r="C374" s="34" t="s">
        <v>451</v>
      </c>
      <c r="D374" s="38"/>
      <c r="E374" s="38"/>
      <c r="F374" s="15" t="str">
        <f t="shared" si="29"/>
        <v/>
      </c>
      <c r="G374" s="71">
        <f t="shared" si="30"/>
        <v>0</v>
      </c>
      <c r="H374" s="71">
        <f t="shared" si="31"/>
        <v>0</v>
      </c>
      <c r="I374" s="71">
        <f t="shared" si="32"/>
        <v>1</v>
      </c>
      <c r="J374" s="71">
        <f t="shared" si="33"/>
        <v>0</v>
      </c>
      <c r="K374" s="16"/>
      <c r="L374" s="16"/>
      <c r="M374" s="17"/>
    </row>
    <row r="375" spans="1:13" ht="26.1" customHeight="1" x14ac:dyDescent="0.15">
      <c r="A375" s="22"/>
      <c r="B375" s="14" t="s">
        <v>45</v>
      </c>
      <c r="C375" s="34" t="s">
        <v>452</v>
      </c>
      <c r="D375" s="38"/>
      <c r="E375" s="38"/>
      <c r="F375" s="15" t="str">
        <f t="shared" si="29"/>
        <v/>
      </c>
      <c r="G375" s="71">
        <f t="shared" si="30"/>
        <v>0</v>
      </c>
      <c r="H375" s="71">
        <f t="shared" si="31"/>
        <v>0</v>
      </c>
      <c r="I375" s="71">
        <f t="shared" si="32"/>
        <v>1</v>
      </c>
      <c r="J375" s="71">
        <f t="shared" si="33"/>
        <v>0</v>
      </c>
      <c r="K375" s="16"/>
      <c r="L375" s="16"/>
      <c r="M375" s="17"/>
    </row>
    <row r="376" spans="1:13" ht="26.1" customHeight="1" x14ac:dyDescent="0.15">
      <c r="A376" s="22"/>
      <c r="B376" s="14" t="s">
        <v>46</v>
      </c>
      <c r="C376" s="34" t="s">
        <v>453</v>
      </c>
      <c r="D376" s="38"/>
      <c r="E376" s="38"/>
      <c r="F376" s="15" t="str">
        <f t="shared" si="29"/>
        <v/>
      </c>
      <c r="G376" s="71">
        <f t="shared" si="30"/>
        <v>0</v>
      </c>
      <c r="H376" s="71">
        <f t="shared" si="31"/>
        <v>0</v>
      </c>
      <c r="I376" s="71">
        <f t="shared" si="32"/>
        <v>1</v>
      </c>
      <c r="J376" s="71">
        <f t="shared" si="33"/>
        <v>0</v>
      </c>
      <c r="K376" s="16"/>
      <c r="L376" s="16"/>
      <c r="M376" s="17"/>
    </row>
    <row r="377" spans="1:13" ht="26.1" customHeight="1" x14ac:dyDescent="0.15">
      <c r="A377" s="22"/>
      <c r="B377" s="20" t="s">
        <v>1</v>
      </c>
      <c r="C377" s="35" t="s">
        <v>454</v>
      </c>
      <c r="D377" s="39"/>
      <c r="E377" s="39"/>
      <c r="F377" s="15" t="str">
        <f t="shared" si="29"/>
        <v/>
      </c>
      <c r="G377" s="71">
        <f t="shared" si="30"/>
        <v>0</v>
      </c>
      <c r="H377" s="71">
        <f t="shared" si="31"/>
        <v>0</v>
      </c>
      <c r="I377" s="71">
        <f t="shared" si="32"/>
        <v>1</v>
      </c>
      <c r="J377" s="71">
        <f t="shared" si="33"/>
        <v>0</v>
      </c>
      <c r="K377" s="16"/>
      <c r="L377" s="16"/>
      <c r="M377" s="17"/>
    </row>
    <row r="378" spans="1:13" ht="26.1" customHeight="1" x14ac:dyDescent="0.15">
      <c r="A378" s="22"/>
      <c r="B378" s="20" t="s">
        <v>2</v>
      </c>
      <c r="C378" s="35" t="s">
        <v>455</v>
      </c>
      <c r="D378" s="39"/>
      <c r="E378" s="39"/>
      <c r="F378" s="15" t="str">
        <f t="shared" si="29"/>
        <v/>
      </c>
      <c r="G378" s="71">
        <f t="shared" si="30"/>
        <v>0</v>
      </c>
      <c r="H378" s="71">
        <f t="shared" si="31"/>
        <v>0</v>
      </c>
      <c r="I378" s="71">
        <f t="shared" si="32"/>
        <v>1</v>
      </c>
      <c r="J378" s="71">
        <f t="shared" si="33"/>
        <v>0</v>
      </c>
      <c r="K378" s="16"/>
      <c r="L378" s="16"/>
      <c r="M378" s="17"/>
    </row>
    <row r="379" spans="1:13" ht="26.1" customHeight="1" x14ac:dyDescent="0.15">
      <c r="A379" s="22"/>
      <c r="B379" s="20" t="s">
        <v>47</v>
      </c>
      <c r="C379" s="35" t="s">
        <v>456</v>
      </c>
      <c r="D379" s="39"/>
      <c r="E379" s="39"/>
      <c r="F379" s="15" t="str">
        <f t="shared" si="29"/>
        <v/>
      </c>
      <c r="G379" s="71">
        <f t="shared" si="30"/>
        <v>0</v>
      </c>
      <c r="H379" s="71">
        <f t="shared" si="31"/>
        <v>0</v>
      </c>
      <c r="I379" s="71">
        <f t="shared" si="32"/>
        <v>1</v>
      </c>
      <c r="J379" s="71">
        <f t="shared" si="33"/>
        <v>0</v>
      </c>
      <c r="K379" s="16"/>
      <c r="L379" s="16"/>
      <c r="M379" s="17"/>
    </row>
    <row r="380" spans="1:13" ht="26.1" customHeight="1" x14ac:dyDescent="0.15">
      <c r="A380" s="22"/>
      <c r="B380" s="14" t="s">
        <v>5</v>
      </c>
      <c r="C380" s="34" t="s">
        <v>457</v>
      </c>
      <c r="D380" s="38"/>
      <c r="E380" s="38"/>
      <c r="F380" s="15" t="str">
        <f t="shared" si="29"/>
        <v/>
      </c>
      <c r="G380" s="71">
        <f t="shared" si="30"/>
        <v>0</v>
      </c>
      <c r="H380" s="71">
        <f t="shared" si="31"/>
        <v>0</v>
      </c>
      <c r="I380" s="71">
        <f t="shared" si="32"/>
        <v>1</v>
      </c>
      <c r="J380" s="71">
        <f t="shared" si="33"/>
        <v>0</v>
      </c>
      <c r="K380" s="16"/>
      <c r="L380" s="16"/>
      <c r="M380" s="17"/>
    </row>
    <row r="381" spans="1:13" ht="26.1" customHeight="1" x14ac:dyDescent="0.15">
      <c r="A381" s="22"/>
      <c r="B381" s="14" t="s">
        <v>51</v>
      </c>
      <c r="C381" s="34" t="s">
        <v>458</v>
      </c>
      <c r="D381" s="38"/>
      <c r="E381" s="38"/>
      <c r="F381" s="15" t="str">
        <f t="shared" si="29"/>
        <v/>
      </c>
      <c r="G381" s="71">
        <f t="shared" si="30"/>
        <v>0</v>
      </c>
      <c r="H381" s="71">
        <f t="shared" si="31"/>
        <v>0</v>
      </c>
      <c r="I381" s="71">
        <f t="shared" si="32"/>
        <v>1</v>
      </c>
      <c r="J381" s="71">
        <f t="shared" si="33"/>
        <v>0</v>
      </c>
      <c r="K381" s="16"/>
      <c r="L381" s="16"/>
      <c r="M381" s="17"/>
    </row>
    <row r="382" spans="1:13" ht="26.1" customHeight="1" x14ac:dyDescent="0.15">
      <c r="A382" s="22"/>
      <c r="B382" s="14" t="s">
        <v>52</v>
      </c>
      <c r="C382" s="34" t="s">
        <v>459</v>
      </c>
      <c r="D382" s="38"/>
      <c r="E382" s="38"/>
      <c r="F382" s="15" t="str">
        <f t="shared" si="29"/>
        <v/>
      </c>
      <c r="G382" s="71">
        <f t="shared" si="30"/>
        <v>0</v>
      </c>
      <c r="H382" s="71">
        <f t="shared" si="31"/>
        <v>0</v>
      </c>
      <c r="I382" s="71">
        <f t="shared" si="32"/>
        <v>1</v>
      </c>
      <c r="J382" s="71">
        <f t="shared" si="33"/>
        <v>0</v>
      </c>
      <c r="K382" s="16"/>
      <c r="L382" s="16"/>
      <c r="M382" s="17"/>
    </row>
    <row r="383" spans="1:13" ht="26.1" customHeight="1" x14ac:dyDescent="0.15">
      <c r="A383" s="22"/>
      <c r="B383" s="20" t="s">
        <v>48</v>
      </c>
      <c r="C383" s="35" t="s">
        <v>460</v>
      </c>
      <c r="D383" s="39"/>
      <c r="E383" s="39"/>
      <c r="F383" s="15" t="str">
        <f t="shared" si="29"/>
        <v/>
      </c>
      <c r="G383" s="71">
        <f t="shared" si="30"/>
        <v>0</v>
      </c>
      <c r="H383" s="71">
        <f t="shared" si="31"/>
        <v>0</v>
      </c>
      <c r="I383" s="71">
        <f t="shared" si="32"/>
        <v>1</v>
      </c>
      <c r="J383" s="71">
        <f t="shared" si="33"/>
        <v>0</v>
      </c>
      <c r="K383" s="16"/>
      <c r="L383" s="16"/>
      <c r="M383" s="17"/>
    </row>
    <row r="384" spans="1:13" ht="26.1" customHeight="1" x14ac:dyDescent="0.15">
      <c r="A384" s="22"/>
      <c r="B384" s="20" t="s">
        <v>49</v>
      </c>
      <c r="C384" s="35" t="s">
        <v>461</v>
      </c>
      <c r="D384" s="39"/>
      <c r="E384" s="39"/>
      <c r="F384" s="15" t="str">
        <f t="shared" si="29"/>
        <v/>
      </c>
      <c r="G384" s="71">
        <f t="shared" si="30"/>
        <v>0</v>
      </c>
      <c r="H384" s="71">
        <f t="shared" si="31"/>
        <v>0</v>
      </c>
      <c r="I384" s="71">
        <f t="shared" si="32"/>
        <v>1</v>
      </c>
      <c r="J384" s="71">
        <f t="shared" si="33"/>
        <v>0</v>
      </c>
      <c r="K384" s="16"/>
      <c r="L384" s="16"/>
      <c r="M384" s="17"/>
    </row>
    <row r="385" spans="1:13" ht="26.1" customHeight="1" x14ac:dyDescent="0.15">
      <c r="A385" s="23"/>
      <c r="B385" s="20" t="s">
        <v>50</v>
      </c>
      <c r="C385" s="35" t="s">
        <v>462</v>
      </c>
      <c r="D385" s="39"/>
      <c r="E385" s="39"/>
      <c r="F385" s="15" t="str">
        <f t="shared" si="29"/>
        <v/>
      </c>
      <c r="G385" s="71">
        <f t="shared" si="30"/>
        <v>0</v>
      </c>
      <c r="H385" s="71">
        <f t="shared" si="31"/>
        <v>0</v>
      </c>
      <c r="I385" s="71">
        <f t="shared" si="32"/>
        <v>1</v>
      </c>
      <c r="J385" s="71">
        <f t="shared" si="33"/>
        <v>0</v>
      </c>
      <c r="K385" s="16"/>
      <c r="L385" s="16"/>
      <c r="M385" s="17"/>
    </row>
    <row r="386" spans="1:13" ht="26.1" customHeight="1" x14ac:dyDescent="0.15">
      <c r="A386" s="56">
        <v>10</v>
      </c>
      <c r="B386" s="24" t="s">
        <v>41</v>
      </c>
      <c r="C386" s="36" t="s">
        <v>463</v>
      </c>
      <c r="D386" s="40"/>
      <c r="E386" s="40"/>
      <c r="F386" s="15" t="str">
        <f t="shared" si="29"/>
        <v/>
      </c>
      <c r="G386" s="71">
        <f t="shared" si="30"/>
        <v>0</v>
      </c>
      <c r="H386" s="71">
        <f t="shared" si="31"/>
        <v>0</v>
      </c>
      <c r="I386" s="71">
        <f t="shared" si="32"/>
        <v>1</v>
      </c>
      <c r="J386" s="71">
        <f t="shared" si="33"/>
        <v>0</v>
      </c>
      <c r="K386" s="16"/>
      <c r="L386" s="16"/>
      <c r="M386" s="17"/>
    </row>
    <row r="387" spans="1:13" ht="26.1" customHeight="1" x14ac:dyDescent="0.15">
      <c r="A387" s="22"/>
      <c r="B387" s="24" t="s">
        <v>42</v>
      </c>
      <c r="C387" s="36" t="s">
        <v>464</v>
      </c>
      <c r="D387" s="40"/>
      <c r="E387" s="40"/>
      <c r="F387" s="15" t="str">
        <f t="shared" si="29"/>
        <v/>
      </c>
      <c r="G387" s="71">
        <f t="shared" si="30"/>
        <v>0</v>
      </c>
      <c r="H387" s="71">
        <f t="shared" si="31"/>
        <v>0</v>
      </c>
      <c r="I387" s="71">
        <f t="shared" si="32"/>
        <v>1</v>
      </c>
      <c r="J387" s="71">
        <f t="shared" si="33"/>
        <v>0</v>
      </c>
      <c r="K387" s="16"/>
      <c r="L387" s="16"/>
      <c r="M387" s="17"/>
    </row>
    <row r="388" spans="1:13" ht="26.1" customHeight="1" x14ac:dyDescent="0.15">
      <c r="A388" s="22"/>
      <c r="B388" s="24" t="s">
        <v>43</v>
      </c>
      <c r="C388" s="36" t="s">
        <v>465</v>
      </c>
      <c r="D388" s="40"/>
      <c r="E388" s="40"/>
      <c r="F388" s="15" t="str">
        <f t="shared" si="29"/>
        <v/>
      </c>
      <c r="G388" s="71">
        <f t="shared" si="30"/>
        <v>0</v>
      </c>
      <c r="H388" s="71">
        <f t="shared" si="31"/>
        <v>0</v>
      </c>
      <c r="I388" s="71">
        <f t="shared" si="32"/>
        <v>1</v>
      </c>
      <c r="J388" s="71">
        <f t="shared" si="33"/>
        <v>0</v>
      </c>
      <c r="K388" s="16"/>
      <c r="L388" s="16"/>
      <c r="M388" s="17"/>
    </row>
    <row r="389" spans="1:13" ht="26.1" customHeight="1" x14ac:dyDescent="0.15">
      <c r="A389" s="22"/>
      <c r="B389" s="25" t="s">
        <v>3</v>
      </c>
      <c r="C389" s="37" t="s">
        <v>466</v>
      </c>
      <c r="D389" s="41"/>
      <c r="E389" s="41"/>
      <c r="F389" s="15" t="str">
        <f t="shared" si="29"/>
        <v/>
      </c>
      <c r="G389" s="71">
        <f t="shared" si="30"/>
        <v>0</v>
      </c>
      <c r="H389" s="71">
        <f t="shared" si="31"/>
        <v>0</v>
      </c>
      <c r="I389" s="71">
        <f t="shared" si="32"/>
        <v>1</v>
      </c>
      <c r="J389" s="71">
        <f t="shared" si="33"/>
        <v>0</v>
      </c>
      <c r="K389" s="16"/>
      <c r="L389" s="16"/>
      <c r="M389" s="17"/>
    </row>
    <row r="390" spans="1:13" ht="26.1" customHeight="1" x14ac:dyDescent="0.15">
      <c r="A390" s="22"/>
      <c r="B390" s="25" t="s">
        <v>6</v>
      </c>
      <c r="C390" s="37" t="s">
        <v>467</v>
      </c>
      <c r="D390" s="41"/>
      <c r="E390" s="41"/>
      <c r="F390" s="15" t="str">
        <f t="shared" si="29"/>
        <v/>
      </c>
      <c r="G390" s="71">
        <f t="shared" si="30"/>
        <v>0</v>
      </c>
      <c r="H390" s="71">
        <f t="shared" si="31"/>
        <v>0</v>
      </c>
      <c r="I390" s="71">
        <f t="shared" si="32"/>
        <v>1</v>
      </c>
      <c r="J390" s="71">
        <f t="shared" si="33"/>
        <v>0</v>
      </c>
      <c r="K390" s="16"/>
      <c r="L390" s="16"/>
      <c r="M390" s="17"/>
    </row>
    <row r="391" spans="1:13" ht="26.1" customHeight="1" x14ac:dyDescent="0.15">
      <c r="A391" s="22"/>
      <c r="B391" s="25" t="s">
        <v>0</v>
      </c>
      <c r="C391" s="37" t="s">
        <v>468</v>
      </c>
      <c r="D391" s="41"/>
      <c r="E391" s="41"/>
      <c r="F391" s="15" t="str">
        <f t="shared" si="29"/>
        <v/>
      </c>
      <c r="G391" s="71">
        <f t="shared" si="30"/>
        <v>0</v>
      </c>
      <c r="H391" s="71">
        <f t="shared" si="31"/>
        <v>0</v>
      </c>
      <c r="I391" s="71">
        <f t="shared" si="32"/>
        <v>1</v>
      </c>
      <c r="J391" s="71">
        <f t="shared" si="33"/>
        <v>0</v>
      </c>
      <c r="K391" s="16"/>
      <c r="L391" s="16"/>
      <c r="M391" s="17"/>
    </row>
    <row r="392" spans="1:13" ht="26.1" customHeight="1" x14ac:dyDescent="0.15">
      <c r="A392" s="22"/>
      <c r="B392" s="24" t="s">
        <v>44</v>
      </c>
      <c r="C392" s="36" t="s">
        <v>469</v>
      </c>
      <c r="D392" s="40"/>
      <c r="E392" s="40"/>
      <c r="F392" s="15" t="str">
        <f t="shared" si="29"/>
        <v/>
      </c>
      <c r="G392" s="71">
        <f t="shared" si="30"/>
        <v>0</v>
      </c>
      <c r="H392" s="71">
        <f t="shared" si="31"/>
        <v>0</v>
      </c>
      <c r="I392" s="71">
        <f t="shared" si="32"/>
        <v>1</v>
      </c>
      <c r="J392" s="71">
        <f t="shared" si="33"/>
        <v>0</v>
      </c>
      <c r="K392" s="16"/>
      <c r="L392" s="16"/>
      <c r="M392" s="17"/>
    </row>
    <row r="393" spans="1:13" ht="26.1" customHeight="1" x14ac:dyDescent="0.15">
      <c r="A393" s="22"/>
      <c r="B393" s="24" t="s">
        <v>45</v>
      </c>
      <c r="C393" s="36" t="s">
        <v>470</v>
      </c>
      <c r="D393" s="40"/>
      <c r="E393" s="40"/>
      <c r="F393" s="15" t="str">
        <f t="shared" ref="F393:F456" si="34">IF(D393="x",IF(E393&lt;&gt;"x","Paling Disukai","ERROR"),IF(E393="x","Paling Tidak Disukai",""))</f>
        <v/>
      </c>
      <c r="G393" s="71">
        <f t="shared" si="30"/>
        <v>0</v>
      </c>
      <c r="H393" s="71">
        <f t="shared" si="31"/>
        <v>0</v>
      </c>
      <c r="I393" s="71">
        <f t="shared" si="32"/>
        <v>1</v>
      </c>
      <c r="J393" s="71">
        <f t="shared" si="33"/>
        <v>0</v>
      </c>
      <c r="K393" s="16"/>
      <c r="L393" s="16"/>
      <c r="M393" s="17"/>
    </row>
    <row r="394" spans="1:13" ht="26.1" customHeight="1" x14ac:dyDescent="0.15">
      <c r="A394" s="22"/>
      <c r="B394" s="24" t="s">
        <v>46</v>
      </c>
      <c r="C394" s="36" t="s">
        <v>471</v>
      </c>
      <c r="D394" s="40"/>
      <c r="E394" s="40"/>
      <c r="F394" s="15" t="str">
        <f t="shared" si="34"/>
        <v/>
      </c>
      <c r="G394" s="71">
        <f t="shared" ref="G394:G457" si="35">IF(D394="x",IF(E394&lt;&gt;"x",1,0),0)</f>
        <v>0</v>
      </c>
      <c r="H394" s="71">
        <f t="shared" ref="H394:H457" si="36">IF(E394="x",IF(D394&lt;&gt;"x",1,0),0)</f>
        <v>0</v>
      </c>
      <c r="I394" s="71">
        <f t="shared" ref="I394:I457" si="37">IF(E394="x",0,IF(D394&lt;&gt;"x",1,0))</f>
        <v>1</v>
      </c>
      <c r="J394" s="71">
        <f t="shared" ref="J394:J457" si="38">IF(E394="x",IF(D394&lt;&gt;"x",0,1),0)</f>
        <v>0</v>
      </c>
      <c r="K394" s="16"/>
      <c r="L394" s="16"/>
      <c r="M394" s="17"/>
    </row>
    <row r="395" spans="1:13" ht="26.1" customHeight="1" x14ac:dyDescent="0.15">
      <c r="A395" s="22"/>
      <c r="B395" s="25" t="s">
        <v>1</v>
      </c>
      <c r="C395" s="37" t="s">
        <v>472</v>
      </c>
      <c r="D395" s="41"/>
      <c r="E395" s="41"/>
      <c r="F395" s="15" t="str">
        <f t="shared" si="34"/>
        <v/>
      </c>
      <c r="G395" s="71">
        <f t="shared" si="35"/>
        <v>0</v>
      </c>
      <c r="H395" s="71">
        <f t="shared" si="36"/>
        <v>0</v>
      </c>
      <c r="I395" s="71">
        <f t="shared" si="37"/>
        <v>1</v>
      </c>
      <c r="J395" s="71">
        <f t="shared" si="38"/>
        <v>0</v>
      </c>
      <c r="K395" s="16"/>
      <c r="L395" s="16"/>
      <c r="M395" s="17"/>
    </row>
    <row r="396" spans="1:13" ht="26.1" customHeight="1" x14ac:dyDescent="0.15">
      <c r="A396" s="22"/>
      <c r="B396" s="25" t="s">
        <v>2</v>
      </c>
      <c r="C396" s="37" t="s">
        <v>473</v>
      </c>
      <c r="D396" s="41"/>
      <c r="E396" s="41"/>
      <c r="F396" s="15" t="str">
        <f t="shared" si="34"/>
        <v/>
      </c>
      <c r="G396" s="71">
        <f t="shared" si="35"/>
        <v>0</v>
      </c>
      <c r="H396" s="71">
        <f t="shared" si="36"/>
        <v>0</v>
      </c>
      <c r="I396" s="71">
        <f t="shared" si="37"/>
        <v>1</v>
      </c>
      <c r="J396" s="71">
        <f t="shared" si="38"/>
        <v>0</v>
      </c>
      <c r="K396" s="16"/>
      <c r="L396" s="16"/>
      <c r="M396" s="17"/>
    </row>
    <row r="397" spans="1:13" ht="26.1" customHeight="1" x14ac:dyDescent="0.15">
      <c r="A397" s="22"/>
      <c r="B397" s="25" t="s">
        <v>47</v>
      </c>
      <c r="C397" s="37" t="s">
        <v>474</v>
      </c>
      <c r="D397" s="41"/>
      <c r="E397" s="41"/>
      <c r="F397" s="15" t="str">
        <f t="shared" si="34"/>
        <v/>
      </c>
      <c r="G397" s="71">
        <f t="shared" si="35"/>
        <v>0</v>
      </c>
      <c r="H397" s="71">
        <f t="shared" si="36"/>
        <v>0</v>
      </c>
      <c r="I397" s="71">
        <f t="shared" si="37"/>
        <v>1</v>
      </c>
      <c r="J397" s="71">
        <f t="shared" si="38"/>
        <v>0</v>
      </c>
      <c r="K397" s="16"/>
      <c r="L397" s="16"/>
      <c r="M397" s="17"/>
    </row>
    <row r="398" spans="1:13" ht="26.1" customHeight="1" x14ac:dyDescent="0.15">
      <c r="A398" s="22"/>
      <c r="B398" s="24" t="s">
        <v>5</v>
      </c>
      <c r="C398" s="36" t="s">
        <v>475</v>
      </c>
      <c r="D398" s="40"/>
      <c r="E398" s="40"/>
      <c r="F398" s="15" t="str">
        <f t="shared" si="34"/>
        <v/>
      </c>
      <c r="G398" s="71">
        <f t="shared" si="35"/>
        <v>0</v>
      </c>
      <c r="H398" s="71">
        <f t="shared" si="36"/>
        <v>0</v>
      </c>
      <c r="I398" s="71">
        <f t="shared" si="37"/>
        <v>1</v>
      </c>
      <c r="J398" s="71">
        <f t="shared" si="38"/>
        <v>0</v>
      </c>
      <c r="K398" s="16"/>
      <c r="L398" s="16"/>
      <c r="M398" s="17"/>
    </row>
    <row r="399" spans="1:13" ht="26.1" customHeight="1" x14ac:dyDescent="0.15">
      <c r="A399" s="22"/>
      <c r="B399" s="24" t="s">
        <v>51</v>
      </c>
      <c r="C399" s="36" t="s">
        <v>476</v>
      </c>
      <c r="D399" s="40"/>
      <c r="E399" s="40"/>
      <c r="F399" s="15" t="str">
        <f t="shared" si="34"/>
        <v/>
      </c>
      <c r="G399" s="71">
        <f t="shared" si="35"/>
        <v>0</v>
      </c>
      <c r="H399" s="71">
        <f t="shared" si="36"/>
        <v>0</v>
      </c>
      <c r="I399" s="71">
        <f t="shared" si="37"/>
        <v>1</v>
      </c>
      <c r="J399" s="71">
        <f t="shared" si="38"/>
        <v>0</v>
      </c>
      <c r="K399" s="16"/>
      <c r="L399" s="16"/>
      <c r="M399" s="17"/>
    </row>
    <row r="400" spans="1:13" ht="26.1" customHeight="1" x14ac:dyDescent="0.15">
      <c r="A400" s="22"/>
      <c r="B400" s="24" t="s">
        <v>52</v>
      </c>
      <c r="C400" s="36" t="s">
        <v>477</v>
      </c>
      <c r="D400" s="40"/>
      <c r="E400" s="40"/>
      <c r="F400" s="15" t="str">
        <f t="shared" si="34"/>
        <v/>
      </c>
      <c r="G400" s="71">
        <f t="shared" si="35"/>
        <v>0</v>
      </c>
      <c r="H400" s="71">
        <f t="shared" si="36"/>
        <v>0</v>
      </c>
      <c r="I400" s="71">
        <f t="shared" si="37"/>
        <v>1</v>
      </c>
      <c r="J400" s="71">
        <f t="shared" si="38"/>
        <v>0</v>
      </c>
      <c r="K400" s="16"/>
      <c r="L400" s="16"/>
      <c r="M400" s="17"/>
    </row>
    <row r="401" spans="1:13" ht="26.1" customHeight="1" x14ac:dyDescent="0.15">
      <c r="A401" s="22"/>
      <c r="B401" s="25" t="s">
        <v>48</v>
      </c>
      <c r="C401" s="37" t="s">
        <v>478</v>
      </c>
      <c r="D401" s="41"/>
      <c r="E401" s="41"/>
      <c r="F401" s="15" t="str">
        <f t="shared" si="34"/>
        <v/>
      </c>
      <c r="G401" s="71">
        <f t="shared" si="35"/>
        <v>0</v>
      </c>
      <c r="H401" s="71">
        <f t="shared" si="36"/>
        <v>0</v>
      </c>
      <c r="I401" s="71">
        <f t="shared" si="37"/>
        <v>1</v>
      </c>
      <c r="J401" s="71">
        <f t="shared" si="38"/>
        <v>0</v>
      </c>
      <c r="K401" s="16"/>
      <c r="L401" s="16"/>
      <c r="M401" s="17"/>
    </row>
    <row r="402" spans="1:13" ht="26.1" customHeight="1" x14ac:dyDescent="0.15">
      <c r="A402" s="22"/>
      <c r="B402" s="25" t="s">
        <v>49</v>
      </c>
      <c r="C402" s="37" t="s">
        <v>479</v>
      </c>
      <c r="D402" s="41"/>
      <c r="E402" s="41"/>
      <c r="F402" s="15" t="str">
        <f t="shared" si="34"/>
        <v/>
      </c>
      <c r="G402" s="71">
        <f t="shared" si="35"/>
        <v>0</v>
      </c>
      <c r="H402" s="71">
        <f t="shared" si="36"/>
        <v>0</v>
      </c>
      <c r="I402" s="71">
        <f t="shared" si="37"/>
        <v>1</v>
      </c>
      <c r="J402" s="71">
        <f t="shared" si="38"/>
        <v>0</v>
      </c>
      <c r="K402" s="16"/>
      <c r="L402" s="16"/>
      <c r="M402" s="17"/>
    </row>
    <row r="403" spans="1:13" ht="26.1" customHeight="1" x14ac:dyDescent="0.15">
      <c r="A403" s="22"/>
      <c r="B403" s="25" t="s">
        <v>50</v>
      </c>
      <c r="C403" s="37" t="s">
        <v>480</v>
      </c>
      <c r="D403" s="41"/>
      <c r="E403" s="41"/>
      <c r="F403" s="15" t="str">
        <f t="shared" si="34"/>
        <v/>
      </c>
      <c r="G403" s="71">
        <f t="shared" si="35"/>
        <v>0</v>
      </c>
      <c r="H403" s="71">
        <f t="shared" si="36"/>
        <v>0</v>
      </c>
      <c r="I403" s="71">
        <f t="shared" si="37"/>
        <v>1</v>
      </c>
      <c r="J403" s="71">
        <f t="shared" si="38"/>
        <v>0</v>
      </c>
      <c r="K403" s="16"/>
      <c r="L403" s="16"/>
      <c r="M403" s="17"/>
    </row>
    <row r="404" spans="1:13" ht="26.1" customHeight="1" x14ac:dyDescent="0.15">
      <c r="A404" s="22"/>
      <c r="B404" s="24" t="s">
        <v>53</v>
      </c>
      <c r="C404" s="36" t="s">
        <v>481</v>
      </c>
      <c r="D404" s="40"/>
      <c r="E404" s="40"/>
      <c r="F404" s="15" t="str">
        <f t="shared" si="34"/>
        <v/>
      </c>
      <c r="G404" s="71">
        <f t="shared" si="35"/>
        <v>0</v>
      </c>
      <c r="H404" s="71">
        <f t="shared" si="36"/>
        <v>0</v>
      </c>
      <c r="I404" s="71">
        <f t="shared" si="37"/>
        <v>1</v>
      </c>
      <c r="J404" s="71">
        <f t="shared" si="38"/>
        <v>0</v>
      </c>
      <c r="K404" s="16"/>
      <c r="L404" s="16"/>
      <c r="M404" s="17"/>
    </row>
    <row r="405" spans="1:13" ht="26.1" customHeight="1" x14ac:dyDescent="0.15">
      <c r="A405" s="22"/>
      <c r="B405" s="24" t="s">
        <v>4</v>
      </c>
      <c r="C405" s="36" t="s">
        <v>482</v>
      </c>
      <c r="D405" s="40"/>
      <c r="E405" s="40"/>
      <c r="F405" s="15" t="str">
        <f t="shared" si="34"/>
        <v/>
      </c>
      <c r="G405" s="71">
        <f t="shared" si="35"/>
        <v>0</v>
      </c>
      <c r="H405" s="71">
        <f t="shared" si="36"/>
        <v>0</v>
      </c>
      <c r="I405" s="71">
        <f t="shared" si="37"/>
        <v>1</v>
      </c>
      <c r="J405" s="71">
        <f t="shared" si="38"/>
        <v>0</v>
      </c>
      <c r="K405" s="16"/>
      <c r="L405" s="16"/>
      <c r="M405" s="17"/>
    </row>
    <row r="406" spans="1:13" ht="26.1" customHeight="1" x14ac:dyDescent="0.15">
      <c r="A406" s="22"/>
      <c r="B406" s="24" t="s">
        <v>54</v>
      </c>
      <c r="C406" s="36" t="s">
        <v>483</v>
      </c>
      <c r="D406" s="40"/>
      <c r="E406" s="40"/>
      <c r="F406" s="15" t="str">
        <f t="shared" si="34"/>
        <v/>
      </c>
      <c r="G406" s="71">
        <f t="shared" si="35"/>
        <v>0</v>
      </c>
      <c r="H406" s="71">
        <f t="shared" si="36"/>
        <v>0</v>
      </c>
      <c r="I406" s="71">
        <f t="shared" si="37"/>
        <v>1</v>
      </c>
      <c r="J406" s="71">
        <f t="shared" si="38"/>
        <v>0</v>
      </c>
      <c r="K406" s="16"/>
      <c r="L406" s="16"/>
      <c r="M406" s="17"/>
    </row>
    <row r="407" spans="1:13" ht="26.1" customHeight="1" x14ac:dyDescent="0.15">
      <c r="A407" s="22"/>
      <c r="B407" s="25" t="s">
        <v>55</v>
      </c>
      <c r="C407" s="37" t="s">
        <v>484</v>
      </c>
      <c r="D407" s="41"/>
      <c r="E407" s="41"/>
      <c r="F407" s="15" t="str">
        <f t="shared" si="34"/>
        <v/>
      </c>
      <c r="G407" s="71">
        <f t="shared" si="35"/>
        <v>0</v>
      </c>
      <c r="H407" s="71">
        <f t="shared" si="36"/>
        <v>0</v>
      </c>
      <c r="I407" s="71">
        <f t="shared" si="37"/>
        <v>1</v>
      </c>
      <c r="J407" s="71">
        <f t="shared" si="38"/>
        <v>0</v>
      </c>
      <c r="K407" s="16"/>
      <c r="L407" s="16"/>
      <c r="M407" s="17"/>
    </row>
    <row r="408" spans="1:13" ht="26.1" customHeight="1" x14ac:dyDescent="0.15">
      <c r="A408" s="22"/>
      <c r="B408" s="25" t="s">
        <v>56</v>
      </c>
      <c r="C408" s="37" t="s">
        <v>485</v>
      </c>
      <c r="D408" s="41"/>
      <c r="E408" s="41"/>
      <c r="F408" s="15" t="str">
        <f t="shared" si="34"/>
        <v/>
      </c>
      <c r="G408" s="71">
        <f t="shared" si="35"/>
        <v>0</v>
      </c>
      <c r="H408" s="71">
        <f t="shared" si="36"/>
        <v>0</v>
      </c>
      <c r="I408" s="71">
        <f t="shared" si="37"/>
        <v>1</v>
      </c>
      <c r="J408" s="71">
        <f t="shared" si="38"/>
        <v>0</v>
      </c>
      <c r="K408" s="16"/>
      <c r="L408" s="16"/>
      <c r="M408" s="17"/>
    </row>
    <row r="409" spans="1:13" ht="26.1" customHeight="1" x14ac:dyDescent="0.15">
      <c r="A409" s="22"/>
      <c r="B409" s="25" t="s">
        <v>57</v>
      </c>
      <c r="C409" s="37" t="s">
        <v>486</v>
      </c>
      <c r="D409" s="41"/>
      <c r="E409" s="41"/>
      <c r="F409" s="15" t="str">
        <f t="shared" si="34"/>
        <v/>
      </c>
      <c r="G409" s="71">
        <f t="shared" si="35"/>
        <v>0</v>
      </c>
      <c r="H409" s="71">
        <f t="shared" si="36"/>
        <v>0</v>
      </c>
      <c r="I409" s="71">
        <f t="shared" si="37"/>
        <v>1</v>
      </c>
      <c r="J409" s="71">
        <f t="shared" si="38"/>
        <v>0</v>
      </c>
      <c r="K409" s="16"/>
      <c r="L409" s="16"/>
      <c r="M409" s="17"/>
    </row>
    <row r="410" spans="1:13" ht="26.1" customHeight="1" x14ac:dyDescent="0.15">
      <c r="A410" s="22"/>
      <c r="B410" s="24" t="s">
        <v>19</v>
      </c>
      <c r="C410" s="36" t="s">
        <v>487</v>
      </c>
      <c r="D410" s="40"/>
      <c r="E410" s="40"/>
      <c r="F410" s="15" t="str">
        <f t="shared" si="34"/>
        <v/>
      </c>
      <c r="G410" s="71">
        <f t="shared" si="35"/>
        <v>0</v>
      </c>
      <c r="H410" s="71">
        <f t="shared" si="36"/>
        <v>0</v>
      </c>
      <c r="I410" s="71">
        <f t="shared" si="37"/>
        <v>1</v>
      </c>
      <c r="J410" s="71">
        <f t="shared" si="38"/>
        <v>0</v>
      </c>
      <c r="K410" s="16"/>
      <c r="L410" s="16"/>
      <c r="M410" s="17"/>
    </row>
    <row r="411" spans="1:13" ht="26.1" customHeight="1" x14ac:dyDescent="0.15">
      <c r="A411" s="22"/>
      <c r="B411" s="24" t="s">
        <v>20</v>
      </c>
      <c r="C411" s="36" t="s">
        <v>488</v>
      </c>
      <c r="D411" s="40"/>
      <c r="E411" s="40"/>
      <c r="F411" s="15" t="str">
        <f t="shared" si="34"/>
        <v/>
      </c>
      <c r="G411" s="71">
        <f t="shared" si="35"/>
        <v>0</v>
      </c>
      <c r="H411" s="71">
        <f t="shared" si="36"/>
        <v>0</v>
      </c>
      <c r="I411" s="71">
        <f t="shared" si="37"/>
        <v>1</v>
      </c>
      <c r="J411" s="71">
        <f t="shared" si="38"/>
        <v>0</v>
      </c>
      <c r="K411" s="16"/>
      <c r="L411" s="16"/>
      <c r="M411" s="17"/>
    </row>
    <row r="412" spans="1:13" ht="26.1" customHeight="1" x14ac:dyDescent="0.15">
      <c r="A412" s="22"/>
      <c r="B412" s="24" t="s">
        <v>21</v>
      </c>
      <c r="C412" s="36" t="s">
        <v>282</v>
      </c>
      <c r="D412" s="40"/>
      <c r="E412" s="40"/>
      <c r="F412" s="15" t="str">
        <f t="shared" si="34"/>
        <v/>
      </c>
      <c r="G412" s="71">
        <f t="shared" si="35"/>
        <v>0</v>
      </c>
      <c r="H412" s="71">
        <f t="shared" si="36"/>
        <v>0</v>
      </c>
      <c r="I412" s="71">
        <f t="shared" si="37"/>
        <v>1</v>
      </c>
      <c r="J412" s="71">
        <f t="shared" si="38"/>
        <v>0</v>
      </c>
      <c r="K412" s="16"/>
      <c r="L412" s="16"/>
      <c r="M412" s="17"/>
    </row>
    <row r="413" spans="1:13" ht="26.1" customHeight="1" x14ac:dyDescent="0.15">
      <c r="A413" s="22"/>
      <c r="B413" s="25" t="s">
        <v>22</v>
      </c>
      <c r="C413" s="37" t="s">
        <v>489</v>
      </c>
      <c r="D413" s="41"/>
      <c r="E413" s="41"/>
      <c r="F413" s="15" t="str">
        <f t="shared" si="34"/>
        <v/>
      </c>
      <c r="G413" s="71">
        <f t="shared" si="35"/>
        <v>0</v>
      </c>
      <c r="H413" s="71">
        <f t="shared" si="36"/>
        <v>0</v>
      </c>
      <c r="I413" s="71">
        <f t="shared" si="37"/>
        <v>1</v>
      </c>
      <c r="J413" s="71">
        <f t="shared" si="38"/>
        <v>0</v>
      </c>
      <c r="K413" s="16"/>
      <c r="L413" s="16"/>
      <c r="M413" s="17"/>
    </row>
    <row r="414" spans="1:13" ht="26.1" customHeight="1" x14ac:dyDescent="0.15">
      <c r="A414" s="22"/>
      <c r="B414" s="25" t="s">
        <v>23</v>
      </c>
      <c r="C414" s="37" t="s">
        <v>490</v>
      </c>
      <c r="D414" s="41"/>
      <c r="E414" s="41"/>
      <c r="F414" s="15" t="str">
        <f t="shared" si="34"/>
        <v/>
      </c>
      <c r="G414" s="71">
        <f t="shared" si="35"/>
        <v>0</v>
      </c>
      <c r="H414" s="71">
        <f t="shared" si="36"/>
        <v>0</v>
      </c>
      <c r="I414" s="71">
        <f t="shared" si="37"/>
        <v>1</v>
      </c>
      <c r="J414" s="71">
        <f t="shared" si="38"/>
        <v>0</v>
      </c>
      <c r="K414" s="16"/>
      <c r="L414" s="16"/>
      <c r="M414" s="17"/>
    </row>
    <row r="415" spans="1:13" ht="26.1" customHeight="1" x14ac:dyDescent="0.15">
      <c r="A415" s="22"/>
      <c r="B415" s="25" t="s">
        <v>24</v>
      </c>
      <c r="C415" s="37" t="s">
        <v>491</v>
      </c>
      <c r="D415" s="41"/>
      <c r="E415" s="41"/>
      <c r="F415" s="15" t="str">
        <f t="shared" si="34"/>
        <v/>
      </c>
      <c r="G415" s="71">
        <f t="shared" si="35"/>
        <v>0</v>
      </c>
      <c r="H415" s="71">
        <f t="shared" si="36"/>
        <v>0</v>
      </c>
      <c r="I415" s="71">
        <f t="shared" si="37"/>
        <v>1</v>
      </c>
      <c r="J415" s="71">
        <f t="shared" si="38"/>
        <v>0</v>
      </c>
      <c r="K415" s="16"/>
      <c r="L415" s="16"/>
      <c r="M415" s="17"/>
    </row>
    <row r="416" spans="1:13" ht="26.1" customHeight="1" x14ac:dyDescent="0.15">
      <c r="A416" s="22"/>
      <c r="B416" s="24" t="s">
        <v>25</v>
      </c>
      <c r="C416" s="36" t="s">
        <v>492</v>
      </c>
      <c r="D416" s="40"/>
      <c r="E416" s="40"/>
      <c r="F416" s="15" t="str">
        <f t="shared" si="34"/>
        <v/>
      </c>
      <c r="G416" s="71">
        <f t="shared" si="35"/>
        <v>0</v>
      </c>
      <c r="H416" s="71">
        <f t="shared" si="36"/>
        <v>0</v>
      </c>
      <c r="I416" s="71">
        <f t="shared" si="37"/>
        <v>1</v>
      </c>
      <c r="J416" s="71">
        <f t="shared" si="38"/>
        <v>0</v>
      </c>
      <c r="K416" s="16"/>
      <c r="L416" s="16"/>
      <c r="M416" s="17"/>
    </row>
    <row r="417" spans="1:13" ht="26.1" customHeight="1" x14ac:dyDescent="0.15">
      <c r="A417" s="22"/>
      <c r="B417" s="24" t="s">
        <v>26</v>
      </c>
      <c r="C417" s="36" t="s">
        <v>493</v>
      </c>
      <c r="D417" s="40"/>
      <c r="E417" s="40"/>
      <c r="F417" s="15" t="str">
        <f t="shared" si="34"/>
        <v/>
      </c>
      <c r="G417" s="71">
        <f t="shared" si="35"/>
        <v>0</v>
      </c>
      <c r="H417" s="71">
        <f t="shared" si="36"/>
        <v>0</v>
      </c>
      <c r="I417" s="71">
        <f t="shared" si="37"/>
        <v>1</v>
      </c>
      <c r="J417" s="71">
        <f t="shared" si="38"/>
        <v>0</v>
      </c>
      <c r="K417" s="16"/>
      <c r="L417" s="16"/>
      <c r="M417" s="17"/>
    </row>
    <row r="418" spans="1:13" ht="26.1" customHeight="1" x14ac:dyDescent="0.15">
      <c r="A418" s="22"/>
      <c r="B418" s="24" t="s">
        <v>58</v>
      </c>
      <c r="C418" s="36" t="s">
        <v>494</v>
      </c>
      <c r="D418" s="40"/>
      <c r="E418" s="40"/>
      <c r="F418" s="15" t="str">
        <f t="shared" si="34"/>
        <v/>
      </c>
      <c r="G418" s="71">
        <f t="shared" si="35"/>
        <v>0</v>
      </c>
      <c r="H418" s="71">
        <f t="shared" si="36"/>
        <v>0</v>
      </c>
      <c r="I418" s="71">
        <f t="shared" si="37"/>
        <v>1</v>
      </c>
      <c r="J418" s="71">
        <f t="shared" si="38"/>
        <v>0</v>
      </c>
      <c r="K418" s="16"/>
      <c r="L418" s="16"/>
      <c r="M418" s="17"/>
    </row>
    <row r="419" spans="1:13" ht="26.1" customHeight="1" x14ac:dyDescent="0.15">
      <c r="A419" s="22"/>
      <c r="B419" s="25" t="s">
        <v>27</v>
      </c>
      <c r="C419" s="37" t="s">
        <v>495</v>
      </c>
      <c r="D419" s="41"/>
      <c r="E419" s="41"/>
      <c r="F419" s="15" t="str">
        <f t="shared" si="34"/>
        <v/>
      </c>
      <c r="G419" s="71">
        <f t="shared" si="35"/>
        <v>0</v>
      </c>
      <c r="H419" s="71">
        <f t="shared" si="36"/>
        <v>0</v>
      </c>
      <c r="I419" s="71">
        <f t="shared" si="37"/>
        <v>1</v>
      </c>
      <c r="J419" s="71">
        <f t="shared" si="38"/>
        <v>0</v>
      </c>
      <c r="K419" s="16"/>
      <c r="L419" s="16"/>
      <c r="M419" s="17"/>
    </row>
    <row r="420" spans="1:13" ht="26.1" customHeight="1" x14ac:dyDescent="0.15">
      <c r="A420" s="22"/>
      <c r="B420" s="25" t="s">
        <v>28</v>
      </c>
      <c r="C420" s="37" t="s">
        <v>496</v>
      </c>
      <c r="D420" s="41"/>
      <c r="E420" s="41"/>
      <c r="F420" s="15" t="str">
        <f t="shared" si="34"/>
        <v/>
      </c>
      <c r="G420" s="71">
        <f t="shared" si="35"/>
        <v>0</v>
      </c>
      <c r="H420" s="71">
        <f t="shared" si="36"/>
        <v>0</v>
      </c>
      <c r="I420" s="71">
        <f t="shared" si="37"/>
        <v>1</v>
      </c>
      <c r="J420" s="71">
        <f t="shared" si="38"/>
        <v>0</v>
      </c>
      <c r="K420" s="16"/>
      <c r="L420" s="16"/>
      <c r="M420" s="17"/>
    </row>
    <row r="421" spans="1:13" ht="26.1" customHeight="1" x14ac:dyDescent="0.15">
      <c r="A421" s="22"/>
      <c r="B421" s="25" t="s">
        <v>29</v>
      </c>
      <c r="C421" s="37" t="s">
        <v>497</v>
      </c>
      <c r="D421" s="41"/>
      <c r="E421" s="41"/>
      <c r="F421" s="15" t="str">
        <f t="shared" si="34"/>
        <v/>
      </c>
      <c r="G421" s="71">
        <f t="shared" si="35"/>
        <v>0</v>
      </c>
      <c r="H421" s="71">
        <f t="shared" si="36"/>
        <v>0</v>
      </c>
      <c r="I421" s="71">
        <f t="shared" si="37"/>
        <v>1</v>
      </c>
      <c r="J421" s="71">
        <f t="shared" si="38"/>
        <v>0</v>
      </c>
      <c r="K421" s="16"/>
      <c r="L421" s="16"/>
      <c r="M421" s="17"/>
    </row>
    <row r="422" spans="1:13" ht="26.1" customHeight="1" x14ac:dyDescent="0.15">
      <c r="A422" s="22"/>
      <c r="B422" s="24" t="s">
        <v>30</v>
      </c>
      <c r="C422" s="36" t="s">
        <v>498</v>
      </c>
      <c r="D422" s="40"/>
      <c r="E422" s="40"/>
      <c r="F422" s="15" t="str">
        <f t="shared" si="34"/>
        <v/>
      </c>
      <c r="G422" s="71">
        <f t="shared" si="35"/>
        <v>0</v>
      </c>
      <c r="H422" s="71">
        <f t="shared" si="36"/>
        <v>0</v>
      </c>
      <c r="I422" s="71">
        <f t="shared" si="37"/>
        <v>1</v>
      </c>
      <c r="J422" s="71">
        <f t="shared" si="38"/>
        <v>0</v>
      </c>
      <c r="K422" s="16"/>
      <c r="L422" s="16"/>
      <c r="M422" s="17"/>
    </row>
    <row r="423" spans="1:13" ht="26.1" customHeight="1" x14ac:dyDescent="0.15">
      <c r="A423" s="22"/>
      <c r="B423" s="24" t="s">
        <v>31</v>
      </c>
      <c r="C423" s="36" t="s">
        <v>499</v>
      </c>
      <c r="D423" s="40"/>
      <c r="E423" s="40"/>
      <c r="F423" s="15" t="str">
        <f t="shared" si="34"/>
        <v/>
      </c>
      <c r="G423" s="71">
        <f t="shared" si="35"/>
        <v>0</v>
      </c>
      <c r="H423" s="71">
        <f t="shared" si="36"/>
        <v>0</v>
      </c>
      <c r="I423" s="71">
        <f t="shared" si="37"/>
        <v>1</v>
      </c>
      <c r="J423" s="71">
        <f t="shared" si="38"/>
        <v>0</v>
      </c>
      <c r="K423" s="16"/>
      <c r="L423" s="16"/>
      <c r="M423" s="17"/>
    </row>
    <row r="424" spans="1:13" ht="26.1" customHeight="1" x14ac:dyDescent="0.15">
      <c r="A424" s="22"/>
      <c r="B424" s="24" t="s">
        <v>32</v>
      </c>
      <c r="C424" s="36" t="s">
        <v>500</v>
      </c>
      <c r="D424" s="40"/>
      <c r="E424" s="40"/>
      <c r="F424" s="15" t="str">
        <f t="shared" si="34"/>
        <v/>
      </c>
      <c r="G424" s="71">
        <f t="shared" si="35"/>
        <v>0</v>
      </c>
      <c r="H424" s="71">
        <f t="shared" si="36"/>
        <v>0</v>
      </c>
      <c r="I424" s="71">
        <f t="shared" si="37"/>
        <v>1</v>
      </c>
      <c r="J424" s="71">
        <f t="shared" si="38"/>
        <v>0</v>
      </c>
      <c r="K424" s="16"/>
      <c r="L424" s="16"/>
      <c r="M424" s="17"/>
    </row>
    <row r="425" spans="1:13" ht="26.1" customHeight="1" x14ac:dyDescent="0.15">
      <c r="A425" s="22"/>
      <c r="B425" s="25" t="s">
        <v>33</v>
      </c>
      <c r="C425" s="37" t="s">
        <v>501</v>
      </c>
      <c r="D425" s="41"/>
      <c r="E425" s="41"/>
      <c r="F425" s="15" t="str">
        <f t="shared" si="34"/>
        <v/>
      </c>
      <c r="G425" s="71">
        <f t="shared" si="35"/>
        <v>0</v>
      </c>
      <c r="H425" s="71">
        <f t="shared" si="36"/>
        <v>0</v>
      </c>
      <c r="I425" s="71">
        <f t="shared" si="37"/>
        <v>1</v>
      </c>
      <c r="J425" s="71">
        <f t="shared" si="38"/>
        <v>0</v>
      </c>
      <c r="K425" s="16"/>
      <c r="L425" s="16"/>
      <c r="M425" s="17"/>
    </row>
    <row r="426" spans="1:13" ht="26.1" customHeight="1" x14ac:dyDescent="0.15">
      <c r="A426" s="22"/>
      <c r="B426" s="25" t="s">
        <v>34</v>
      </c>
      <c r="C426" s="37" t="s">
        <v>502</v>
      </c>
      <c r="D426" s="41"/>
      <c r="E426" s="41"/>
      <c r="F426" s="15" t="str">
        <f t="shared" si="34"/>
        <v/>
      </c>
      <c r="G426" s="71">
        <f t="shared" si="35"/>
        <v>0</v>
      </c>
      <c r="H426" s="71">
        <f t="shared" si="36"/>
        <v>0</v>
      </c>
      <c r="I426" s="71">
        <f t="shared" si="37"/>
        <v>1</v>
      </c>
      <c r="J426" s="71">
        <f t="shared" si="38"/>
        <v>0</v>
      </c>
      <c r="K426" s="16"/>
      <c r="L426" s="16"/>
      <c r="M426" s="17"/>
    </row>
    <row r="427" spans="1:13" ht="26.1" customHeight="1" x14ac:dyDescent="0.15">
      <c r="A427" s="23"/>
      <c r="B427" s="25" t="s">
        <v>35</v>
      </c>
      <c r="C427" s="37" t="s">
        <v>503</v>
      </c>
      <c r="D427" s="41"/>
      <c r="E427" s="41"/>
      <c r="F427" s="15" t="str">
        <f t="shared" si="34"/>
        <v/>
      </c>
      <c r="G427" s="71">
        <f t="shared" si="35"/>
        <v>0</v>
      </c>
      <c r="H427" s="71">
        <f t="shared" si="36"/>
        <v>0</v>
      </c>
      <c r="I427" s="71">
        <f t="shared" si="37"/>
        <v>1</v>
      </c>
      <c r="J427" s="71">
        <f t="shared" si="38"/>
        <v>0</v>
      </c>
      <c r="K427" s="16"/>
      <c r="L427" s="16"/>
      <c r="M427" s="17"/>
    </row>
    <row r="428" spans="1:13" ht="26.1" customHeight="1" x14ac:dyDescent="0.15">
      <c r="A428" s="21">
        <v>11</v>
      </c>
      <c r="B428" s="14" t="s">
        <v>19</v>
      </c>
      <c r="C428" s="34" t="s">
        <v>504</v>
      </c>
      <c r="D428" s="38"/>
      <c r="E428" s="38"/>
      <c r="F428" s="15" t="str">
        <f t="shared" si="34"/>
        <v/>
      </c>
      <c r="G428" s="71">
        <f t="shared" si="35"/>
        <v>0</v>
      </c>
      <c r="H428" s="71">
        <f t="shared" si="36"/>
        <v>0</v>
      </c>
      <c r="I428" s="71">
        <f t="shared" si="37"/>
        <v>1</v>
      </c>
      <c r="J428" s="71">
        <f t="shared" si="38"/>
        <v>0</v>
      </c>
      <c r="K428" s="16"/>
      <c r="L428" s="16"/>
      <c r="M428" s="17"/>
    </row>
    <row r="429" spans="1:13" ht="26.1" customHeight="1" x14ac:dyDescent="0.15">
      <c r="A429" s="22"/>
      <c r="B429" s="14" t="s">
        <v>20</v>
      </c>
      <c r="C429" s="34" t="s">
        <v>505</v>
      </c>
      <c r="D429" s="38"/>
      <c r="E429" s="38"/>
      <c r="F429" s="15" t="str">
        <f t="shared" si="34"/>
        <v/>
      </c>
      <c r="G429" s="71">
        <f t="shared" si="35"/>
        <v>0</v>
      </c>
      <c r="H429" s="71">
        <f t="shared" si="36"/>
        <v>0</v>
      </c>
      <c r="I429" s="71">
        <f t="shared" si="37"/>
        <v>1</v>
      </c>
      <c r="J429" s="71">
        <f t="shared" si="38"/>
        <v>0</v>
      </c>
      <c r="K429" s="16"/>
      <c r="L429" s="16"/>
      <c r="M429" s="17"/>
    </row>
    <row r="430" spans="1:13" ht="26.1" customHeight="1" x14ac:dyDescent="0.15">
      <c r="A430" s="22"/>
      <c r="B430" s="14" t="s">
        <v>21</v>
      </c>
      <c r="C430" s="34" t="s">
        <v>506</v>
      </c>
      <c r="D430" s="38"/>
      <c r="E430" s="38"/>
      <c r="F430" s="15" t="str">
        <f t="shared" si="34"/>
        <v/>
      </c>
      <c r="G430" s="71">
        <f t="shared" si="35"/>
        <v>0</v>
      </c>
      <c r="H430" s="71">
        <f t="shared" si="36"/>
        <v>0</v>
      </c>
      <c r="I430" s="71">
        <f t="shared" si="37"/>
        <v>1</v>
      </c>
      <c r="J430" s="71">
        <f t="shared" si="38"/>
        <v>0</v>
      </c>
      <c r="K430" s="16"/>
      <c r="L430" s="16"/>
      <c r="M430" s="17"/>
    </row>
    <row r="431" spans="1:13" ht="26.1" customHeight="1" x14ac:dyDescent="0.15">
      <c r="A431" s="22"/>
      <c r="B431" s="20" t="s">
        <v>22</v>
      </c>
      <c r="C431" s="35" t="s">
        <v>507</v>
      </c>
      <c r="D431" s="39"/>
      <c r="E431" s="39"/>
      <c r="F431" s="15" t="str">
        <f t="shared" si="34"/>
        <v/>
      </c>
      <c r="G431" s="71">
        <f t="shared" si="35"/>
        <v>0</v>
      </c>
      <c r="H431" s="71">
        <f t="shared" si="36"/>
        <v>0</v>
      </c>
      <c r="I431" s="71">
        <f t="shared" si="37"/>
        <v>1</v>
      </c>
      <c r="J431" s="71">
        <f t="shared" si="38"/>
        <v>0</v>
      </c>
      <c r="K431" s="16"/>
      <c r="L431" s="16"/>
      <c r="M431" s="17"/>
    </row>
    <row r="432" spans="1:13" ht="26.1" customHeight="1" x14ac:dyDescent="0.15">
      <c r="A432" s="22"/>
      <c r="B432" s="20" t="s">
        <v>23</v>
      </c>
      <c r="C432" s="35" t="s">
        <v>508</v>
      </c>
      <c r="D432" s="39"/>
      <c r="E432" s="39"/>
      <c r="F432" s="15" t="str">
        <f t="shared" si="34"/>
        <v/>
      </c>
      <c r="G432" s="71">
        <f t="shared" si="35"/>
        <v>0</v>
      </c>
      <c r="H432" s="71">
        <f t="shared" si="36"/>
        <v>0</v>
      </c>
      <c r="I432" s="71">
        <f t="shared" si="37"/>
        <v>1</v>
      </c>
      <c r="J432" s="71">
        <f t="shared" si="38"/>
        <v>0</v>
      </c>
      <c r="K432" s="16"/>
      <c r="L432" s="16"/>
      <c r="M432" s="17"/>
    </row>
    <row r="433" spans="1:13" ht="26.1" customHeight="1" x14ac:dyDescent="0.15">
      <c r="A433" s="22"/>
      <c r="B433" s="20" t="s">
        <v>24</v>
      </c>
      <c r="C433" s="35" t="s">
        <v>509</v>
      </c>
      <c r="D433" s="39"/>
      <c r="E433" s="39"/>
      <c r="F433" s="15" t="str">
        <f t="shared" si="34"/>
        <v/>
      </c>
      <c r="G433" s="71">
        <f t="shared" si="35"/>
        <v>0</v>
      </c>
      <c r="H433" s="71">
        <f t="shared" si="36"/>
        <v>0</v>
      </c>
      <c r="I433" s="71">
        <f t="shared" si="37"/>
        <v>1</v>
      </c>
      <c r="J433" s="71">
        <f t="shared" si="38"/>
        <v>0</v>
      </c>
      <c r="K433" s="16"/>
      <c r="L433" s="16"/>
      <c r="M433" s="17"/>
    </row>
    <row r="434" spans="1:13" ht="26.1" customHeight="1" x14ac:dyDescent="0.15">
      <c r="A434" s="22"/>
      <c r="B434" s="14" t="s">
        <v>25</v>
      </c>
      <c r="C434" s="34" t="s">
        <v>510</v>
      </c>
      <c r="D434" s="38"/>
      <c r="E434" s="38"/>
      <c r="F434" s="15" t="str">
        <f t="shared" si="34"/>
        <v/>
      </c>
      <c r="G434" s="71">
        <f t="shared" si="35"/>
        <v>0</v>
      </c>
      <c r="H434" s="71">
        <f t="shared" si="36"/>
        <v>0</v>
      </c>
      <c r="I434" s="71">
        <f t="shared" si="37"/>
        <v>1</v>
      </c>
      <c r="J434" s="71">
        <f t="shared" si="38"/>
        <v>0</v>
      </c>
      <c r="K434" s="16"/>
      <c r="L434" s="16"/>
      <c r="M434" s="17"/>
    </row>
    <row r="435" spans="1:13" ht="26.1" customHeight="1" x14ac:dyDescent="0.15">
      <c r="A435" s="22"/>
      <c r="B435" s="14" t="s">
        <v>26</v>
      </c>
      <c r="C435" s="34" t="s">
        <v>511</v>
      </c>
      <c r="D435" s="38"/>
      <c r="E435" s="38"/>
      <c r="F435" s="15" t="str">
        <f t="shared" si="34"/>
        <v/>
      </c>
      <c r="G435" s="71">
        <f t="shared" si="35"/>
        <v>0</v>
      </c>
      <c r="H435" s="71">
        <f t="shared" si="36"/>
        <v>0</v>
      </c>
      <c r="I435" s="71">
        <f t="shared" si="37"/>
        <v>1</v>
      </c>
      <c r="J435" s="71">
        <f t="shared" si="38"/>
        <v>0</v>
      </c>
      <c r="K435" s="16"/>
      <c r="L435" s="16"/>
      <c r="M435" s="17"/>
    </row>
    <row r="436" spans="1:13" ht="26.1" customHeight="1" x14ac:dyDescent="0.15">
      <c r="A436" s="22"/>
      <c r="B436" s="14" t="s">
        <v>58</v>
      </c>
      <c r="C436" s="34" t="s">
        <v>512</v>
      </c>
      <c r="D436" s="38"/>
      <c r="E436" s="38"/>
      <c r="F436" s="15" t="str">
        <f t="shared" si="34"/>
        <v/>
      </c>
      <c r="G436" s="71">
        <f t="shared" si="35"/>
        <v>0</v>
      </c>
      <c r="H436" s="71">
        <f t="shared" si="36"/>
        <v>0</v>
      </c>
      <c r="I436" s="71">
        <f t="shared" si="37"/>
        <v>1</v>
      </c>
      <c r="J436" s="71">
        <f t="shared" si="38"/>
        <v>0</v>
      </c>
      <c r="K436" s="16"/>
      <c r="L436" s="16"/>
      <c r="M436" s="17"/>
    </row>
    <row r="437" spans="1:13" ht="26.1" customHeight="1" x14ac:dyDescent="0.15">
      <c r="A437" s="22"/>
      <c r="B437" s="20" t="s">
        <v>27</v>
      </c>
      <c r="C437" s="35" t="s">
        <v>273</v>
      </c>
      <c r="D437" s="39"/>
      <c r="E437" s="39"/>
      <c r="F437" s="15" t="str">
        <f t="shared" si="34"/>
        <v/>
      </c>
      <c r="G437" s="71">
        <f t="shared" si="35"/>
        <v>0</v>
      </c>
      <c r="H437" s="71">
        <f t="shared" si="36"/>
        <v>0</v>
      </c>
      <c r="I437" s="71">
        <f t="shared" si="37"/>
        <v>1</v>
      </c>
      <c r="J437" s="71">
        <f t="shared" si="38"/>
        <v>0</v>
      </c>
      <c r="K437" s="16"/>
      <c r="L437" s="16"/>
      <c r="M437" s="17"/>
    </row>
    <row r="438" spans="1:13" ht="26.1" customHeight="1" x14ac:dyDescent="0.15">
      <c r="A438" s="22"/>
      <c r="B438" s="20" t="s">
        <v>28</v>
      </c>
      <c r="C438" s="35" t="s">
        <v>513</v>
      </c>
      <c r="D438" s="39"/>
      <c r="E438" s="39"/>
      <c r="F438" s="15" t="str">
        <f t="shared" si="34"/>
        <v/>
      </c>
      <c r="G438" s="71">
        <f t="shared" si="35"/>
        <v>0</v>
      </c>
      <c r="H438" s="71">
        <f t="shared" si="36"/>
        <v>0</v>
      </c>
      <c r="I438" s="71">
        <f t="shared" si="37"/>
        <v>1</v>
      </c>
      <c r="J438" s="71">
        <f t="shared" si="38"/>
        <v>0</v>
      </c>
      <c r="K438" s="16"/>
      <c r="L438" s="16"/>
      <c r="M438" s="17"/>
    </row>
    <row r="439" spans="1:13" ht="26.1" customHeight="1" x14ac:dyDescent="0.15">
      <c r="A439" s="22"/>
      <c r="B439" s="20" t="s">
        <v>29</v>
      </c>
      <c r="C439" s="35" t="s">
        <v>514</v>
      </c>
      <c r="D439" s="39"/>
      <c r="E439" s="39"/>
      <c r="F439" s="15" t="str">
        <f t="shared" si="34"/>
        <v/>
      </c>
      <c r="G439" s="71">
        <f t="shared" si="35"/>
        <v>0</v>
      </c>
      <c r="H439" s="71">
        <f t="shared" si="36"/>
        <v>0</v>
      </c>
      <c r="I439" s="71">
        <f t="shared" si="37"/>
        <v>1</v>
      </c>
      <c r="J439" s="71">
        <f t="shared" si="38"/>
        <v>0</v>
      </c>
      <c r="K439" s="16"/>
      <c r="L439" s="16"/>
      <c r="M439" s="17"/>
    </row>
    <row r="440" spans="1:13" ht="26.1" customHeight="1" x14ac:dyDescent="0.15">
      <c r="A440" s="22"/>
      <c r="B440" s="14" t="s">
        <v>30</v>
      </c>
      <c r="C440" s="34" t="s">
        <v>515</v>
      </c>
      <c r="D440" s="38"/>
      <c r="E440" s="38"/>
      <c r="F440" s="15" t="str">
        <f t="shared" si="34"/>
        <v/>
      </c>
      <c r="G440" s="71">
        <f t="shared" si="35"/>
        <v>0</v>
      </c>
      <c r="H440" s="71">
        <f t="shared" si="36"/>
        <v>0</v>
      </c>
      <c r="I440" s="71">
        <f t="shared" si="37"/>
        <v>1</v>
      </c>
      <c r="J440" s="71">
        <f t="shared" si="38"/>
        <v>0</v>
      </c>
      <c r="K440" s="16"/>
      <c r="L440" s="16"/>
      <c r="M440" s="17"/>
    </row>
    <row r="441" spans="1:13" ht="26.1" customHeight="1" x14ac:dyDescent="0.15">
      <c r="A441" s="22"/>
      <c r="B441" s="14" t="s">
        <v>31</v>
      </c>
      <c r="C441" s="34" t="s">
        <v>516</v>
      </c>
      <c r="D441" s="38"/>
      <c r="E441" s="38"/>
      <c r="F441" s="15" t="str">
        <f t="shared" si="34"/>
        <v/>
      </c>
      <c r="G441" s="71">
        <f t="shared" si="35"/>
        <v>0</v>
      </c>
      <c r="H441" s="71">
        <f t="shared" si="36"/>
        <v>0</v>
      </c>
      <c r="I441" s="71">
        <f t="shared" si="37"/>
        <v>1</v>
      </c>
      <c r="J441" s="71">
        <f t="shared" si="38"/>
        <v>0</v>
      </c>
      <c r="K441" s="16"/>
      <c r="L441" s="16"/>
      <c r="M441" s="17"/>
    </row>
    <row r="442" spans="1:13" ht="26.1" customHeight="1" x14ac:dyDescent="0.15">
      <c r="A442" s="22"/>
      <c r="B442" s="14" t="s">
        <v>32</v>
      </c>
      <c r="C442" s="34" t="s">
        <v>517</v>
      </c>
      <c r="D442" s="38"/>
      <c r="E442" s="38"/>
      <c r="F442" s="15" t="str">
        <f t="shared" si="34"/>
        <v/>
      </c>
      <c r="G442" s="71">
        <f t="shared" si="35"/>
        <v>0</v>
      </c>
      <c r="H442" s="71">
        <f t="shared" si="36"/>
        <v>0</v>
      </c>
      <c r="I442" s="71">
        <f t="shared" si="37"/>
        <v>1</v>
      </c>
      <c r="J442" s="71">
        <f t="shared" si="38"/>
        <v>0</v>
      </c>
      <c r="K442" s="16"/>
      <c r="L442" s="16"/>
      <c r="M442" s="17"/>
    </row>
    <row r="443" spans="1:13" ht="26.1" customHeight="1" x14ac:dyDescent="0.15">
      <c r="A443" s="22"/>
      <c r="B443" s="20" t="s">
        <v>33</v>
      </c>
      <c r="C443" s="35" t="s">
        <v>518</v>
      </c>
      <c r="D443" s="39"/>
      <c r="E443" s="39"/>
      <c r="F443" s="15" t="str">
        <f t="shared" si="34"/>
        <v/>
      </c>
      <c r="G443" s="71">
        <f t="shared" si="35"/>
        <v>0</v>
      </c>
      <c r="H443" s="71">
        <f t="shared" si="36"/>
        <v>0</v>
      </c>
      <c r="I443" s="71">
        <f t="shared" si="37"/>
        <v>1</v>
      </c>
      <c r="J443" s="71">
        <f t="shared" si="38"/>
        <v>0</v>
      </c>
      <c r="K443" s="16"/>
      <c r="L443" s="16"/>
      <c r="M443" s="17"/>
    </row>
    <row r="444" spans="1:13" ht="26.1" customHeight="1" x14ac:dyDescent="0.15">
      <c r="A444" s="22"/>
      <c r="B444" s="20" t="s">
        <v>34</v>
      </c>
      <c r="C444" s="35" t="s">
        <v>519</v>
      </c>
      <c r="D444" s="39"/>
      <c r="E444" s="39"/>
      <c r="F444" s="15" t="str">
        <f t="shared" si="34"/>
        <v/>
      </c>
      <c r="G444" s="71">
        <f t="shared" si="35"/>
        <v>0</v>
      </c>
      <c r="H444" s="71">
        <f t="shared" si="36"/>
        <v>0</v>
      </c>
      <c r="I444" s="71">
        <f t="shared" si="37"/>
        <v>1</v>
      </c>
      <c r="J444" s="71">
        <f t="shared" si="38"/>
        <v>0</v>
      </c>
      <c r="K444" s="16"/>
      <c r="L444" s="16"/>
      <c r="M444" s="17"/>
    </row>
    <row r="445" spans="1:13" ht="26.1" customHeight="1" x14ac:dyDescent="0.15">
      <c r="A445" s="22"/>
      <c r="B445" s="20" t="s">
        <v>35</v>
      </c>
      <c r="C445" s="35" t="s">
        <v>520</v>
      </c>
      <c r="D445" s="39"/>
      <c r="E445" s="39"/>
      <c r="F445" s="15" t="str">
        <f t="shared" si="34"/>
        <v/>
      </c>
      <c r="G445" s="71">
        <f t="shared" si="35"/>
        <v>0</v>
      </c>
      <c r="H445" s="71">
        <f t="shared" si="36"/>
        <v>0</v>
      </c>
      <c r="I445" s="71">
        <f t="shared" si="37"/>
        <v>1</v>
      </c>
      <c r="J445" s="71">
        <f t="shared" si="38"/>
        <v>0</v>
      </c>
      <c r="K445" s="16"/>
      <c r="L445" s="16"/>
      <c r="M445" s="17"/>
    </row>
    <row r="446" spans="1:13" ht="26.1" customHeight="1" x14ac:dyDescent="0.15">
      <c r="A446" s="22"/>
      <c r="B446" s="14" t="s">
        <v>36</v>
      </c>
      <c r="C446" s="34" t="s">
        <v>521</v>
      </c>
      <c r="D446" s="38"/>
      <c r="E446" s="38"/>
      <c r="F446" s="15" t="str">
        <f t="shared" si="34"/>
        <v/>
      </c>
      <c r="G446" s="71">
        <f t="shared" si="35"/>
        <v>0</v>
      </c>
      <c r="H446" s="71">
        <f t="shared" si="36"/>
        <v>0</v>
      </c>
      <c r="I446" s="71">
        <f t="shared" si="37"/>
        <v>1</v>
      </c>
      <c r="J446" s="71">
        <f t="shared" si="38"/>
        <v>0</v>
      </c>
      <c r="K446" s="16"/>
      <c r="L446" s="16"/>
      <c r="M446" s="17"/>
    </row>
    <row r="447" spans="1:13" ht="26.1" customHeight="1" x14ac:dyDescent="0.15">
      <c r="A447" s="22"/>
      <c r="B447" s="14" t="s">
        <v>37</v>
      </c>
      <c r="C447" s="34" t="s">
        <v>522</v>
      </c>
      <c r="D447" s="38"/>
      <c r="E447" s="38"/>
      <c r="F447" s="15" t="str">
        <f t="shared" si="34"/>
        <v/>
      </c>
      <c r="G447" s="71">
        <f t="shared" si="35"/>
        <v>0</v>
      </c>
      <c r="H447" s="71">
        <f t="shared" si="36"/>
        <v>0</v>
      </c>
      <c r="I447" s="71">
        <f t="shared" si="37"/>
        <v>1</v>
      </c>
      <c r="J447" s="71">
        <f t="shared" si="38"/>
        <v>0</v>
      </c>
      <c r="K447" s="16"/>
      <c r="L447" s="16"/>
      <c r="M447" s="17"/>
    </row>
    <row r="448" spans="1:13" ht="26.1" customHeight="1" x14ac:dyDescent="0.15">
      <c r="A448" s="22"/>
      <c r="B448" s="14" t="s">
        <v>38</v>
      </c>
      <c r="C448" s="34" t="s">
        <v>523</v>
      </c>
      <c r="D448" s="38"/>
      <c r="E448" s="38"/>
      <c r="F448" s="15" t="str">
        <f t="shared" si="34"/>
        <v/>
      </c>
      <c r="G448" s="71">
        <f t="shared" si="35"/>
        <v>0</v>
      </c>
      <c r="H448" s="71">
        <f t="shared" si="36"/>
        <v>0</v>
      </c>
      <c r="I448" s="71">
        <f t="shared" si="37"/>
        <v>1</v>
      </c>
      <c r="J448" s="71">
        <f t="shared" si="38"/>
        <v>0</v>
      </c>
      <c r="K448" s="16"/>
      <c r="L448" s="16"/>
      <c r="M448" s="17"/>
    </row>
    <row r="449" spans="1:13" ht="26.1" customHeight="1" x14ac:dyDescent="0.15">
      <c r="A449" s="22"/>
      <c r="B449" s="20" t="s">
        <v>18</v>
      </c>
      <c r="C449" s="35" t="s">
        <v>524</v>
      </c>
      <c r="D449" s="39"/>
      <c r="E449" s="39"/>
      <c r="F449" s="15" t="str">
        <f t="shared" si="34"/>
        <v/>
      </c>
      <c r="G449" s="71">
        <f t="shared" si="35"/>
        <v>0</v>
      </c>
      <c r="H449" s="71">
        <f t="shared" si="36"/>
        <v>0</v>
      </c>
      <c r="I449" s="71">
        <f t="shared" si="37"/>
        <v>1</v>
      </c>
      <c r="J449" s="71">
        <f t="shared" si="38"/>
        <v>0</v>
      </c>
      <c r="K449" s="16"/>
      <c r="L449" s="16"/>
      <c r="M449" s="17"/>
    </row>
    <row r="450" spans="1:13" ht="26.1" customHeight="1" x14ac:dyDescent="0.15">
      <c r="A450" s="22"/>
      <c r="B450" s="20" t="s">
        <v>39</v>
      </c>
      <c r="C450" s="35" t="s">
        <v>525</v>
      </c>
      <c r="D450" s="39"/>
      <c r="E450" s="39"/>
      <c r="F450" s="15" t="str">
        <f t="shared" si="34"/>
        <v/>
      </c>
      <c r="G450" s="71">
        <f t="shared" si="35"/>
        <v>0</v>
      </c>
      <c r="H450" s="71">
        <f t="shared" si="36"/>
        <v>0</v>
      </c>
      <c r="I450" s="71">
        <f t="shared" si="37"/>
        <v>1</v>
      </c>
      <c r="J450" s="71">
        <f t="shared" si="38"/>
        <v>0</v>
      </c>
      <c r="K450" s="16"/>
      <c r="L450" s="16"/>
      <c r="M450" s="17"/>
    </row>
    <row r="451" spans="1:13" ht="26.1" customHeight="1" x14ac:dyDescent="0.15">
      <c r="A451" s="22"/>
      <c r="B451" s="20" t="s">
        <v>40</v>
      </c>
      <c r="C451" s="35" t="s">
        <v>526</v>
      </c>
      <c r="D451" s="39"/>
      <c r="E451" s="39"/>
      <c r="F451" s="15" t="str">
        <f t="shared" si="34"/>
        <v/>
      </c>
      <c r="G451" s="71">
        <f t="shared" si="35"/>
        <v>0</v>
      </c>
      <c r="H451" s="71">
        <f t="shared" si="36"/>
        <v>0</v>
      </c>
      <c r="I451" s="71">
        <f t="shared" si="37"/>
        <v>1</v>
      </c>
      <c r="J451" s="71">
        <f t="shared" si="38"/>
        <v>0</v>
      </c>
      <c r="K451" s="16"/>
      <c r="L451" s="16"/>
      <c r="M451" s="17"/>
    </row>
    <row r="452" spans="1:13" ht="26.1" customHeight="1" x14ac:dyDescent="0.15">
      <c r="A452" s="22"/>
      <c r="B452" s="14" t="s">
        <v>41</v>
      </c>
      <c r="C452" s="34" t="s">
        <v>527</v>
      </c>
      <c r="D452" s="38"/>
      <c r="E452" s="38"/>
      <c r="F452" s="15" t="str">
        <f t="shared" si="34"/>
        <v/>
      </c>
      <c r="G452" s="71">
        <f t="shared" si="35"/>
        <v>0</v>
      </c>
      <c r="H452" s="71">
        <f t="shared" si="36"/>
        <v>0</v>
      </c>
      <c r="I452" s="71">
        <f t="shared" si="37"/>
        <v>1</v>
      </c>
      <c r="J452" s="71">
        <f t="shared" si="38"/>
        <v>0</v>
      </c>
      <c r="K452" s="16"/>
      <c r="L452" s="16"/>
      <c r="M452" s="17"/>
    </row>
    <row r="453" spans="1:13" ht="26.1" customHeight="1" x14ac:dyDescent="0.15">
      <c r="A453" s="22"/>
      <c r="B453" s="14" t="s">
        <v>42</v>
      </c>
      <c r="C453" s="34" t="s">
        <v>528</v>
      </c>
      <c r="D453" s="38"/>
      <c r="E453" s="38"/>
      <c r="F453" s="15" t="str">
        <f t="shared" si="34"/>
        <v/>
      </c>
      <c r="G453" s="71">
        <f t="shared" si="35"/>
        <v>0</v>
      </c>
      <c r="H453" s="71">
        <f t="shared" si="36"/>
        <v>0</v>
      </c>
      <c r="I453" s="71">
        <f t="shared" si="37"/>
        <v>1</v>
      </c>
      <c r="J453" s="71">
        <f t="shared" si="38"/>
        <v>0</v>
      </c>
      <c r="K453" s="16"/>
      <c r="L453" s="16"/>
      <c r="M453" s="17"/>
    </row>
    <row r="454" spans="1:13" ht="26.1" customHeight="1" x14ac:dyDescent="0.15">
      <c r="A454" s="22"/>
      <c r="B454" s="14" t="s">
        <v>43</v>
      </c>
      <c r="C454" s="34" t="s">
        <v>529</v>
      </c>
      <c r="D454" s="38"/>
      <c r="E454" s="38"/>
      <c r="F454" s="15" t="str">
        <f t="shared" si="34"/>
        <v/>
      </c>
      <c r="G454" s="71">
        <f t="shared" si="35"/>
        <v>0</v>
      </c>
      <c r="H454" s="71">
        <f t="shared" si="36"/>
        <v>0</v>
      </c>
      <c r="I454" s="71">
        <f t="shared" si="37"/>
        <v>1</v>
      </c>
      <c r="J454" s="71">
        <f t="shared" si="38"/>
        <v>0</v>
      </c>
      <c r="K454" s="16"/>
      <c r="L454" s="16"/>
      <c r="M454" s="17"/>
    </row>
    <row r="455" spans="1:13" ht="26.1" customHeight="1" x14ac:dyDescent="0.15">
      <c r="A455" s="22"/>
      <c r="B455" s="20" t="s">
        <v>3</v>
      </c>
      <c r="C455" s="35" t="s">
        <v>530</v>
      </c>
      <c r="D455" s="39"/>
      <c r="E455" s="39"/>
      <c r="F455" s="15" t="str">
        <f t="shared" si="34"/>
        <v/>
      </c>
      <c r="G455" s="71">
        <f t="shared" si="35"/>
        <v>0</v>
      </c>
      <c r="H455" s="71">
        <f t="shared" si="36"/>
        <v>0</v>
      </c>
      <c r="I455" s="71">
        <f t="shared" si="37"/>
        <v>1</v>
      </c>
      <c r="J455" s="71">
        <f t="shared" si="38"/>
        <v>0</v>
      </c>
      <c r="K455" s="16"/>
      <c r="L455" s="16"/>
      <c r="M455" s="17"/>
    </row>
    <row r="456" spans="1:13" ht="26.1" customHeight="1" x14ac:dyDescent="0.15">
      <c r="A456" s="22"/>
      <c r="B456" s="20" t="s">
        <v>6</v>
      </c>
      <c r="C456" s="35" t="s">
        <v>531</v>
      </c>
      <c r="D456" s="39"/>
      <c r="E456" s="39"/>
      <c r="F456" s="15" t="str">
        <f t="shared" si="34"/>
        <v/>
      </c>
      <c r="G456" s="71">
        <f t="shared" si="35"/>
        <v>0</v>
      </c>
      <c r="H456" s="71">
        <f t="shared" si="36"/>
        <v>0</v>
      </c>
      <c r="I456" s="71">
        <f t="shared" si="37"/>
        <v>1</v>
      </c>
      <c r="J456" s="71">
        <f t="shared" si="38"/>
        <v>0</v>
      </c>
      <c r="K456" s="16"/>
      <c r="L456" s="16"/>
      <c r="M456" s="17"/>
    </row>
    <row r="457" spans="1:13" ht="26.1" customHeight="1" x14ac:dyDescent="0.15">
      <c r="A457" s="22"/>
      <c r="B457" s="20" t="s">
        <v>0</v>
      </c>
      <c r="C457" s="35" t="s">
        <v>532</v>
      </c>
      <c r="D457" s="39"/>
      <c r="E457" s="39"/>
      <c r="F457" s="15" t="str">
        <f t="shared" ref="F457:F511" si="39">IF(D457="x",IF(E457&lt;&gt;"x","Paling Disukai","ERROR"),IF(E457="x","Paling Tidak Disukai",""))</f>
        <v/>
      </c>
      <c r="G457" s="71">
        <f t="shared" si="35"/>
        <v>0</v>
      </c>
      <c r="H457" s="71">
        <f t="shared" si="36"/>
        <v>0</v>
      </c>
      <c r="I457" s="71">
        <f t="shared" si="37"/>
        <v>1</v>
      </c>
      <c r="J457" s="71">
        <f t="shared" si="38"/>
        <v>0</v>
      </c>
      <c r="K457" s="16"/>
      <c r="L457" s="16"/>
      <c r="M457" s="17"/>
    </row>
    <row r="458" spans="1:13" ht="26.1" customHeight="1" x14ac:dyDescent="0.15">
      <c r="A458" s="22"/>
      <c r="B458" s="14" t="s">
        <v>44</v>
      </c>
      <c r="C458" s="34" t="s">
        <v>533</v>
      </c>
      <c r="D458" s="38"/>
      <c r="E458" s="38"/>
      <c r="F458" s="15" t="str">
        <f t="shared" si="39"/>
        <v/>
      </c>
      <c r="G458" s="71">
        <f t="shared" ref="G458:G511" si="40">IF(D458="x",IF(E458&lt;&gt;"x",1,0),0)</f>
        <v>0</v>
      </c>
      <c r="H458" s="71">
        <f t="shared" ref="H458:H511" si="41">IF(E458="x",IF(D458&lt;&gt;"x",1,0),0)</f>
        <v>0</v>
      </c>
      <c r="I458" s="71">
        <f t="shared" ref="I458:I511" si="42">IF(E458="x",0,IF(D458&lt;&gt;"x",1,0))</f>
        <v>1</v>
      </c>
      <c r="J458" s="71">
        <f t="shared" ref="J458:J511" si="43">IF(E458="x",IF(D458&lt;&gt;"x",0,1),0)</f>
        <v>0</v>
      </c>
      <c r="K458" s="16"/>
      <c r="L458" s="16"/>
      <c r="M458" s="17"/>
    </row>
    <row r="459" spans="1:13" ht="26.1" customHeight="1" x14ac:dyDescent="0.15">
      <c r="A459" s="22"/>
      <c r="B459" s="14" t="s">
        <v>45</v>
      </c>
      <c r="C459" s="34" t="s">
        <v>534</v>
      </c>
      <c r="D459" s="38"/>
      <c r="E459" s="38"/>
      <c r="F459" s="15" t="str">
        <f t="shared" si="39"/>
        <v/>
      </c>
      <c r="G459" s="71">
        <f t="shared" si="40"/>
        <v>0</v>
      </c>
      <c r="H459" s="71">
        <f t="shared" si="41"/>
        <v>0</v>
      </c>
      <c r="I459" s="71">
        <f t="shared" si="42"/>
        <v>1</v>
      </c>
      <c r="J459" s="71">
        <f t="shared" si="43"/>
        <v>0</v>
      </c>
      <c r="K459" s="16"/>
      <c r="L459" s="16"/>
      <c r="M459" s="17"/>
    </row>
    <row r="460" spans="1:13" ht="26.1" customHeight="1" x14ac:dyDescent="0.15">
      <c r="A460" s="22"/>
      <c r="B460" s="14" t="s">
        <v>46</v>
      </c>
      <c r="C460" s="34" t="s">
        <v>535</v>
      </c>
      <c r="D460" s="38"/>
      <c r="E460" s="38"/>
      <c r="F460" s="15" t="str">
        <f t="shared" si="39"/>
        <v/>
      </c>
      <c r="G460" s="71">
        <f t="shared" si="40"/>
        <v>0</v>
      </c>
      <c r="H460" s="71">
        <f t="shared" si="41"/>
        <v>0</v>
      </c>
      <c r="I460" s="71">
        <f t="shared" si="42"/>
        <v>1</v>
      </c>
      <c r="J460" s="71">
        <f t="shared" si="43"/>
        <v>0</v>
      </c>
      <c r="K460" s="16"/>
      <c r="L460" s="16"/>
      <c r="M460" s="17"/>
    </row>
    <row r="461" spans="1:13" ht="26.1" customHeight="1" x14ac:dyDescent="0.15">
      <c r="A461" s="22"/>
      <c r="B461" s="20" t="s">
        <v>1</v>
      </c>
      <c r="C461" s="35" t="s">
        <v>536</v>
      </c>
      <c r="D461" s="39"/>
      <c r="E461" s="39"/>
      <c r="F461" s="15" t="str">
        <f t="shared" si="39"/>
        <v/>
      </c>
      <c r="G461" s="71">
        <f t="shared" si="40"/>
        <v>0</v>
      </c>
      <c r="H461" s="71">
        <f t="shared" si="41"/>
        <v>0</v>
      </c>
      <c r="I461" s="71">
        <f t="shared" si="42"/>
        <v>1</v>
      </c>
      <c r="J461" s="71">
        <f t="shared" si="43"/>
        <v>0</v>
      </c>
      <c r="K461" s="16"/>
      <c r="L461" s="16"/>
      <c r="M461" s="17"/>
    </row>
    <row r="462" spans="1:13" ht="26.1" customHeight="1" x14ac:dyDescent="0.15">
      <c r="A462" s="22"/>
      <c r="B462" s="20" t="s">
        <v>2</v>
      </c>
      <c r="C462" s="35" t="s">
        <v>537</v>
      </c>
      <c r="D462" s="39"/>
      <c r="E462" s="39"/>
      <c r="F462" s="15" t="str">
        <f t="shared" si="39"/>
        <v/>
      </c>
      <c r="G462" s="71">
        <f t="shared" si="40"/>
        <v>0</v>
      </c>
      <c r="H462" s="71">
        <f t="shared" si="41"/>
        <v>0</v>
      </c>
      <c r="I462" s="71">
        <f t="shared" si="42"/>
        <v>1</v>
      </c>
      <c r="J462" s="71">
        <f t="shared" si="43"/>
        <v>0</v>
      </c>
      <c r="K462" s="16"/>
      <c r="L462" s="16"/>
      <c r="M462" s="17"/>
    </row>
    <row r="463" spans="1:13" ht="26.1" customHeight="1" x14ac:dyDescent="0.15">
      <c r="A463" s="22"/>
      <c r="B463" s="20" t="s">
        <v>47</v>
      </c>
      <c r="C463" s="35" t="s">
        <v>538</v>
      </c>
      <c r="D463" s="39"/>
      <c r="E463" s="39"/>
      <c r="F463" s="15" t="str">
        <f t="shared" si="39"/>
        <v/>
      </c>
      <c r="G463" s="71">
        <f t="shared" si="40"/>
        <v>0</v>
      </c>
      <c r="H463" s="71">
        <f t="shared" si="41"/>
        <v>0</v>
      </c>
      <c r="I463" s="71">
        <f t="shared" si="42"/>
        <v>1</v>
      </c>
      <c r="J463" s="71">
        <f t="shared" si="43"/>
        <v>0</v>
      </c>
      <c r="K463" s="16"/>
      <c r="L463" s="16"/>
      <c r="M463" s="17"/>
    </row>
    <row r="464" spans="1:13" ht="26.1" customHeight="1" x14ac:dyDescent="0.15">
      <c r="A464" s="22"/>
      <c r="B464" s="14" t="s">
        <v>5</v>
      </c>
      <c r="C464" s="34" t="s">
        <v>539</v>
      </c>
      <c r="D464" s="38"/>
      <c r="E464" s="38"/>
      <c r="F464" s="15" t="str">
        <f t="shared" si="39"/>
        <v/>
      </c>
      <c r="G464" s="71">
        <f t="shared" si="40"/>
        <v>0</v>
      </c>
      <c r="H464" s="71">
        <f t="shared" si="41"/>
        <v>0</v>
      </c>
      <c r="I464" s="71">
        <f t="shared" si="42"/>
        <v>1</v>
      </c>
      <c r="J464" s="71">
        <f t="shared" si="43"/>
        <v>0</v>
      </c>
      <c r="K464" s="16"/>
      <c r="L464" s="16"/>
      <c r="M464" s="17"/>
    </row>
    <row r="465" spans="1:13" ht="26.1" customHeight="1" x14ac:dyDescent="0.15">
      <c r="A465" s="22"/>
      <c r="B465" s="14" t="s">
        <v>51</v>
      </c>
      <c r="C465" s="34" t="s">
        <v>368</v>
      </c>
      <c r="D465" s="38"/>
      <c r="E465" s="38"/>
      <c r="F465" s="15" t="str">
        <f t="shared" si="39"/>
        <v/>
      </c>
      <c r="G465" s="71">
        <f t="shared" si="40"/>
        <v>0</v>
      </c>
      <c r="H465" s="71">
        <f t="shared" si="41"/>
        <v>0</v>
      </c>
      <c r="I465" s="71">
        <f t="shared" si="42"/>
        <v>1</v>
      </c>
      <c r="J465" s="71">
        <f t="shared" si="43"/>
        <v>0</v>
      </c>
      <c r="K465" s="16"/>
      <c r="L465" s="16"/>
      <c r="M465" s="17"/>
    </row>
    <row r="466" spans="1:13" ht="26.1" customHeight="1" x14ac:dyDescent="0.15">
      <c r="A466" s="22"/>
      <c r="B466" s="14" t="s">
        <v>52</v>
      </c>
      <c r="C466" s="34" t="s">
        <v>540</v>
      </c>
      <c r="D466" s="38"/>
      <c r="E466" s="38"/>
      <c r="F466" s="15" t="str">
        <f t="shared" si="39"/>
        <v/>
      </c>
      <c r="G466" s="71">
        <f t="shared" si="40"/>
        <v>0</v>
      </c>
      <c r="H466" s="71">
        <f t="shared" si="41"/>
        <v>0</v>
      </c>
      <c r="I466" s="71">
        <f t="shared" si="42"/>
        <v>1</v>
      </c>
      <c r="J466" s="71">
        <f t="shared" si="43"/>
        <v>0</v>
      </c>
      <c r="K466" s="16"/>
      <c r="L466" s="16"/>
      <c r="M466" s="17"/>
    </row>
    <row r="467" spans="1:13" ht="26.1" customHeight="1" x14ac:dyDescent="0.15">
      <c r="A467" s="22"/>
      <c r="B467" s="20" t="s">
        <v>48</v>
      </c>
      <c r="C467" s="35" t="s">
        <v>541</v>
      </c>
      <c r="D467" s="39"/>
      <c r="E467" s="39"/>
      <c r="F467" s="15" t="str">
        <f t="shared" si="39"/>
        <v/>
      </c>
      <c r="G467" s="71">
        <f t="shared" si="40"/>
        <v>0</v>
      </c>
      <c r="H467" s="71">
        <f t="shared" si="41"/>
        <v>0</v>
      </c>
      <c r="I467" s="71">
        <f t="shared" si="42"/>
        <v>1</v>
      </c>
      <c r="J467" s="71">
        <f t="shared" si="43"/>
        <v>0</v>
      </c>
      <c r="K467" s="16"/>
      <c r="L467" s="16"/>
      <c r="M467" s="17"/>
    </row>
    <row r="468" spans="1:13" ht="26.1" customHeight="1" x14ac:dyDescent="0.15">
      <c r="A468" s="22"/>
      <c r="B468" s="20" t="s">
        <v>49</v>
      </c>
      <c r="C468" s="35" t="s">
        <v>542</v>
      </c>
      <c r="D468" s="39"/>
      <c r="E468" s="39"/>
      <c r="F468" s="15" t="str">
        <f t="shared" si="39"/>
        <v/>
      </c>
      <c r="G468" s="71">
        <f t="shared" si="40"/>
        <v>0</v>
      </c>
      <c r="H468" s="71">
        <f t="shared" si="41"/>
        <v>0</v>
      </c>
      <c r="I468" s="71">
        <f t="shared" si="42"/>
        <v>1</v>
      </c>
      <c r="J468" s="71">
        <f t="shared" si="43"/>
        <v>0</v>
      </c>
      <c r="K468" s="16"/>
      <c r="L468" s="16"/>
      <c r="M468" s="17"/>
    </row>
    <row r="469" spans="1:13" ht="26.1" customHeight="1" x14ac:dyDescent="0.15">
      <c r="A469" s="23"/>
      <c r="B469" s="20" t="s">
        <v>50</v>
      </c>
      <c r="C469" s="35" t="s">
        <v>543</v>
      </c>
      <c r="D469" s="39"/>
      <c r="E469" s="39"/>
      <c r="F469" s="15" t="str">
        <f t="shared" si="39"/>
        <v/>
      </c>
      <c r="G469" s="71">
        <f t="shared" si="40"/>
        <v>0</v>
      </c>
      <c r="H469" s="71">
        <f t="shared" si="41"/>
        <v>0</v>
      </c>
      <c r="I469" s="71">
        <f t="shared" si="42"/>
        <v>1</v>
      </c>
      <c r="J469" s="71">
        <f t="shared" si="43"/>
        <v>0</v>
      </c>
      <c r="K469" s="16"/>
      <c r="L469" s="16"/>
      <c r="M469" s="17"/>
    </row>
    <row r="470" spans="1:13" ht="26.1" customHeight="1" x14ac:dyDescent="0.15">
      <c r="A470" s="56">
        <v>12</v>
      </c>
      <c r="B470" s="24" t="s">
        <v>41</v>
      </c>
      <c r="C470" s="36" t="s">
        <v>243</v>
      </c>
      <c r="D470" s="40"/>
      <c r="E470" s="40"/>
      <c r="F470" s="15" t="str">
        <f t="shared" si="39"/>
        <v/>
      </c>
      <c r="G470" s="71">
        <f t="shared" si="40"/>
        <v>0</v>
      </c>
      <c r="H470" s="71">
        <f t="shared" si="41"/>
        <v>0</v>
      </c>
      <c r="I470" s="71">
        <f t="shared" si="42"/>
        <v>1</v>
      </c>
      <c r="J470" s="71">
        <f t="shared" si="43"/>
        <v>0</v>
      </c>
      <c r="K470" s="16"/>
      <c r="L470" s="16"/>
      <c r="M470" s="17"/>
    </row>
    <row r="471" spans="1:13" ht="26.1" customHeight="1" x14ac:dyDescent="0.15">
      <c r="A471" s="22"/>
      <c r="B471" s="24" t="s">
        <v>42</v>
      </c>
      <c r="C471" s="36" t="s">
        <v>544</v>
      </c>
      <c r="D471" s="40"/>
      <c r="E471" s="40"/>
      <c r="F471" s="15" t="str">
        <f t="shared" si="39"/>
        <v/>
      </c>
      <c r="G471" s="71">
        <f t="shared" si="40"/>
        <v>0</v>
      </c>
      <c r="H471" s="71">
        <f t="shared" si="41"/>
        <v>0</v>
      </c>
      <c r="I471" s="71">
        <f t="shared" si="42"/>
        <v>1</v>
      </c>
      <c r="J471" s="71">
        <f t="shared" si="43"/>
        <v>0</v>
      </c>
      <c r="K471" s="16"/>
      <c r="L471" s="16"/>
      <c r="M471" s="17"/>
    </row>
    <row r="472" spans="1:13" ht="26.1" customHeight="1" x14ac:dyDescent="0.15">
      <c r="A472" s="22"/>
      <c r="B472" s="24" t="s">
        <v>43</v>
      </c>
      <c r="C472" s="36" t="s">
        <v>545</v>
      </c>
      <c r="D472" s="40"/>
      <c r="E472" s="40"/>
      <c r="F472" s="15" t="str">
        <f t="shared" si="39"/>
        <v/>
      </c>
      <c r="G472" s="71">
        <f t="shared" si="40"/>
        <v>0</v>
      </c>
      <c r="H472" s="71">
        <f t="shared" si="41"/>
        <v>0</v>
      </c>
      <c r="I472" s="71">
        <f t="shared" si="42"/>
        <v>1</v>
      </c>
      <c r="J472" s="71">
        <f t="shared" si="43"/>
        <v>0</v>
      </c>
      <c r="K472" s="16"/>
      <c r="L472" s="16"/>
      <c r="M472" s="17"/>
    </row>
    <row r="473" spans="1:13" ht="26.1" customHeight="1" x14ac:dyDescent="0.15">
      <c r="A473" s="22"/>
      <c r="B473" s="25" t="s">
        <v>3</v>
      </c>
      <c r="C473" s="37" t="s">
        <v>546</v>
      </c>
      <c r="D473" s="41"/>
      <c r="E473" s="41"/>
      <c r="F473" s="15" t="str">
        <f t="shared" si="39"/>
        <v/>
      </c>
      <c r="G473" s="71">
        <f t="shared" si="40"/>
        <v>0</v>
      </c>
      <c r="H473" s="71">
        <f t="shared" si="41"/>
        <v>0</v>
      </c>
      <c r="I473" s="71">
        <f t="shared" si="42"/>
        <v>1</v>
      </c>
      <c r="J473" s="71">
        <f t="shared" si="43"/>
        <v>0</v>
      </c>
      <c r="K473" s="16"/>
      <c r="L473" s="16"/>
      <c r="M473" s="17"/>
    </row>
    <row r="474" spans="1:13" ht="26.1" customHeight="1" x14ac:dyDescent="0.15">
      <c r="A474" s="22"/>
      <c r="B474" s="25" t="s">
        <v>6</v>
      </c>
      <c r="C474" s="37" t="s">
        <v>547</v>
      </c>
      <c r="D474" s="41"/>
      <c r="E474" s="41"/>
      <c r="F474" s="15" t="str">
        <f t="shared" si="39"/>
        <v/>
      </c>
      <c r="G474" s="71">
        <f t="shared" si="40"/>
        <v>0</v>
      </c>
      <c r="H474" s="71">
        <f t="shared" si="41"/>
        <v>0</v>
      </c>
      <c r="I474" s="71">
        <f t="shared" si="42"/>
        <v>1</v>
      </c>
      <c r="J474" s="71">
        <f t="shared" si="43"/>
        <v>0</v>
      </c>
      <c r="K474" s="16"/>
      <c r="L474" s="16"/>
      <c r="M474" s="17"/>
    </row>
    <row r="475" spans="1:13" ht="26.1" customHeight="1" x14ac:dyDescent="0.15">
      <c r="A475" s="22"/>
      <c r="B475" s="25" t="s">
        <v>0</v>
      </c>
      <c r="C475" s="37" t="s">
        <v>548</v>
      </c>
      <c r="D475" s="41"/>
      <c r="E475" s="41"/>
      <c r="F475" s="15" t="str">
        <f t="shared" si="39"/>
        <v/>
      </c>
      <c r="G475" s="71">
        <f t="shared" si="40"/>
        <v>0</v>
      </c>
      <c r="H475" s="71">
        <f t="shared" si="41"/>
        <v>0</v>
      </c>
      <c r="I475" s="71">
        <f t="shared" si="42"/>
        <v>1</v>
      </c>
      <c r="J475" s="71">
        <f t="shared" si="43"/>
        <v>0</v>
      </c>
      <c r="K475" s="16"/>
      <c r="L475" s="16"/>
      <c r="M475" s="17"/>
    </row>
    <row r="476" spans="1:13" ht="26.1" customHeight="1" x14ac:dyDescent="0.15">
      <c r="A476" s="22"/>
      <c r="B476" s="24" t="s">
        <v>44</v>
      </c>
      <c r="C476" s="36" t="s">
        <v>549</v>
      </c>
      <c r="D476" s="40"/>
      <c r="E476" s="40"/>
      <c r="F476" s="15" t="str">
        <f t="shared" si="39"/>
        <v/>
      </c>
      <c r="G476" s="71">
        <f t="shared" si="40"/>
        <v>0</v>
      </c>
      <c r="H476" s="71">
        <f t="shared" si="41"/>
        <v>0</v>
      </c>
      <c r="I476" s="71">
        <f t="shared" si="42"/>
        <v>1</v>
      </c>
      <c r="J476" s="71">
        <f t="shared" si="43"/>
        <v>0</v>
      </c>
      <c r="K476" s="16"/>
      <c r="L476" s="16"/>
      <c r="M476" s="17"/>
    </row>
    <row r="477" spans="1:13" ht="26.1" customHeight="1" x14ac:dyDescent="0.15">
      <c r="A477" s="22"/>
      <c r="B477" s="24" t="s">
        <v>45</v>
      </c>
      <c r="C477" s="36" t="s">
        <v>550</v>
      </c>
      <c r="D477" s="40"/>
      <c r="E477" s="40"/>
      <c r="F477" s="15" t="str">
        <f t="shared" si="39"/>
        <v/>
      </c>
      <c r="G477" s="71">
        <f t="shared" si="40"/>
        <v>0</v>
      </c>
      <c r="H477" s="71">
        <f t="shared" si="41"/>
        <v>0</v>
      </c>
      <c r="I477" s="71">
        <f t="shared" si="42"/>
        <v>1</v>
      </c>
      <c r="J477" s="71">
        <f t="shared" si="43"/>
        <v>0</v>
      </c>
      <c r="K477" s="16"/>
      <c r="L477" s="16"/>
      <c r="M477" s="17"/>
    </row>
    <row r="478" spans="1:13" ht="26.1" customHeight="1" x14ac:dyDescent="0.15">
      <c r="A478" s="22"/>
      <c r="B478" s="24" t="s">
        <v>46</v>
      </c>
      <c r="C478" s="36" t="s">
        <v>551</v>
      </c>
      <c r="D478" s="40"/>
      <c r="E478" s="40"/>
      <c r="F478" s="15" t="str">
        <f t="shared" si="39"/>
        <v/>
      </c>
      <c r="G478" s="71">
        <f t="shared" si="40"/>
        <v>0</v>
      </c>
      <c r="H478" s="71">
        <f t="shared" si="41"/>
        <v>0</v>
      </c>
      <c r="I478" s="71">
        <f t="shared" si="42"/>
        <v>1</v>
      </c>
      <c r="J478" s="71">
        <f t="shared" si="43"/>
        <v>0</v>
      </c>
      <c r="K478" s="16"/>
      <c r="L478" s="16"/>
      <c r="M478" s="17"/>
    </row>
    <row r="479" spans="1:13" ht="26.1" customHeight="1" x14ac:dyDescent="0.15">
      <c r="A479" s="22"/>
      <c r="B479" s="25" t="s">
        <v>1</v>
      </c>
      <c r="C479" s="37" t="s">
        <v>552</v>
      </c>
      <c r="D479" s="41"/>
      <c r="E479" s="41"/>
      <c r="F479" s="15" t="str">
        <f t="shared" si="39"/>
        <v/>
      </c>
      <c r="G479" s="71">
        <f t="shared" si="40"/>
        <v>0</v>
      </c>
      <c r="H479" s="71">
        <f t="shared" si="41"/>
        <v>0</v>
      </c>
      <c r="I479" s="71">
        <f t="shared" si="42"/>
        <v>1</v>
      </c>
      <c r="J479" s="71">
        <f t="shared" si="43"/>
        <v>0</v>
      </c>
      <c r="K479" s="16"/>
      <c r="L479" s="16"/>
      <c r="M479" s="17"/>
    </row>
    <row r="480" spans="1:13" ht="26.1" customHeight="1" x14ac:dyDescent="0.15">
      <c r="A480" s="22"/>
      <c r="B480" s="25" t="s">
        <v>2</v>
      </c>
      <c r="C480" s="37" t="s">
        <v>553</v>
      </c>
      <c r="D480" s="41"/>
      <c r="E480" s="41"/>
      <c r="F480" s="15" t="str">
        <f t="shared" si="39"/>
        <v/>
      </c>
      <c r="G480" s="71">
        <f t="shared" si="40"/>
        <v>0</v>
      </c>
      <c r="H480" s="71">
        <f t="shared" si="41"/>
        <v>0</v>
      </c>
      <c r="I480" s="71">
        <f t="shared" si="42"/>
        <v>1</v>
      </c>
      <c r="J480" s="71">
        <f t="shared" si="43"/>
        <v>0</v>
      </c>
      <c r="K480" s="16"/>
      <c r="L480" s="16"/>
      <c r="M480" s="17"/>
    </row>
    <row r="481" spans="1:13" ht="26.1" customHeight="1" x14ac:dyDescent="0.15">
      <c r="A481" s="22"/>
      <c r="B481" s="25" t="s">
        <v>47</v>
      </c>
      <c r="C481" s="37" t="s">
        <v>554</v>
      </c>
      <c r="D481" s="41"/>
      <c r="E481" s="41"/>
      <c r="F481" s="15" t="str">
        <f t="shared" si="39"/>
        <v/>
      </c>
      <c r="G481" s="71">
        <f t="shared" si="40"/>
        <v>0</v>
      </c>
      <c r="H481" s="71">
        <f t="shared" si="41"/>
        <v>0</v>
      </c>
      <c r="I481" s="71">
        <f t="shared" si="42"/>
        <v>1</v>
      </c>
      <c r="J481" s="71">
        <f t="shared" si="43"/>
        <v>0</v>
      </c>
      <c r="K481" s="16"/>
      <c r="L481" s="16"/>
      <c r="M481" s="17"/>
    </row>
    <row r="482" spans="1:13" ht="26.1" customHeight="1" x14ac:dyDescent="0.15">
      <c r="A482" s="22"/>
      <c r="B482" s="24" t="s">
        <v>5</v>
      </c>
      <c r="C482" s="36" t="s">
        <v>555</v>
      </c>
      <c r="D482" s="40"/>
      <c r="E482" s="40"/>
      <c r="F482" s="15" t="str">
        <f t="shared" si="39"/>
        <v/>
      </c>
      <c r="G482" s="71">
        <f t="shared" si="40"/>
        <v>0</v>
      </c>
      <c r="H482" s="71">
        <f t="shared" si="41"/>
        <v>0</v>
      </c>
      <c r="I482" s="71">
        <f t="shared" si="42"/>
        <v>1</v>
      </c>
      <c r="J482" s="71">
        <f t="shared" si="43"/>
        <v>0</v>
      </c>
      <c r="K482" s="16"/>
      <c r="L482" s="16"/>
      <c r="M482" s="17"/>
    </row>
    <row r="483" spans="1:13" ht="26.1" customHeight="1" x14ac:dyDescent="0.15">
      <c r="A483" s="22"/>
      <c r="B483" s="24" t="s">
        <v>51</v>
      </c>
      <c r="C483" s="36" t="s">
        <v>463</v>
      </c>
      <c r="D483" s="40"/>
      <c r="E483" s="40"/>
      <c r="F483" s="15" t="str">
        <f t="shared" si="39"/>
        <v/>
      </c>
      <c r="G483" s="71">
        <f t="shared" si="40"/>
        <v>0</v>
      </c>
      <c r="H483" s="71">
        <f t="shared" si="41"/>
        <v>0</v>
      </c>
      <c r="I483" s="71">
        <f t="shared" si="42"/>
        <v>1</v>
      </c>
      <c r="J483" s="71">
        <f t="shared" si="43"/>
        <v>0</v>
      </c>
      <c r="K483" s="16"/>
      <c r="L483" s="16"/>
      <c r="M483" s="17"/>
    </row>
    <row r="484" spans="1:13" ht="26.1" customHeight="1" x14ac:dyDescent="0.15">
      <c r="A484" s="22"/>
      <c r="B484" s="24" t="s">
        <v>52</v>
      </c>
      <c r="C484" s="36" t="s">
        <v>556</v>
      </c>
      <c r="D484" s="40"/>
      <c r="E484" s="40"/>
      <c r="F484" s="15" t="str">
        <f t="shared" si="39"/>
        <v/>
      </c>
      <c r="G484" s="71">
        <f t="shared" si="40"/>
        <v>0</v>
      </c>
      <c r="H484" s="71">
        <f t="shared" si="41"/>
        <v>0</v>
      </c>
      <c r="I484" s="71">
        <f t="shared" si="42"/>
        <v>1</v>
      </c>
      <c r="J484" s="71">
        <f t="shared" si="43"/>
        <v>0</v>
      </c>
      <c r="K484" s="16"/>
      <c r="L484" s="16"/>
      <c r="M484" s="17"/>
    </row>
    <row r="485" spans="1:13" ht="26.1" customHeight="1" x14ac:dyDescent="0.15">
      <c r="A485" s="22"/>
      <c r="B485" s="25" t="s">
        <v>48</v>
      </c>
      <c r="C485" s="37" t="s">
        <v>557</v>
      </c>
      <c r="D485" s="41"/>
      <c r="E485" s="41"/>
      <c r="F485" s="15" t="str">
        <f t="shared" si="39"/>
        <v/>
      </c>
      <c r="G485" s="71">
        <f t="shared" si="40"/>
        <v>0</v>
      </c>
      <c r="H485" s="71">
        <f t="shared" si="41"/>
        <v>0</v>
      </c>
      <c r="I485" s="71">
        <f t="shared" si="42"/>
        <v>1</v>
      </c>
      <c r="J485" s="71">
        <f t="shared" si="43"/>
        <v>0</v>
      </c>
      <c r="K485" s="16"/>
      <c r="L485" s="16"/>
      <c r="M485" s="17"/>
    </row>
    <row r="486" spans="1:13" ht="26.1" customHeight="1" x14ac:dyDescent="0.15">
      <c r="A486" s="22"/>
      <c r="B486" s="25" t="s">
        <v>49</v>
      </c>
      <c r="C486" s="37" t="s">
        <v>558</v>
      </c>
      <c r="D486" s="41"/>
      <c r="E486" s="41"/>
      <c r="F486" s="15" t="str">
        <f t="shared" si="39"/>
        <v/>
      </c>
      <c r="G486" s="71">
        <f t="shared" si="40"/>
        <v>0</v>
      </c>
      <c r="H486" s="71">
        <f t="shared" si="41"/>
        <v>0</v>
      </c>
      <c r="I486" s="71">
        <f t="shared" si="42"/>
        <v>1</v>
      </c>
      <c r="J486" s="71">
        <f t="shared" si="43"/>
        <v>0</v>
      </c>
      <c r="K486" s="16"/>
      <c r="L486" s="16"/>
      <c r="M486" s="17"/>
    </row>
    <row r="487" spans="1:13" ht="26.1" customHeight="1" x14ac:dyDescent="0.15">
      <c r="A487" s="22"/>
      <c r="B487" s="25" t="s">
        <v>50</v>
      </c>
      <c r="C487" s="37" t="s">
        <v>559</v>
      </c>
      <c r="D487" s="41"/>
      <c r="E487" s="41"/>
      <c r="F487" s="15" t="str">
        <f t="shared" si="39"/>
        <v/>
      </c>
      <c r="G487" s="71">
        <f t="shared" si="40"/>
        <v>0</v>
      </c>
      <c r="H487" s="71">
        <f t="shared" si="41"/>
        <v>0</v>
      </c>
      <c r="I487" s="71">
        <f t="shared" si="42"/>
        <v>1</v>
      </c>
      <c r="J487" s="71">
        <f t="shared" si="43"/>
        <v>0</v>
      </c>
      <c r="K487" s="16"/>
      <c r="L487" s="16"/>
      <c r="M487" s="17"/>
    </row>
    <row r="488" spans="1:13" ht="26.1" customHeight="1" x14ac:dyDescent="0.15">
      <c r="A488" s="22"/>
      <c r="B488" s="24" t="s">
        <v>53</v>
      </c>
      <c r="C488" s="36" t="s">
        <v>560</v>
      </c>
      <c r="D488" s="63"/>
      <c r="E488" s="40"/>
      <c r="F488" s="15" t="str">
        <f t="shared" si="39"/>
        <v/>
      </c>
      <c r="G488" s="71">
        <f t="shared" si="40"/>
        <v>0</v>
      </c>
      <c r="H488" s="71">
        <f t="shared" si="41"/>
        <v>0</v>
      </c>
      <c r="I488" s="71">
        <f t="shared" si="42"/>
        <v>1</v>
      </c>
      <c r="J488" s="71">
        <f t="shared" si="43"/>
        <v>0</v>
      </c>
      <c r="K488" s="16"/>
      <c r="L488" s="16"/>
      <c r="M488" s="17"/>
    </row>
    <row r="489" spans="1:13" ht="26.1" customHeight="1" x14ac:dyDescent="0.15">
      <c r="A489" s="22"/>
      <c r="B489" s="24" t="s">
        <v>4</v>
      </c>
      <c r="C489" s="36" t="s">
        <v>561</v>
      </c>
      <c r="D489" s="40"/>
      <c r="E489" s="40"/>
      <c r="F489" s="15" t="str">
        <f t="shared" si="39"/>
        <v/>
      </c>
      <c r="G489" s="71">
        <f t="shared" si="40"/>
        <v>0</v>
      </c>
      <c r="H489" s="71">
        <f t="shared" si="41"/>
        <v>0</v>
      </c>
      <c r="I489" s="71">
        <f t="shared" si="42"/>
        <v>1</v>
      </c>
      <c r="J489" s="71">
        <f t="shared" si="43"/>
        <v>0</v>
      </c>
      <c r="K489" s="16"/>
      <c r="L489" s="16"/>
      <c r="M489" s="17"/>
    </row>
    <row r="490" spans="1:13" ht="26.1" customHeight="1" x14ac:dyDescent="0.15">
      <c r="A490" s="22"/>
      <c r="B490" s="24" t="s">
        <v>54</v>
      </c>
      <c r="C490" s="36" t="s">
        <v>462</v>
      </c>
      <c r="D490" s="63"/>
      <c r="E490" s="40"/>
      <c r="F490" s="15" t="str">
        <f t="shared" si="39"/>
        <v/>
      </c>
      <c r="G490" s="71">
        <f t="shared" si="40"/>
        <v>0</v>
      </c>
      <c r="H490" s="71">
        <f t="shared" si="41"/>
        <v>0</v>
      </c>
      <c r="I490" s="71">
        <f t="shared" si="42"/>
        <v>1</v>
      </c>
      <c r="J490" s="71">
        <f t="shared" si="43"/>
        <v>0</v>
      </c>
      <c r="K490" s="16"/>
      <c r="L490" s="16"/>
      <c r="M490" s="17"/>
    </row>
    <row r="491" spans="1:13" ht="26.1" customHeight="1" x14ac:dyDescent="0.15">
      <c r="A491" s="22"/>
      <c r="B491" s="25" t="s">
        <v>55</v>
      </c>
      <c r="C491" s="37" t="s">
        <v>562</v>
      </c>
      <c r="D491" s="41"/>
      <c r="E491" s="41"/>
      <c r="F491" s="15" t="str">
        <f t="shared" si="39"/>
        <v/>
      </c>
      <c r="G491" s="71">
        <f t="shared" si="40"/>
        <v>0</v>
      </c>
      <c r="H491" s="71">
        <f t="shared" si="41"/>
        <v>0</v>
      </c>
      <c r="I491" s="71">
        <f t="shared" si="42"/>
        <v>1</v>
      </c>
      <c r="J491" s="71">
        <f t="shared" si="43"/>
        <v>0</v>
      </c>
      <c r="K491" s="16"/>
      <c r="L491" s="16"/>
      <c r="M491" s="17"/>
    </row>
    <row r="492" spans="1:13" ht="26.1" customHeight="1" x14ac:dyDescent="0.15">
      <c r="A492" s="22"/>
      <c r="B492" s="25" t="s">
        <v>56</v>
      </c>
      <c r="C492" s="37" t="s">
        <v>563</v>
      </c>
      <c r="D492" s="41"/>
      <c r="E492" s="41"/>
      <c r="F492" s="15" t="str">
        <f t="shared" si="39"/>
        <v/>
      </c>
      <c r="G492" s="71">
        <f t="shared" si="40"/>
        <v>0</v>
      </c>
      <c r="H492" s="71">
        <f t="shared" si="41"/>
        <v>0</v>
      </c>
      <c r="I492" s="71">
        <f t="shared" si="42"/>
        <v>1</v>
      </c>
      <c r="J492" s="71">
        <f t="shared" si="43"/>
        <v>0</v>
      </c>
      <c r="K492" s="16"/>
      <c r="L492" s="16"/>
      <c r="M492" s="17"/>
    </row>
    <row r="493" spans="1:13" ht="26.1" customHeight="1" x14ac:dyDescent="0.15">
      <c r="A493" s="22"/>
      <c r="B493" s="25" t="s">
        <v>57</v>
      </c>
      <c r="C493" s="37" t="s">
        <v>230</v>
      </c>
      <c r="D493" s="41"/>
      <c r="E493" s="41"/>
      <c r="F493" s="15" t="str">
        <f t="shared" si="39"/>
        <v/>
      </c>
      <c r="G493" s="71">
        <f t="shared" si="40"/>
        <v>0</v>
      </c>
      <c r="H493" s="71">
        <f t="shared" si="41"/>
        <v>0</v>
      </c>
      <c r="I493" s="71">
        <f t="shared" si="42"/>
        <v>1</v>
      </c>
      <c r="J493" s="71">
        <f t="shared" si="43"/>
        <v>0</v>
      </c>
      <c r="K493" s="16"/>
      <c r="L493" s="16"/>
      <c r="M493" s="17"/>
    </row>
    <row r="494" spans="1:13" ht="26.1" customHeight="1" x14ac:dyDescent="0.15">
      <c r="A494" s="22"/>
      <c r="B494" s="24" t="s">
        <v>19</v>
      </c>
      <c r="C494" s="36" t="s">
        <v>564</v>
      </c>
      <c r="D494" s="40"/>
      <c r="E494" s="40"/>
      <c r="F494" s="15" t="str">
        <f t="shared" si="39"/>
        <v/>
      </c>
      <c r="G494" s="71">
        <f t="shared" si="40"/>
        <v>0</v>
      </c>
      <c r="H494" s="71">
        <f t="shared" si="41"/>
        <v>0</v>
      </c>
      <c r="I494" s="71">
        <f t="shared" si="42"/>
        <v>1</v>
      </c>
      <c r="J494" s="71">
        <f t="shared" si="43"/>
        <v>0</v>
      </c>
      <c r="K494" s="16"/>
      <c r="L494" s="16"/>
      <c r="M494" s="17"/>
    </row>
    <row r="495" spans="1:13" ht="26.1" customHeight="1" x14ac:dyDescent="0.15">
      <c r="A495" s="22"/>
      <c r="B495" s="24" t="s">
        <v>20</v>
      </c>
      <c r="C495" s="36" t="s">
        <v>565</v>
      </c>
      <c r="D495" s="40"/>
      <c r="E495" s="40"/>
      <c r="F495" s="15" t="str">
        <f t="shared" si="39"/>
        <v/>
      </c>
      <c r="G495" s="71">
        <f t="shared" si="40"/>
        <v>0</v>
      </c>
      <c r="H495" s="71">
        <f t="shared" si="41"/>
        <v>0</v>
      </c>
      <c r="I495" s="71">
        <f t="shared" si="42"/>
        <v>1</v>
      </c>
      <c r="J495" s="71">
        <f t="shared" si="43"/>
        <v>0</v>
      </c>
      <c r="K495" s="16"/>
      <c r="L495" s="16"/>
      <c r="M495" s="17"/>
    </row>
    <row r="496" spans="1:13" ht="26.1" customHeight="1" x14ac:dyDescent="0.15">
      <c r="A496" s="22"/>
      <c r="B496" s="24" t="s">
        <v>21</v>
      </c>
      <c r="C496" s="36" t="s">
        <v>566</v>
      </c>
      <c r="D496" s="40"/>
      <c r="E496" s="40"/>
      <c r="F496" s="15" t="str">
        <f t="shared" si="39"/>
        <v/>
      </c>
      <c r="G496" s="71">
        <f t="shared" si="40"/>
        <v>0</v>
      </c>
      <c r="H496" s="71">
        <f t="shared" si="41"/>
        <v>0</v>
      </c>
      <c r="I496" s="71">
        <f t="shared" si="42"/>
        <v>1</v>
      </c>
      <c r="J496" s="71">
        <f t="shared" si="43"/>
        <v>0</v>
      </c>
      <c r="K496" s="16"/>
      <c r="L496" s="16"/>
      <c r="M496" s="17"/>
    </row>
    <row r="497" spans="1:13" ht="26.1" customHeight="1" x14ac:dyDescent="0.15">
      <c r="A497" s="22"/>
      <c r="B497" s="25" t="s">
        <v>22</v>
      </c>
      <c r="C497" s="37" t="s">
        <v>567</v>
      </c>
      <c r="D497" s="41"/>
      <c r="E497" s="41"/>
      <c r="F497" s="15" t="str">
        <f t="shared" si="39"/>
        <v/>
      </c>
      <c r="G497" s="71">
        <f t="shared" si="40"/>
        <v>0</v>
      </c>
      <c r="H497" s="71">
        <f t="shared" si="41"/>
        <v>0</v>
      </c>
      <c r="I497" s="71">
        <f t="shared" si="42"/>
        <v>1</v>
      </c>
      <c r="J497" s="71">
        <f t="shared" si="43"/>
        <v>0</v>
      </c>
      <c r="K497" s="16"/>
      <c r="L497" s="16"/>
      <c r="M497" s="17"/>
    </row>
    <row r="498" spans="1:13" ht="26.1" customHeight="1" x14ac:dyDescent="0.15">
      <c r="A498" s="22"/>
      <c r="B498" s="25" t="s">
        <v>23</v>
      </c>
      <c r="C498" s="37" t="s">
        <v>339</v>
      </c>
      <c r="D498" s="41"/>
      <c r="E498" s="41"/>
      <c r="F498" s="15" t="str">
        <f t="shared" si="39"/>
        <v/>
      </c>
      <c r="G498" s="71">
        <f t="shared" si="40"/>
        <v>0</v>
      </c>
      <c r="H498" s="71">
        <f t="shared" si="41"/>
        <v>0</v>
      </c>
      <c r="I498" s="71">
        <f t="shared" si="42"/>
        <v>1</v>
      </c>
      <c r="J498" s="71">
        <f t="shared" si="43"/>
        <v>0</v>
      </c>
      <c r="K498" s="16"/>
      <c r="L498" s="16"/>
      <c r="M498" s="17"/>
    </row>
    <row r="499" spans="1:13" ht="26.1" customHeight="1" x14ac:dyDescent="0.15">
      <c r="A499" s="22"/>
      <c r="B499" s="25" t="s">
        <v>24</v>
      </c>
      <c r="C499" s="37" t="s">
        <v>568</v>
      </c>
      <c r="D499" s="41"/>
      <c r="E499" s="41"/>
      <c r="F499" s="15" t="str">
        <f t="shared" si="39"/>
        <v/>
      </c>
      <c r="G499" s="71">
        <f t="shared" si="40"/>
        <v>0</v>
      </c>
      <c r="H499" s="71">
        <f t="shared" si="41"/>
        <v>0</v>
      </c>
      <c r="I499" s="71">
        <f t="shared" si="42"/>
        <v>1</v>
      </c>
      <c r="J499" s="71">
        <f t="shared" si="43"/>
        <v>0</v>
      </c>
      <c r="K499" s="16"/>
      <c r="L499" s="16"/>
      <c r="M499" s="17"/>
    </row>
    <row r="500" spans="1:13" ht="26.1" customHeight="1" x14ac:dyDescent="0.15">
      <c r="A500" s="22"/>
      <c r="B500" s="24" t="s">
        <v>25</v>
      </c>
      <c r="C500" s="36" t="s">
        <v>468</v>
      </c>
      <c r="D500" s="40"/>
      <c r="E500" s="40"/>
      <c r="F500" s="15" t="str">
        <f t="shared" si="39"/>
        <v/>
      </c>
      <c r="G500" s="71">
        <f t="shared" si="40"/>
        <v>0</v>
      </c>
      <c r="H500" s="71">
        <f t="shared" si="41"/>
        <v>0</v>
      </c>
      <c r="I500" s="71">
        <f t="shared" si="42"/>
        <v>1</v>
      </c>
      <c r="J500" s="71">
        <f t="shared" si="43"/>
        <v>0</v>
      </c>
      <c r="K500" s="16"/>
      <c r="L500" s="16"/>
      <c r="M500" s="17"/>
    </row>
    <row r="501" spans="1:13" ht="26.1" customHeight="1" x14ac:dyDescent="0.15">
      <c r="A501" s="22"/>
      <c r="B501" s="24" t="s">
        <v>26</v>
      </c>
      <c r="C501" s="36" t="s">
        <v>569</v>
      </c>
      <c r="D501" s="40"/>
      <c r="E501" s="40"/>
      <c r="F501" s="15" t="str">
        <f t="shared" si="39"/>
        <v/>
      </c>
      <c r="G501" s="71">
        <f t="shared" si="40"/>
        <v>0</v>
      </c>
      <c r="H501" s="71">
        <f t="shared" si="41"/>
        <v>0</v>
      </c>
      <c r="I501" s="71">
        <f t="shared" si="42"/>
        <v>1</v>
      </c>
      <c r="J501" s="71">
        <f t="shared" si="43"/>
        <v>0</v>
      </c>
      <c r="K501" s="16"/>
      <c r="L501" s="16"/>
      <c r="M501" s="17"/>
    </row>
    <row r="502" spans="1:13" ht="26.1" customHeight="1" x14ac:dyDescent="0.15">
      <c r="A502" s="22"/>
      <c r="B502" s="24" t="s">
        <v>58</v>
      </c>
      <c r="C502" s="36" t="s">
        <v>570</v>
      </c>
      <c r="D502" s="40"/>
      <c r="E502" s="40"/>
      <c r="F502" s="15" t="str">
        <f t="shared" si="39"/>
        <v/>
      </c>
      <c r="G502" s="71">
        <f t="shared" si="40"/>
        <v>0</v>
      </c>
      <c r="H502" s="71">
        <f t="shared" si="41"/>
        <v>0</v>
      </c>
      <c r="I502" s="71">
        <f t="shared" si="42"/>
        <v>1</v>
      </c>
      <c r="J502" s="71">
        <f t="shared" si="43"/>
        <v>0</v>
      </c>
      <c r="K502" s="16"/>
      <c r="L502" s="16"/>
      <c r="M502" s="17"/>
    </row>
    <row r="503" spans="1:13" ht="26.1" customHeight="1" x14ac:dyDescent="0.15">
      <c r="A503" s="22"/>
      <c r="B503" s="25" t="s">
        <v>27</v>
      </c>
      <c r="C503" s="37" t="s">
        <v>571</v>
      </c>
      <c r="D503" s="41"/>
      <c r="E503" s="62"/>
      <c r="F503" s="15" t="str">
        <f t="shared" si="39"/>
        <v/>
      </c>
      <c r="G503" s="71">
        <f t="shared" si="40"/>
        <v>0</v>
      </c>
      <c r="H503" s="71">
        <f t="shared" si="41"/>
        <v>0</v>
      </c>
      <c r="I503" s="71">
        <f t="shared" si="42"/>
        <v>1</v>
      </c>
      <c r="J503" s="71">
        <f t="shared" si="43"/>
        <v>0</v>
      </c>
      <c r="K503" s="16"/>
      <c r="L503" s="16"/>
      <c r="M503" s="17"/>
    </row>
    <row r="504" spans="1:13" ht="26.1" customHeight="1" x14ac:dyDescent="0.15">
      <c r="A504" s="22"/>
      <c r="B504" s="25" t="s">
        <v>28</v>
      </c>
      <c r="C504" s="37" t="s">
        <v>572</v>
      </c>
      <c r="D504" s="62"/>
      <c r="E504" s="41"/>
      <c r="F504" s="15" t="str">
        <f t="shared" si="39"/>
        <v/>
      </c>
      <c r="G504" s="71">
        <f t="shared" si="40"/>
        <v>0</v>
      </c>
      <c r="H504" s="71">
        <f t="shared" si="41"/>
        <v>0</v>
      </c>
      <c r="I504" s="71">
        <f t="shared" si="42"/>
        <v>1</v>
      </c>
      <c r="J504" s="71">
        <f t="shared" si="43"/>
        <v>0</v>
      </c>
      <c r="K504" s="16"/>
      <c r="L504" s="16"/>
      <c r="M504" s="17"/>
    </row>
    <row r="505" spans="1:13" ht="26.1" customHeight="1" x14ac:dyDescent="0.15">
      <c r="A505" s="22"/>
      <c r="B505" s="25" t="s">
        <v>29</v>
      </c>
      <c r="C505" s="37" t="s">
        <v>573</v>
      </c>
      <c r="D505" s="62"/>
      <c r="E505" s="41"/>
      <c r="F505" s="15" t="str">
        <f t="shared" si="39"/>
        <v/>
      </c>
      <c r="G505" s="71">
        <f t="shared" si="40"/>
        <v>0</v>
      </c>
      <c r="H505" s="71">
        <f t="shared" si="41"/>
        <v>0</v>
      </c>
      <c r="I505" s="71">
        <f t="shared" si="42"/>
        <v>1</v>
      </c>
      <c r="J505" s="71">
        <f t="shared" si="43"/>
        <v>0</v>
      </c>
      <c r="K505" s="16"/>
      <c r="L505" s="16"/>
      <c r="M505" s="17"/>
    </row>
    <row r="506" spans="1:13" ht="26.1" customHeight="1" x14ac:dyDescent="0.15">
      <c r="A506" s="22"/>
      <c r="B506" s="24" t="s">
        <v>30</v>
      </c>
      <c r="C506" s="36" t="s">
        <v>574</v>
      </c>
      <c r="D506" s="40"/>
      <c r="E506" s="40"/>
      <c r="F506" s="15" t="str">
        <f t="shared" si="39"/>
        <v/>
      </c>
      <c r="G506" s="71">
        <f t="shared" si="40"/>
        <v>0</v>
      </c>
      <c r="H506" s="71">
        <f t="shared" si="41"/>
        <v>0</v>
      </c>
      <c r="I506" s="71">
        <f t="shared" si="42"/>
        <v>1</v>
      </c>
      <c r="J506" s="71">
        <f t="shared" si="43"/>
        <v>0</v>
      </c>
      <c r="K506" s="16"/>
      <c r="L506" s="16"/>
      <c r="M506" s="17"/>
    </row>
    <row r="507" spans="1:13" ht="26.1" customHeight="1" x14ac:dyDescent="0.15">
      <c r="A507" s="22"/>
      <c r="B507" s="24" t="s">
        <v>31</v>
      </c>
      <c r="C507" s="36" t="s">
        <v>575</v>
      </c>
      <c r="D507" s="40"/>
      <c r="E507" s="40"/>
      <c r="F507" s="15" t="str">
        <f t="shared" si="39"/>
        <v/>
      </c>
      <c r="G507" s="71">
        <f t="shared" si="40"/>
        <v>0</v>
      </c>
      <c r="H507" s="71">
        <f t="shared" si="41"/>
        <v>0</v>
      </c>
      <c r="I507" s="71">
        <f t="shared" si="42"/>
        <v>1</v>
      </c>
      <c r="J507" s="71">
        <f t="shared" si="43"/>
        <v>0</v>
      </c>
      <c r="K507" s="16"/>
      <c r="L507" s="16"/>
      <c r="M507" s="17"/>
    </row>
    <row r="508" spans="1:13" ht="26.1" customHeight="1" x14ac:dyDescent="0.15">
      <c r="A508" s="22"/>
      <c r="B508" s="24" t="s">
        <v>32</v>
      </c>
      <c r="C508" s="36" t="s">
        <v>576</v>
      </c>
      <c r="D508" s="40"/>
      <c r="E508" s="40"/>
      <c r="F508" s="15" t="str">
        <f t="shared" si="39"/>
        <v/>
      </c>
      <c r="G508" s="71">
        <f t="shared" si="40"/>
        <v>0</v>
      </c>
      <c r="H508" s="71">
        <f t="shared" si="41"/>
        <v>0</v>
      </c>
      <c r="I508" s="71">
        <f t="shared" si="42"/>
        <v>1</v>
      </c>
      <c r="J508" s="71">
        <f t="shared" si="43"/>
        <v>0</v>
      </c>
      <c r="K508" s="16"/>
      <c r="L508" s="16"/>
      <c r="M508" s="17"/>
    </row>
    <row r="509" spans="1:13" ht="26.1" customHeight="1" x14ac:dyDescent="0.15">
      <c r="A509" s="22"/>
      <c r="B509" s="25" t="s">
        <v>33</v>
      </c>
      <c r="C509" s="37" t="s">
        <v>577</v>
      </c>
      <c r="D509" s="41"/>
      <c r="E509" s="41"/>
      <c r="F509" s="15" t="str">
        <f t="shared" si="39"/>
        <v/>
      </c>
      <c r="G509" s="71">
        <f t="shared" si="40"/>
        <v>0</v>
      </c>
      <c r="H509" s="71">
        <f t="shared" si="41"/>
        <v>0</v>
      </c>
      <c r="I509" s="71">
        <f t="shared" si="42"/>
        <v>1</v>
      </c>
      <c r="J509" s="71">
        <f t="shared" si="43"/>
        <v>0</v>
      </c>
      <c r="K509" s="16"/>
      <c r="L509" s="16"/>
      <c r="M509" s="17"/>
    </row>
    <row r="510" spans="1:13" ht="26.1" customHeight="1" x14ac:dyDescent="0.15">
      <c r="A510" s="22"/>
      <c r="B510" s="25" t="s">
        <v>34</v>
      </c>
      <c r="C510" s="37" t="s">
        <v>578</v>
      </c>
      <c r="D510" s="41"/>
      <c r="E510" s="41"/>
      <c r="F510" s="15" t="str">
        <f t="shared" si="39"/>
        <v/>
      </c>
      <c r="G510" s="71">
        <f t="shared" si="40"/>
        <v>0</v>
      </c>
      <c r="H510" s="71">
        <f t="shared" si="41"/>
        <v>0</v>
      </c>
      <c r="I510" s="71">
        <f t="shared" si="42"/>
        <v>1</v>
      </c>
      <c r="J510" s="71">
        <f t="shared" si="43"/>
        <v>0</v>
      </c>
      <c r="K510" s="16"/>
      <c r="L510" s="16"/>
      <c r="M510" s="17"/>
    </row>
    <row r="511" spans="1:13" ht="26.1" customHeight="1" x14ac:dyDescent="0.15">
      <c r="A511" s="23"/>
      <c r="B511" s="25" t="s">
        <v>35</v>
      </c>
      <c r="C511" s="37" t="s">
        <v>579</v>
      </c>
      <c r="D511" s="41"/>
      <c r="E511" s="41"/>
      <c r="F511" s="15" t="str">
        <f t="shared" si="39"/>
        <v/>
      </c>
      <c r="G511" s="71">
        <f t="shared" si="40"/>
        <v>0</v>
      </c>
      <c r="H511" s="71">
        <f t="shared" si="41"/>
        <v>0</v>
      </c>
      <c r="I511" s="71">
        <f t="shared" si="42"/>
        <v>1</v>
      </c>
      <c r="J511" s="71">
        <f t="shared" si="43"/>
        <v>0</v>
      </c>
      <c r="K511" s="16"/>
      <c r="L511" s="16"/>
      <c r="M511" s="17"/>
    </row>
    <row r="512" spans="1:13" ht="25.9" customHeight="1" x14ac:dyDescent="0.15">
      <c r="M512" s="17"/>
    </row>
    <row r="513" spans="13:13" ht="25.9" customHeight="1" x14ac:dyDescent="0.15">
      <c r="M513" s="17"/>
    </row>
    <row r="514" spans="13:13" ht="25.9" customHeight="1" x14ac:dyDescent="0.15">
      <c r="M514" s="17"/>
    </row>
    <row r="515" spans="13:13" ht="25.9" customHeight="1" x14ac:dyDescent="0.15">
      <c r="M515" s="17"/>
    </row>
    <row r="516" spans="13:13" ht="25.9" customHeight="1" x14ac:dyDescent="0.15">
      <c r="M516" s="17"/>
    </row>
    <row r="517" spans="13:13" ht="25.9" customHeight="1" x14ac:dyDescent="0.15">
      <c r="M517" s="17"/>
    </row>
    <row r="518" spans="13:13" ht="25.9" customHeight="1" x14ac:dyDescent="0.15">
      <c r="M518" s="17"/>
    </row>
    <row r="519" spans="13:13" ht="25.9" customHeight="1" x14ac:dyDescent="0.15">
      <c r="M519" s="17"/>
    </row>
    <row r="520" spans="13:13" ht="25.9" customHeight="1" x14ac:dyDescent="0.15">
      <c r="M520" s="17"/>
    </row>
    <row r="521" spans="13:13" ht="25.9" customHeight="1" x14ac:dyDescent="0.15">
      <c r="M521" s="17"/>
    </row>
    <row r="522" spans="13:13" ht="25.9" customHeight="1" x14ac:dyDescent="0.15">
      <c r="M522" s="17"/>
    </row>
    <row r="523" spans="13:13" ht="25.9" customHeight="1" x14ac:dyDescent="0.15">
      <c r="M523" s="17"/>
    </row>
    <row r="524" spans="13:13" ht="25.9" customHeight="1" x14ac:dyDescent="0.15">
      <c r="M524" s="17"/>
    </row>
    <row r="525" spans="13:13" ht="25.9" customHeight="1" x14ac:dyDescent="0.15">
      <c r="M525" s="17"/>
    </row>
    <row r="526" spans="13:13" ht="25.9" customHeight="1" x14ac:dyDescent="0.15">
      <c r="M526" s="17"/>
    </row>
    <row r="527" spans="13:13" ht="25.9" customHeight="1" x14ac:dyDescent="0.15">
      <c r="M527" s="17"/>
    </row>
    <row r="528" spans="13:13" ht="25.9" customHeight="1" x14ac:dyDescent="0.15">
      <c r="M528" s="17"/>
    </row>
    <row r="529" spans="13:13" ht="25.9" customHeight="1" x14ac:dyDescent="0.15">
      <c r="M529" s="17"/>
    </row>
    <row r="530" spans="13:13" ht="25.9" customHeight="1" x14ac:dyDescent="0.15">
      <c r="M530" s="17"/>
    </row>
    <row r="531" spans="13:13" ht="25.9" customHeight="1" x14ac:dyDescent="0.15">
      <c r="M531" s="17"/>
    </row>
    <row r="532" spans="13:13" ht="25.9" customHeight="1" x14ac:dyDescent="0.15">
      <c r="M532" s="17"/>
    </row>
    <row r="533" spans="13:13" ht="25.9" customHeight="1" x14ac:dyDescent="0.15">
      <c r="M533" s="17"/>
    </row>
    <row r="534" spans="13:13" ht="25.9" customHeight="1" x14ac:dyDescent="0.15">
      <c r="M534" s="17"/>
    </row>
    <row r="535" spans="13:13" ht="25.9" customHeight="1" x14ac:dyDescent="0.15">
      <c r="M535" s="17"/>
    </row>
    <row r="536" spans="13:13" ht="25.9" customHeight="1" x14ac:dyDescent="0.15">
      <c r="M536" s="17"/>
    </row>
    <row r="537" spans="13:13" ht="25.9" customHeight="1" x14ac:dyDescent="0.15">
      <c r="M537" s="17"/>
    </row>
    <row r="538" spans="13:13" ht="25.9" customHeight="1" x14ac:dyDescent="0.15">
      <c r="M538" s="17"/>
    </row>
    <row r="539" spans="13:13" ht="25.9" customHeight="1" x14ac:dyDescent="0.15">
      <c r="M539" s="17"/>
    </row>
    <row r="540" spans="13:13" ht="25.9" customHeight="1" x14ac:dyDescent="0.15">
      <c r="M540" s="17"/>
    </row>
    <row r="541" spans="13:13" ht="25.9" customHeight="1" x14ac:dyDescent="0.15">
      <c r="M541" s="17"/>
    </row>
    <row r="542" spans="13:13" ht="25.9" customHeight="1" x14ac:dyDescent="0.15">
      <c r="M542" s="17"/>
    </row>
    <row r="543" spans="13:13" ht="25.9" customHeight="1" x14ac:dyDescent="0.15">
      <c r="M543" s="17"/>
    </row>
    <row r="544" spans="13:13" ht="25.9" customHeight="1" x14ac:dyDescent="0.15">
      <c r="M544" s="17"/>
    </row>
    <row r="545" spans="13:13" ht="25.9" customHeight="1" x14ac:dyDescent="0.15">
      <c r="M545" s="17"/>
    </row>
    <row r="546" spans="13:13" ht="25.9" customHeight="1" x14ac:dyDescent="0.15">
      <c r="M546" s="17"/>
    </row>
    <row r="547" spans="13:13" ht="25.9" customHeight="1" x14ac:dyDescent="0.15">
      <c r="M547" s="17"/>
    </row>
    <row r="548" spans="13:13" ht="25.9" customHeight="1" x14ac:dyDescent="0.15">
      <c r="M548" s="17"/>
    </row>
    <row r="549" spans="13:13" ht="25.9" customHeight="1" x14ac:dyDescent="0.15">
      <c r="M549" s="17"/>
    </row>
    <row r="550" spans="13:13" ht="25.9" customHeight="1" x14ac:dyDescent="0.15">
      <c r="M550" s="17"/>
    </row>
    <row r="551" spans="13:13" ht="25.9" customHeight="1" x14ac:dyDescent="0.15">
      <c r="M551" s="17"/>
    </row>
    <row r="552" spans="13:13" ht="25.9" customHeight="1" x14ac:dyDescent="0.15">
      <c r="M552" s="17"/>
    </row>
    <row r="553" spans="13:13" ht="25.9" customHeight="1" x14ac:dyDescent="0.15">
      <c r="M553" s="17"/>
    </row>
    <row r="554" spans="13:13" ht="25.9" customHeight="1" x14ac:dyDescent="0.15">
      <c r="M554" s="17"/>
    </row>
    <row r="555" spans="13:13" ht="25.9" customHeight="1" x14ac:dyDescent="0.15">
      <c r="M555" s="17"/>
    </row>
    <row r="556" spans="13:13" ht="25.9" customHeight="1" x14ac:dyDescent="0.15">
      <c r="M556" s="17"/>
    </row>
    <row r="557" spans="13:13" ht="25.9" customHeight="1" x14ac:dyDescent="0.15">
      <c r="M557" s="17"/>
    </row>
    <row r="558" spans="13:13" ht="25.9" customHeight="1" x14ac:dyDescent="0.15">
      <c r="M558" s="17"/>
    </row>
    <row r="559" spans="13:13" ht="25.9" customHeight="1" x14ac:dyDescent="0.15">
      <c r="M559" s="17"/>
    </row>
    <row r="560" spans="13:13" ht="25.9" customHeight="1" x14ac:dyDescent="0.15">
      <c r="M560" s="17"/>
    </row>
    <row r="561" spans="13:13" ht="25.9" customHeight="1" x14ac:dyDescent="0.15">
      <c r="M561" s="17"/>
    </row>
    <row r="562" spans="13:13" ht="25.9" customHeight="1" x14ac:dyDescent="0.15">
      <c r="M562" s="17"/>
    </row>
    <row r="563" spans="13:13" ht="25.9" customHeight="1" x14ac:dyDescent="0.15">
      <c r="M563" s="17"/>
    </row>
    <row r="564" spans="13:13" ht="25.9" customHeight="1" x14ac:dyDescent="0.15">
      <c r="M564" s="17"/>
    </row>
    <row r="565" spans="13:13" ht="25.9" customHeight="1" x14ac:dyDescent="0.15">
      <c r="M565" s="17"/>
    </row>
    <row r="566" spans="13:13" ht="25.9" customHeight="1" x14ac:dyDescent="0.15">
      <c r="M566" s="17"/>
    </row>
    <row r="567" spans="13:13" ht="25.9" customHeight="1" x14ac:dyDescent="0.15">
      <c r="M567" s="17"/>
    </row>
    <row r="568" spans="13:13" ht="25.9" customHeight="1" x14ac:dyDescent="0.15">
      <c r="M568" s="17"/>
    </row>
    <row r="569" spans="13:13" ht="25.9" customHeight="1" x14ac:dyDescent="0.15">
      <c r="M569" s="17"/>
    </row>
    <row r="570" spans="13:13" ht="25.9" customHeight="1" x14ac:dyDescent="0.15">
      <c r="M570" s="17"/>
    </row>
    <row r="571" spans="13:13" ht="25.9" customHeight="1" x14ac:dyDescent="0.15">
      <c r="M571" s="17"/>
    </row>
    <row r="572" spans="13:13" ht="25.9" customHeight="1" x14ac:dyDescent="0.15">
      <c r="M572" s="17"/>
    </row>
    <row r="573" spans="13:13" ht="25.9" customHeight="1" x14ac:dyDescent="0.15">
      <c r="M573" s="17"/>
    </row>
  </sheetData>
  <sheetProtection password="BD0F" sheet="1" selectLockedCells="1"/>
  <mergeCells count="2">
    <mergeCell ref="A1:F1"/>
    <mergeCell ref="C5:E5"/>
  </mergeCells>
  <conditionalFormatting sqref="D8:E511">
    <cfRule type="cellIs" dxfId="2" priority="8" stopIfTrue="1" operator="equal">
      <formula>"x"</formula>
    </cfRule>
    <cfRule type="cellIs" dxfId="1" priority="9" stopIfTrue="1" operator="notEqual">
      <formula>"x"</formula>
    </cfRule>
  </conditionalFormatting>
  <conditionalFormatting sqref="F8:F511">
    <cfRule type="cellIs" dxfId="0" priority="10" stopIfTrue="1" operator="equal">
      <formula>"ERROR"</formula>
    </cfRule>
  </conditionalFormatting>
  <pageMargins left="0.75" right="0.75" top="1" bottom="1" header="0" footer="0"/>
  <pageSetup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2</xdr:col>
                    <xdr:colOff>2209800</xdr:colOff>
                    <xdr:row>2</xdr:row>
                    <xdr:rowOff>9525</xdr:rowOff>
                  </from>
                  <to>
                    <xdr:col>2</xdr:col>
                    <xdr:colOff>3486150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Label 3">
              <controlPr defaultSize="0" autoFill="0" autoLine="0" autoPict="0">
                <anchor moveWithCells="1" sizeWithCells="1">
                  <from>
                    <xdr:col>2</xdr:col>
                    <xdr:colOff>1514475</xdr:colOff>
                    <xdr:row>2</xdr:row>
                    <xdr:rowOff>19050</xdr:rowOff>
                  </from>
                  <to>
                    <xdr:col>2</xdr:col>
                    <xdr:colOff>2162175</xdr:colOff>
                    <xdr:row>5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2:AK106"/>
  <sheetViews>
    <sheetView showGridLines="0" showRowColHeaders="0" zoomScaleNormal="100" workbookViewId="0">
      <selection activeCell="C7" sqref="C7"/>
    </sheetView>
  </sheetViews>
  <sheetFormatPr defaultColWidth="11.4609375" defaultRowHeight="12.75" x14ac:dyDescent="0.15"/>
  <cols>
    <col min="1" max="1" width="3.91015625" customWidth="1"/>
    <col min="2" max="2" width="28.5859375" customWidth="1"/>
    <col min="3" max="3" width="10.24609375" customWidth="1"/>
    <col min="4" max="4" width="8.76171875" customWidth="1"/>
    <col min="5" max="5" width="63.91796875" bestFit="1" customWidth="1"/>
    <col min="6" max="6" width="7.953125" customWidth="1"/>
    <col min="7" max="7" width="10.78515625" customWidth="1"/>
    <col min="11" max="11" width="30.74609375" customWidth="1"/>
    <col min="14" max="14" width="0" hidden="1" customWidth="1"/>
    <col min="15" max="36" width="5.66015625" hidden="1" customWidth="1"/>
    <col min="37" max="37" width="5.66015625" customWidth="1"/>
  </cols>
  <sheetData>
    <row r="2" spans="1:37" ht="15" customHeight="1" x14ac:dyDescent="0.15">
      <c r="B2" s="45" t="s">
        <v>75</v>
      </c>
      <c r="D2" s="46" t="s">
        <v>77</v>
      </c>
      <c r="E2" s="43"/>
      <c r="F2" s="44"/>
    </row>
    <row r="3" spans="1:37" ht="15.6" customHeight="1" x14ac:dyDescent="0.15">
      <c r="B3" s="45" t="s">
        <v>76</v>
      </c>
      <c r="D3" s="46" t="s">
        <v>77</v>
      </c>
      <c r="E3" s="43"/>
      <c r="F3" s="27"/>
      <c r="O3" s="76" t="s">
        <v>59</v>
      </c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30"/>
    </row>
    <row r="4" spans="1:37" ht="15.6" customHeight="1" x14ac:dyDescent="0.15">
      <c r="B4" s="45" t="s">
        <v>16</v>
      </c>
      <c r="D4" s="47" t="s">
        <v>77</v>
      </c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</row>
    <row r="5" spans="1:37" ht="13.5" thickBot="1" x14ac:dyDescent="0.2">
      <c r="O5" s="64"/>
      <c r="P5" s="76" t="s">
        <v>7</v>
      </c>
      <c r="Q5" s="77"/>
      <c r="R5" s="77"/>
      <c r="S5" s="77"/>
      <c r="T5" s="77"/>
      <c r="U5" s="77"/>
      <c r="V5" s="77"/>
      <c r="W5" s="77"/>
      <c r="X5" s="77"/>
      <c r="Y5" s="77"/>
      <c r="Z5" s="64"/>
      <c r="AA5" s="76" t="s">
        <v>8</v>
      </c>
      <c r="AB5" s="77"/>
      <c r="AC5" s="77"/>
      <c r="AD5" s="77"/>
      <c r="AE5" s="77"/>
      <c r="AF5" s="77"/>
      <c r="AG5" s="77"/>
      <c r="AH5" s="77"/>
      <c r="AI5" s="77"/>
      <c r="AJ5" s="77"/>
    </row>
    <row r="6" spans="1:37" s="2" customFormat="1" ht="25.9" customHeight="1" thickBot="1" x14ac:dyDescent="0.2">
      <c r="B6" s="48" t="s">
        <v>78</v>
      </c>
      <c r="C6" s="4" t="s">
        <v>17</v>
      </c>
      <c r="D6" s="42" t="s">
        <v>15</v>
      </c>
      <c r="E6" s="53" t="s">
        <v>90</v>
      </c>
      <c r="N6" s="54">
        <f>Test!L7</f>
        <v>1</v>
      </c>
      <c r="O6" s="65" t="s">
        <v>12</v>
      </c>
      <c r="P6" s="66" t="s">
        <v>60</v>
      </c>
      <c r="Q6" s="66" t="s">
        <v>61</v>
      </c>
      <c r="R6" s="66" t="s">
        <v>62</v>
      </c>
      <c r="S6" s="66" t="s">
        <v>63</v>
      </c>
      <c r="T6" s="66" t="s">
        <v>64</v>
      </c>
      <c r="U6" s="66" t="s">
        <v>65</v>
      </c>
      <c r="V6" s="66" t="s">
        <v>66</v>
      </c>
      <c r="W6" s="66" t="s">
        <v>67</v>
      </c>
      <c r="X6" s="66" t="s">
        <v>68</v>
      </c>
      <c r="Y6" s="66" t="s">
        <v>69</v>
      </c>
      <c r="Z6" s="66" t="s">
        <v>13</v>
      </c>
      <c r="AA6" s="66" t="s">
        <v>60</v>
      </c>
      <c r="AB6" s="66" t="s">
        <v>61</v>
      </c>
      <c r="AC6" s="66" t="s">
        <v>62</v>
      </c>
      <c r="AD6" s="66" t="s">
        <v>63</v>
      </c>
      <c r="AE6" s="66" t="s">
        <v>64</v>
      </c>
      <c r="AF6" s="66" t="s">
        <v>65</v>
      </c>
      <c r="AG6" s="66" t="s">
        <v>66</v>
      </c>
      <c r="AH6" s="66" t="s">
        <v>67</v>
      </c>
      <c r="AI6" s="66" t="s">
        <v>68</v>
      </c>
      <c r="AJ6" s="66" t="s">
        <v>69</v>
      </c>
    </row>
    <row r="7" spans="1:37" ht="31.5" customHeight="1" x14ac:dyDescent="0.15">
      <c r="A7" s="49" t="s">
        <v>4</v>
      </c>
      <c r="B7" s="5" t="s">
        <v>79</v>
      </c>
      <c r="C7" s="57">
        <f>+Test!G9+Test!H10+Test!G14+Test!H15+Test!G71+Test!H72+Test!G73+Test!H104+Test!G106+Test!H122+Test!G123+Test!G124+Test!H155+Test!G156+Test!G157+Test!H186+Test!H187+Test!H188+Test!G189+Test!G190+Test!G212+Test!G214+Test!H221+Test!H222+Test!G223+Test!H263+Test!H265+Test!G287+Test!G289+Test!H317+Test!H318+Test!G319+Test!G335+Test!H336+Test!H337+Test!G356+Test!H357+Test!H358+Test!G365+Test!G366+Test!H367+Test!H377+Test!H378+Test!G379+Test!G386+Test!G387+Test!G431+Test!H432+Test!H440+Test!G441+Test!H449+Test!G450+Test!G451+Test!H465+Test!G466+Test!G476+Test!G477+Test!G491+Test!H492+Test!G493+Test!G503+Test!H504+Test!H505</f>
        <v>0</v>
      </c>
      <c r="D7" s="58">
        <f>C7</f>
        <v>0</v>
      </c>
      <c r="E7" s="61" t="str">
        <f>IF(D7&lt;=37,"Kurang valid dikarenakan testee kurang bersungguh-sungguh, atau karena jawaban testee kurang konsisten.",IF(D7&lt;=44,"Valid","Kurang valid dikarenakan testee tidak mengerti atau tidak mengikuti petunjuk tes yang berlaku."))</f>
        <v>Kurang valid dikarenakan testee kurang bersungguh-sungguh, atau karena jawaban testee kurang konsisten.</v>
      </c>
      <c r="O7" s="67">
        <v>0</v>
      </c>
      <c r="P7" s="68">
        <v>0</v>
      </c>
      <c r="Q7" s="68">
        <v>0</v>
      </c>
      <c r="R7" s="68">
        <v>0</v>
      </c>
      <c r="S7" s="68">
        <v>0</v>
      </c>
      <c r="T7" s="68">
        <v>0</v>
      </c>
      <c r="U7" s="68">
        <v>0</v>
      </c>
      <c r="V7" s="68">
        <v>0</v>
      </c>
      <c r="W7" s="68">
        <v>0</v>
      </c>
      <c r="X7" s="68">
        <v>0</v>
      </c>
      <c r="Y7" s="68">
        <v>0</v>
      </c>
      <c r="Z7" s="67">
        <v>0</v>
      </c>
      <c r="AA7" s="68">
        <v>0</v>
      </c>
      <c r="AB7" s="68">
        <v>0</v>
      </c>
      <c r="AC7" s="68">
        <v>0</v>
      </c>
      <c r="AD7" s="68">
        <v>0</v>
      </c>
      <c r="AE7" s="68">
        <v>0</v>
      </c>
      <c r="AF7" s="68">
        <v>0</v>
      </c>
      <c r="AG7" s="68">
        <v>0</v>
      </c>
      <c r="AH7" s="68">
        <v>0</v>
      </c>
      <c r="AI7" s="68">
        <v>0</v>
      </c>
      <c r="AJ7" s="68">
        <v>0</v>
      </c>
    </row>
    <row r="8" spans="1:37" ht="15.75" customHeight="1" x14ac:dyDescent="0.15">
      <c r="A8" s="50">
        <v>0</v>
      </c>
      <c r="B8" s="6" t="s">
        <v>80</v>
      </c>
      <c r="C8" s="13">
        <f>+Test!H8+Test!G9+Test!G10+Test!H14+Test!H15+Test!G16+Test!H17+Test!G18+Test!H19+Test!H23+Test!G24+Test!G25+Test!H29+Test!H30+Test!G31+Test!G50+Test!H51+Test!G52+Test!H53+Test!G54+Test!H55+Test!H56+Test!G57+Test!H58+Test!H59+Test!G60+Test!G61+Test!H62+Test!H63+Test!G64+Test!H65+Test!G66+Test!H67+Test!H95+Test!H96+Test!G97+Test!H98+Test!G99+Test!H100+Test!H101+Test!G102+Test!G103+Test!G104+Test!H105+Test!G106+Test!H137+Test!G138+Test!H139+Test!H149+Test!H150+Test!G151+Test!H164+Test!H165+Test!G166+Test!H185+Test!H186+Test!G187+Test!H191+Test!G192+Test!G193+Test!G222+Test!H227+Test!H228+Test!G229+Test!G230+Test!H231+Test!H232+Test!G233+Test!G234+Test!H235+Test!H260+Test!G261+Test!H262+Test!G263+Test!G264+Test!H265+Test!H269+Test!G270+Test!H271+Test!H302+Test!H303+Test!G304+Test!H320+Test!G321+Test!G322+Test!H347+Test!H386+Test!G387+Test!H388+Test!H398+Test!H399+Test!G400+Test!H404+Test!G405+Test!G406+Test!H428+Test!G429+Test!G430+Test!H431+Test!H432+Test!G433+Test!G434+Test!H435+Test!H436+Test!H437+Test!H438+Test!G439+Test!H473+Test!H474+Test!G475+Test!H476+Test!G477+Test!H478+Test!H479+Test!G480+Test!H481+Test!G482+Test!H483+Test!H484+Test!H488+Test!G489+Test!H490</f>
        <v>0</v>
      </c>
      <c r="D8" s="52">
        <f>IF($N$6=1,VLOOKUP(C8,$O$7:$Y$106,2),IF($N$6=2,VLOOKUP(C8,$Z$7:$AJ$106,2)))</f>
        <v>0</v>
      </c>
      <c r="E8" s="59" t="str">
        <f>IF(D8&lt;=24%,"Rendah",IF(D8&lt;=74%,"Cukup",IF(D8&lt;=100%,"Tinggi")))</f>
        <v>Rendah</v>
      </c>
      <c r="O8" s="67">
        <v>1</v>
      </c>
      <c r="P8" s="68">
        <v>0</v>
      </c>
      <c r="Q8" s="68">
        <v>0</v>
      </c>
      <c r="R8" s="68">
        <v>0</v>
      </c>
      <c r="S8" s="68">
        <v>0</v>
      </c>
      <c r="T8" s="68">
        <v>0</v>
      </c>
      <c r="U8" s="68">
        <v>0</v>
      </c>
      <c r="V8" s="68">
        <v>0</v>
      </c>
      <c r="W8" s="68">
        <v>0.01</v>
      </c>
      <c r="X8" s="68">
        <v>0</v>
      </c>
      <c r="Y8" s="68">
        <v>0</v>
      </c>
      <c r="Z8" s="67">
        <v>1</v>
      </c>
      <c r="AA8" s="68">
        <v>0</v>
      </c>
      <c r="AB8" s="68">
        <v>0</v>
      </c>
      <c r="AC8" s="68">
        <v>0</v>
      </c>
      <c r="AD8" s="68">
        <v>0</v>
      </c>
      <c r="AE8" s="68">
        <v>0</v>
      </c>
      <c r="AF8" s="68">
        <v>0</v>
      </c>
      <c r="AG8" s="68">
        <v>0</v>
      </c>
      <c r="AH8" s="68">
        <v>0</v>
      </c>
      <c r="AI8" s="68">
        <v>0</v>
      </c>
      <c r="AJ8" s="68">
        <v>0</v>
      </c>
    </row>
    <row r="9" spans="1:37" ht="15.75" customHeight="1" x14ac:dyDescent="0.15">
      <c r="A9" s="50">
        <v>1</v>
      </c>
      <c r="B9" s="6" t="s">
        <v>81</v>
      </c>
      <c r="C9" s="13">
        <f>+Test!H35+Test!H36+Test!G37+Test!H38+Test!H39+Test!G40+Test!H41+Test!H42+Test!G43+Test!G47+Test!H48+Test!H49+Test!H173+Test!G174+Test!H175+Test!H203+Test!H204+Test!G205+Test!H209+Test!G210+Test!H211+Test!G215+Test!H216+Test!H217+Test!H239+Test!G240+Test!H241+Test!G242+Test!H243+Test!H244+Test!G245+Test!H246+Test!H247+Test!G251+Test!H252+Test!H253+Test!H254+Test!G255+Test!H256+Test!G257+Test!H258+Test!H259+Test!H281+Test!H282+Test!G283+Test!H290+Test!H291+Test!G292+Test!H293+Test!G294+Test!H295+Test!H299+Test!H300+Test!G301+Test!G326+Test!H327+Test!H328+Test!H332+Test!H333+Test!G334+Test!H341+Test!G342+Test!H343+Test!G368+Test!H369+Test!H370+Test!G374+Test!H375+Test!H376+Test!H380+Test!G381+Test!H382+Test!H410+Test!H411+Test!G412+Test!H414+Test!G415+Test!H416+Test!G417+Test!H418+Test!H455+Test!G456+Test!H457+Test!G464+Test!H465+Test!H466+Test!G467+Test!H468+Test!H469+Test!H497+Test!H498+Test!G499+Test!G506+Test!H507+Test!H508+Test!G509+Test!H510+Test!H511</f>
        <v>0</v>
      </c>
      <c r="D9" s="52">
        <f>IF($N$6=1,VLOOKUP(C9,$O$7:$Y$106,3),IF($N$6=2,VLOOKUP(C9,$Z$7:$AJ$106,3)))</f>
        <v>0</v>
      </c>
      <c r="E9" s="59" t="str">
        <f t="shared" ref="E9:E17" si="0">IF(D9&lt;=24%,"Rendah",IF(D9&lt;=74%,"Cukup",IF(D9&lt;=100%,"Tinggi")))</f>
        <v>Rendah</v>
      </c>
      <c r="O9" s="67">
        <v>2</v>
      </c>
      <c r="P9" s="68">
        <v>0</v>
      </c>
      <c r="Q9" s="68">
        <v>0</v>
      </c>
      <c r="R9" s="68">
        <v>0</v>
      </c>
      <c r="S9" s="68">
        <v>0</v>
      </c>
      <c r="T9" s="68">
        <v>0</v>
      </c>
      <c r="U9" s="68">
        <v>0</v>
      </c>
      <c r="V9" s="68">
        <v>0</v>
      </c>
      <c r="W9" s="68">
        <v>0.03</v>
      </c>
      <c r="X9" s="68">
        <v>0</v>
      </c>
      <c r="Y9" s="68">
        <v>0</v>
      </c>
      <c r="Z9" s="67">
        <v>2</v>
      </c>
      <c r="AA9" s="68">
        <v>0</v>
      </c>
      <c r="AB9" s="68">
        <v>0</v>
      </c>
      <c r="AC9" s="68">
        <v>0</v>
      </c>
      <c r="AD9" s="68">
        <v>0</v>
      </c>
      <c r="AE9" s="68">
        <v>0</v>
      </c>
      <c r="AF9" s="68">
        <v>0</v>
      </c>
      <c r="AG9" s="68">
        <v>0</v>
      </c>
      <c r="AH9" s="68">
        <v>0.01</v>
      </c>
      <c r="AI9" s="68">
        <v>0</v>
      </c>
      <c r="AJ9" s="68">
        <v>0</v>
      </c>
    </row>
    <row r="10" spans="1:37" ht="15.75" customHeight="1" x14ac:dyDescent="0.15">
      <c r="A10" s="50">
        <v>2</v>
      </c>
      <c r="B10" s="6" t="s">
        <v>82</v>
      </c>
      <c r="C10" s="13">
        <f>+Test!H11+Test!G12+Test!H13+Test!H176+Test!H177+Test!G178+Test!G179+Test!H180+Test!H181+Test!G182+Test!H183+Test!H184+Test!H224+Test!G225+Test!H226+Test!G239+Test!H240+Test!H241+Test!H245+Test!G246+Test!G247+Test!G260+Test!H261+Test!H262+Test!H281+Test!G282+Test!H283+Test!G302+Test!H303+Test!H304+Test!G308+Test!H309+Test!H310+Test!H323+Test!H324+Test!G325+Test!H326+Test!G327+Test!H328+Test!H329+Test!G330+Test!H331+Test!H332+Test!H333+Test!G334+Test!G347+Test!H348+Test!H349+Test!H350+Test!G351+Test!H352+Test!H368+Test!G369+Test!H370+Test!H371+Test!G372+Test!H373+Test!H374+Test!H375+Test!G376+Test!G392+Test!H393+Test!H394+Test!H410+Test!G411+Test!H412+Test!H416+Test!H417+Test!G418+Test!G443+Test!H444+Test!H445+Test!H455+Test!H456+Test!G457+Test!G488+Test!H489+Test!H490+Test!G497+Test!H498+Test!H499</f>
        <v>0</v>
      </c>
      <c r="D10" s="52">
        <f>IF($N$6=1,VLOOKUP(C10,$O$7:$Y$106,4),IF($N$6=2,VLOOKUP(C10,$Z$7:$AJ$106,4)))</f>
        <v>0</v>
      </c>
      <c r="E10" s="59" t="str">
        <f t="shared" si="0"/>
        <v>Rendah</v>
      </c>
      <c r="O10" s="67">
        <v>3</v>
      </c>
      <c r="P10" s="68">
        <v>0</v>
      </c>
      <c r="Q10" s="68">
        <v>0</v>
      </c>
      <c r="R10" s="68">
        <v>0</v>
      </c>
      <c r="S10" s="68">
        <v>0</v>
      </c>
      <c r="T10" s="68">
        <v>0</v>
      </c>
      <c r="U10" s="68">
        <v>0</v>
      </c>
      <c r="V10" s="68">
        <v>0</v>
      </c>
      <c r="W10" s="68">
        <v>0.05</v>
      </c>
      <c r="X10" s="68">
        <v>0</v>
      </c>
      <c r="Y10" s="68">
        <v>0</v>
      </c>
      <c r="Z10" s="67">
        <v>3</v>
      </c>
      <c r="AA10" s="68">
        <v>0</v>
      </c>
      <c r="AB10" s="68">
        <v>0</v>
      </c>
      <c r="AC10" s="68">
        <v>0</v>
      </c>
      <c r="AD10" s="68">
        <v>0</v>
      </c>
      <c r="AE10" s="68">
        <v>0</v>
      </c>
      <c r="AF10" s="68">
        <v>0</v>
      </c>
      <c r="AG10" s="68">
        <v>0</v>
      </c>
      <c r="AH10" s="68">
        <v>0.02</v>
      </c>
      <c r="AI10" s="68">
        <v>0</v>
      </c>
      <c r="AJ10" s="68">
        <v>0</v>
      </c>
    </row>
    <row r="11" spans="1:37" ht="15.75" customHeight="1" x14ac:dyDescent="0.15">
      <c r="A11" s="50">
        <v>3</v>
      </c>
      <c r="B11" s="6" t="s">
        <v>83</v>
      </c>
      <c r="C11" s="13">
        <f>+Test!H26+Test!H27+Test!G28+Test!G35+Test!H36+Test!H37+Test!H41+Test!G42+Test!H43+Test!H65+Test!G66+Test!H67+Test!H68+Test!H69+Test!G70+Test!H83+Test!G84+Test!H85+Test!G86+Test!H87+Test!H88+Test!H89+Test!G90+Test!H91+Test!H108+Test!H109+Test!H110+Test!G111+Test!H112+Test!H116+Test!G117+Test!H118+Test!H119+Test!H120+Test!G121+Test!H125+Test!G126+Test!H127+Test!H128+Test!H129+Test!G130+Test!G131+Test!G132+Test!H133+Test!H152+Test!G153+Test!H154+Test!H158+Test!G159+Test!H160+Test!G167+Test!H168+Test!H169+Test!G170+Test!H171+Test!H172+Test!H173+Test!G174+Test!H175+Test!H191+Test!H192+Test!G193+Test!G194+Test!H195+Test!H196+Test!H200+Test!G201+Test!H202+Test!H206+Test!H207+Test!G208+Test!H209+Test!H210+Test!G211+Test!H212+Test!H213+Test!G214+Test!H230+Test!H231+Test!G232+Test!H233+Test!H234+Test!G235+Test!H236+Test!G237+Test!H238+Test!G278+Test!H279+Test!H280+Test!G296+Test!G297+Test!H298+Test!H299+Test!G300+Test!H301+Test!G380+Test!G381+Test!H382+Test!G383+Test!H384+Test!H385+Test!H506+Test!H507+Test!G508</f>
        <v>0</v>
      </c>
      <c r="D11" s="52">
        <f>IF($N$6=1,VLOOKUP(C11,$O$7:$Y$106,5),IF($N$6=2,VLOOKUP(C11,$Z$7:$AJ$106,5)))</f>
        <v>0</v>
      </c>
      <c r="E11" s="59" t="str">
        <f t="shared" si="0"/>
        <v>Rendah</v>
      </c>
      <c r="O11" s="67">
        <v>4</v>
      </c>
      <c r="P11" s="68">
        <v>0</v>
      </c>
      <c r="Q11" s="68">
        <v>0</v>
      </c>
      <c r="R11" s="68">
        <v>0</v>
      </c>
      <c r="S11" s="68">
        <v>0</v>
      </c>
      <c r="T11" s="68">
        <v>0</v>
      </c>
      <c r="U11" s="68">
        <v>0</v>
      </c>
      <c r="V11" s="68">
        <v>0.01</v>
      </c>
      <c r="W11" s="68">
        <v>0.08</v>
      </c>
      <c r="X11" s="68">
        <v>0</v>
      </c>
      <c r="Y11" s="68">
        <v>0</v>
      </c>
      <c r="Z11" s="67">
        <v>4</v>
      </c>
      <c r="AA11" s="68">
        <v>0</v>
      </c>
      <c r="AB11" s="68">
        <v>0.01</v>
      </c>
      <c r="AC11" s="68">
        <v>0.01</v>
      </c>
      <c r="AD11" s="68">
        <v>0</v>
      </c>
      <c r="AE11" s="68">
        <v>0</v>
      </c>
      <c r="AF11" s="68">
        <v>0</v>
      </c>
      <c r="AG11" s="68">
        <v>0.01</v>
      </c>
      <c r="AH11" s="68">
        <v>0.04</v>
      </c>
      <c r="AI11" s="68">
        <v>0</v>
      </c>
      <c r="AJ11" s="68">
        <v>0</v>
      </c>
    </row>
    <row r="12" spans="1:37" ht="15.75" customHeight="1" x14ac:dyDescent="0.15">
      <c r="A12" s="50">
        <v>4</v>
      </c>
      <c r="B12" s="6" t="s">
        <v>84</v>
      </c>
      <c r="C12" s="13">
        <f>+Test!H11+Test!H12+Test!G13+Test!G29+Test!H30+Test!H31+Test!H35+Test!G36+Test!H37+Test!H56+Test!H57+Test!G58+Test!H74+Test!G75+Test!H76+Test!H77+Test!G78+Test!H79+Test!G80+Test!H81+Test!H82+Test!H92+Test!H93+Test!G94+Test!G134+Test!H135+Test!H136+Test!G140+Test!H141+Test!H142+Test!G149+Test!H150+Test!H151+Test!G158+Test!H159+Test!H160+Test!H161+Test!G162+Test!H163+Test!H164+Test!G165+Test!H166+Test!G176+Test!H177+Test!H178+Test!H179+Test!G180+Test!H181+Test!H185+Test!G186+Test!H187+Test!G191+Test!H192+Test!H193+Test!H194+Test!H195+Test!G196+Test!H206+Test!G207+Test!H208+Test!G224+Test!H225+Test!G226+Test!H239+Test!H240+Test!G241+Test!H242+Test!G243+Test!H244+Test!G245+Test!H246+Test!H247+Test!H266+Test!H267+Test!G268+Test!H275+Test!G276+Test!G277+Test!H290+Test!G291+Test!H292+Test!G305+Test!H306+Test!H307+Test!H308+Test!G309+Test!H310+Test!H311+Test!H312+Test!G313+Test!H314+Test!G315+Test!H316+Test!H344+Test!G345+Test!G346+Test!H347+Test!H348+Test!G349+Test!H350+Test!H351+Test!G352+Test!H353+Test!G354+Test!H355+Test!G389+Test!H390+Test!G391+Test!H392+Test!G393+Test!H394+Test!G403+Test!H434+Test!H435+Test!G436+Test!G437+Test!H438+Test!H439+Test!H470+Test!H471+Test!G472+Test!H476+Test!H477+Test!G478+Test!G487</f>
        <v>0</v>
      </c>
      <c r="D12" s="52">
        <f>IF($N$6=1,VLOOKUP(C12,$O$7:$Y$106,6),IF($N$6=2,VLOOKUP(C12,$Z$7:$AJ$106,6)))</f>
        <v>0</v>
      </c>
      <c r="E12" s="59" t="str">
        <f t="shared" si="0"/>
        <v>Rendah</v>
      </c>
      <c r="O12" s="67">
        <v>5</v>
      </c>
      <c r="P12" s="68">
        <v>0</v>
      </c>
      <c r="Q12" s="68">
        <v>0</v>
      </c>
      <c r="R12" s="68">
        <v>0</v>
      </c>
      <c r="S12" s="68">
        <v>0</v>
      </c>
      <c r="T12" s="68">
        <v>0</v>
      </c>
      <c r="U12" s="68">
        <v>0.01</v>
      </c>
      <c r="V12" s="68">
        <v>0.02</v>
      </c>
      <c r="W12" s="68">
        <v>0.11</v>
      </c>
      <c r="X12" s="68">
        <v>0</v>
      </c>
      <c r="Y12" s="68">
        <v>0</v>
      </c>
      <c r="Z12" s="67">
        <v>5</v>
      </c>
      <c r="AA12" s="68">
        <v>0</v>
      </c>
      <c r="AB12" s="68">
        <v>0.01</v>
      </c>
      <c r="AC12" s="68">
        <v>0.01</v>
      </c>
      <c r="AD12" s="68">
        <v>0</v>
      </c>
      <c r="AE12" s="68">
        <v>0</v>
      </c>
      <c r="AF12" s="68">
        <v>0.01</v>
      </c>
      <c r="AG12" s="68">
        <v>0.01</v>
      </c>
      <c r="AH12" s="68">
        <v>0.06</v>
      </c>
      <c r="AI12" s="68">
        <v>0</v>
      </c>
      <c r="AJ12" s="68">
        <v>0</v>
      </c>
    </row>
    <row r="13" spans="1:37" ht="15.75" customHeight="1" x14ac:dyDescent="0.15">
      <c r="A13" s="50">
        <v>5</v>
      </c>
      <c r="B13" s="6" t="s">
        <v>85</v>
      </c>
      <c r="C13" s="13">
        <f>+Test!G41+Test!H42+Test!H43+Test!H44+Test!H45+Test!G46+Test!H47+Test!H48+Test!G49+Test!H80+Test!H81+Test!G82+Test!G83+Test!H84+Test!H85+Test!G164+Test!H165+Test!H166+Test!H167+Test!H168+Test!G169+Test!G173+Test!H174+Test!H175+Test!G206+Test!H207+Test!H208+Test!G275+Test!H276+Test!H277+Test!H278+Test!G279+Test!H280+Test!G290+Test!H291+Test!H292+Test!G299+Test!H300+Test!H301+Test!H323+Test!G324+Test!H325+Test!G329+Test!H330+Test!H331+Test!H338+Test!G339+Test!H340+Test!H359+Test!H360+Test!G361+Test!H362+Test!G363+Test!G364+Test!H371+Test!H372+Test!G373+Test!H380+Test!H381+Test!G382+Test!G401+Test!H402+Test!H403+Test!H446+Test!H447+Test!G448+Test!H485+Test!H486+Test!G487+Test!H494+Test!G495+Test!H496+Test!H500+Test!G501+Test!H502+Test!H506+Test!G507+Test!H508</f>
        <v>0</v>
      </c>
      <c r="D13" s="52">
        <f>IF($N$6=1,VLOOKUP(C13,$O$7:$Y$106,7),IF($N$6=2,VLOOKUP(C13,$Z$7:$AJ$106,7)))</f>
        <v>0</v>
      </c>
      <c r="E13" s="59" t="str">
        <f t="shared" si="0"/>
        <v>Rendah</v>
      </c>
      <c r="O13" s="67">
        <v>6</v>
      </c>
      <c r="P13" s="68">
        <v>0</v>
      </c>
      <c r="Q13" s="68">
        <v>0</v>
      </c>
      <c r="R13" s="68">
        <v>0</v>
      </c>
      <c r="S13" s="68">
        <v>0</v>
      </c>
      <c r="T13" s="68">
        <v>0</v>
      </c>
      <c r="U13" s="68">
        <v>0.01</v>
      </c>
      <c r="V13" s="68">
        <v>0.03</v>
      </c>
      <c r="W13" s="68">
        <v>0.15</v>
      </c>
      <c r="X13" s="68">
        <v>0</v>
      </c>
      <c r="Y13" s="68">
        <v>0</v>
      </c>
      <c r="Z13" s="67">
        <v>6</v>
      </c>
      <c r="AA13" s="68">
        <v>0</v>
      </c>
      <c r="AB13" s="68">
        <v>0.02</v>
      </c>
      <c r="AC13" s="68">
        <v>0.02</v>
      </c>
      <c r="AD13" s="68">
        <v>0</v>
      </c>
      <c r="AE13" s="68">
        <v>0.01</v>
      </c>
      <c r="AF13" s="68">
        <v>0.01</v>
      </c>
      <c r="AG13" s="68">
        <v>0.02</v>
      </c>
      <c r="AH13" s="68">
        <v>0.09</v>
      </c>
      <c r="AI13" s="68">
        <v>0</v>
      </c>
      <c r="AJ13" s="68">
        <v>0</v>
      </c>
    </row>
    <row r="14" spans="1:37" ht="15.75" customHeight="1" x14ac:dyDescent="0.15">
      <c r="A14" s="50">
        <v>6</v>
      </c>
      <c r="B14" s="6" t="s">
        <v>86</v>
      </c>
      <c r="C14" s="13">
        <f>+Test!G20+Test!H21+Test!H22+Test!G92+Test!H93+Test!H94+Test!H107+Test!H108+Test!G109+Test!H140+Test!G141+Test!H142+Test!H143+Test!H144+Test!G145+Test!G146+Test!H147+Test!H148+Test!G152+Test!H153+Test!H154+Test!H182+Test!G183+Test!H184+Test!H218+Test!H219+Test!G220+Test!H236+Test!H237+Test!G238+Test!H275+Test!G276+Test!H277+Test!H278+Test!H279+Test!G280+Test!G347+Test!H348+Test!H349+Test!G353+Test!H354+Test!H355+Test!H359+Test!G360+Test!H361+Test!H362+Test!H363+Test!G364+Test!G395+Test!H396+Test!H397+Test!H401+Test!G402+Test!H403+Test!H437+Test!G438+Test!H439+Test!H446+Test!G447+Test!H448+Test!H485+Test!G486+Test!H487</f>
        <v>0</v>
      </c>
      <c r="D14" s="52">
        <f>IF($N$6=1,VLOOKUP(C14,$O$7:$Y$106,8),IF($N$6=2,VLOOKUP(C14,$Z$7:$AJ$106,8)))</f>
        <v>0</v>
      </c>
      <c r="E14" s="59" t="str">
        <f t="shared" si="0"/>
        <v>Rendah</v>
      </c>
      <c r="O14" s="67">
        <v>7</v>
      </c>
      <c r="P14" s="68">
        <v>0</v>
      </c>
      <c r="Q14" s="68">
        <v>0</v>
      </c>
      <c r="R14" s="68">
        <v>0</v>
      </c>
      <c r="S14" s="68">
        <v>0</v>
      </c>
      <c r="T14" s="68">
        <v>0</v>
      </c>
      <c r="U14" s="68">
        <v>0.01</v>
      </c>
      <c r="V14" s="68">
        <v>0.05</v>
      </c>
      <c r="W14" s="68">
        <v>0.2</v>
      </c>
      <c r="X14" s="68">
        <v>0</v>
      </c>
      <c r="Y14" s="68">
        <v>0</v>
      </c>
      <c r="Z14" s="67">
        <v>7</v>
      </c>
      <c r="AA14" s="68">
        <v>0</v>
      </c>
      <c r="AB14" s="68">
        <v>0.03</v>
      </c>
      <c r="AC14" s="68">
        <v>0.03</v>
      </c>
      <c r="AD14" s="68">
        <v>0</v>
      </c>
      <c r="AE14" s="68">
        <v>0.01</v>
      </c>
      <c r="AF14" s="68">
        <v>0.01</v>
      </c>
      <c r="AG14" s="68">
        <v>0.03</v>
      </c>
      <c r="AH14" s="68">
        <v>0.13</v>
      </c>
      <c r="AI14" s="68">
        <v>0</v>
      </c>
      <c r="AJ14" s="68">
        <v>0</v>
      </c>
    </row>
    <row r="15" spans="1:37" ht="15.75" customHeight="1" x14ac:dyDescent="0.15">
      <c r="A15" s="50">
        <v>7</v>
      </c>
      <c r="B15" s="6" t="s">
        <v>87</v>
      </c>
      <c r="C15" s="13">
        <f>+Test!H29+Test!G30+Test!H31+Test!H47+Test!G48+Test!H49+Test!H86+Test!H87+Test!G88+Test!H89+Test!H90+Test!G91+Test!H128+Test!G129+Test!H130+Test!H200+Test!H201+Test!G202+Test!H203+Test!G204+Test!H205+Test!H242+Test!H243+Test!G244+Test!G254+Test!H255+Test!H256+Test!G338+Test!H339+Test!H340+Test!H383+Test!G384+Test!H385+Test!H422+Test!G423+Test!H424+Test!G452+Test!H453+Test!H454+Test!H458+Test!H459+Test!G460+Test!H500+Test!H501+Test!G502</f>
        <v>0</v>
      </c>
      <c r="D15" s="52">
        <f>IF($N$6=1,VLOOKUP(C15,$O$7:$Y$106,9),IF($N$6=2,VLOOKUP(C15,$Z$7:$AJ$106,9)))</f>
        <v>0</v>
      </c>
      <c r="E15" s="59" t="str">
        <f t="shared" si="0"/>
        <v>Rendah</v>
      </c>
      <c r="O15" s="67">
        <v>8</v>
      </c>
      <c r="P15" s="68">
        <v>0</v>
      </c>
      <c r="Q15" s="68">
        <v>0</v>
      </c>
      <c r="R15" s="68">
        <v>0.01</v>
      </c>
      <c r="S15" s="68">
        <v>0</v>
      </c>
      <c r="T15" s="68">
        <v>0</v>
      </c>
      <c r="U15" s="68">
        <v>0.02</v>
      </c>
      <c r="V15" s="68">
        <v>7.0000000000000007E-2</v>
      </c>
      <c r="W15" s="68">
        <v>0.28000000000000003</v>
      </c>
      <c r="X15" s="68">
        <v>0</v>
      </c>
      <c r="Y15" s="68">
        <v>0</v>
      </c>
      <c r="Z15" s="67">
        <v>8</v>
      </c>
      <c r="AA15" s="68">
        <v>0</v>
      </c>
      <c r="AB15" s="68">
        <v>0.04</v>
      </c>
      <c r="AC15" s="68">
        <v>0.04</v>
      </c>
      <c r="AD15" s="68">
        <v>0</v>
      </c>
      <c r="AE15" s="68">
        <v>0.01</v>
      </c>
      <c r="AF15" s="68">
        <v>0.02</v>
      </c>
      <c r="AG15" s="68">
        <v>0.04</v>
      </c>
      <c r="AH15" s="68">
        <v>0.16</v>
      </c>
      <c r="AI15" s="68">
        <v>0.01</v>
      </c>
      <c r="AJ15" s="68">
        <v>0</v>
      </c>
    </row>
    <row r="16" spans="1:37" ht="15.75" customHeight="1" x14ac:dyDescent="0.15">
      <c r="A16" s="50">
        <v>8</v>
      </c>
      <c r="B16" s="6" t="s">
        <v>88</v>
      </c>
      <c r="C16" s="13">
        <f>+Test!G11+Test!H12+Test!H13+Test!G68+Test!H69+Test!H70+Test!G74+Test!H75+Test!H76+Test!H107+Test!G108+Test!H109+Test!G113+Test!H114+Test!H115+Test!H116+Test!H117+Test!G118+Test!H122+Test!G123+Test!H124+Test!H152+Test!H153+Test!G154+Test!H158+Test!H159+Test!G160+Test!H167+Test!G168+Test!H169+Test!H179+Test!H180+Test!G181+Test!H182+Test!H183+Test!G184+Test!G185+Test!H186+Test!H187+Test!G203+Test!H204+Test!H205+Test!G212+Test!H213+Test!H214+Test!H242+Test!G243+Test!H244+Test!H248+Test!G249+Test!H250+Test!H254+Test!H255+Test!G256+Test!H260+Test!H261+Test!G262+Test!G266+Test!H267+Test!H268+Test!G278+Test!H279+Test!H280+Test!H296+Test!G297+Test!G298+Test!G302+Test!H304+Test!G323+Test!H324+Test!H325+Test!H326+Test!H327+Test!G328+Test!G344+Test!H345+Test!H346+Test!G350+Test!H351+Test!H352+Test!H353+Test!H354+Test!G355+Test!G359+Test!H360+Test!H361+Test!H362+Test!G363+Test!H364+Test!G383+Test!H384+Test!H385+Test!H407+Test!G408+Test!H409+Test!H413+Test!G414+Test!H415+Test!H422+Test!H423+Test!G424+Test!H425+Test!H426+Test!G427+Test!H452+Test!H453+Test!G454+Test!H461+Test!H462+Test!G463+Test!H494+Test!H495+Test!G496+Test!H509+Test!G510+Test!H511</f>
        <v>0</v>
      </c>
      <c r="D16" s="52">
        <f>IF($N$6=1,VLOOKUP(C16,$O$7:$Y$106,10),IF($N$6=2,VLOOKUP(C16,$Z$7:$AJ$106,10)))</f>
        <v>0</v>
      </c>
      <c r="E16" s="59" t="str">
        <f t="shared" si="0"/>
        <v>Rendah</v>
      </c>
      <c r="O16" s="67">
        <v>9</v>
      </c>
      <c r="P16" s="68">
        <v>0</v>
      </c>
      <c r="Q16" s="68">
        <v>0</v>
      </c>
      <c r="R16" s="68">
        <v>0.01</v>
      </c>
      <c r="S16" s="68">
        <v>0</v>
      </c>
      <c r="T16" s="68">
        <v>0</v>
      </c>
      <c r="U16" s="68">
        <v>0.04</v>
      </c>
      <c r="V16" s="68">
        <v>0.1</v>
      </c>
      <c r="W16" s="68">
        <v>0.36</v>
      </c>
      <c r="X16" s="68">
        <v>0</v>
      </c>
      <c r="Y16" s="68">
        <v>0</v>
      </c>
      <c r="Z16" s="67">
        <v>9</v>
      </c>
      <c r="AA16" s="68">
        <v>0.01</v>
      </c>
      <c r="AB16" s="68">
        <v>0.05</v>
      </c>
      <c r="AC16" s="68">
        <v>0.05</v>
      </c>
      <c r="AD16" s="68">
        <v>0</v>
      </c>
      <c r="AE16" s="68">
        <v>0.01</v>
      </c>
      <c r="AF16" s="68">
        <v>0.03</v>
      </c>
      <c r="AG16" s="68">
        <v>0.06</v>
      </c>
      <c r="AH16" s="68">
        <v>0.19</v>
      </c>
      <c r="AI16" s="68">
        <v>0.01</v>
      </c>
      <c r="AJ16" s="68">
        <v>0</v>
      </c>
    </row>
    <row r="17" spans="1:36" ht="15.75" customHeight="1" thickBot="1" x14ac:dyDescent="0.2">
      <c r="A17" s="51">
        <v>9</v>
      </c>
      <c r="B17" s="7" t="s">
        <v>89</v>
      </c>
      <c r="C17" s="55">
        <f>+Test!H32+Test!H33+Test!G34+Test!H65+Test!H66+Test!G67+Test!H77+Test!H78+Test!G79+Test!H86+Test!G87+Test!H88+Test!H92+Test!G93+Test!H94+Test!H113+Test!H114+Test!G115+Test!G116+Test!H117+Test!H118+Test!H125+Test!H126+Test!G127+Test!H131+Test!H132+Test!G133+Test!H140+Test!H141+Test!G142+Test!H143+Test!G144+Test!H145+Test!H149+Test!G150+Test!H151+Test!G158+Test!H159+Test!H160+Test!H161+Test!H162+Test!G163+Test!H170+Test!G171+Test!H172+Test!G182+Test!H183+Test!H184+Test!G197+Test!H198+Test!H199+Test!G209+Test!H210+Test!H211+Test!H218+Test!G219+Test!H220+Test!G239+Test!H240+Test!H241+Test!G248+Test!H249+Test!H250+Test!H251+Test!H252+Test!G253+Test!G260+Test!H261+Test!H262+Test!H266+Test!G267+Test!H268+Test!H272+Test!G273+Test!H274+Test!H284+Test!G285+Test!H286+Test!G287+Test!H288+Test!H289+Test!H302+Test!G303+Test!H304+Test!G305+Test!H306+Test!G307+Test!G311+Test!H312+Test!H313+Test!H344+Test!H345+Test!G346+Test!G362+Test!H363+Test!H364+Test!H368+Test!H369+Test!G370+Test!H374+Test!G375+Test!G376+Test!H383+Test!H384+Test!G385+Test!H395+Test!G396+Test!G397+Test!G413+Test!H414+Test!H415+Test!H419+Test!G420+Test!H421+Test!G422+Test!H423+Test!H424+Test!H443+Test!H444+Test!G445+Test!H452+Test!G453+Test!H454+Test!H455+Test!G456+Test!G457+Test!G461+Test!H462+Test!H463+Test!H467+Test!G468+Test!H469+Test!G470+Test!G471+Test!H472+Test!G476+Test!H477+Test!H478+Test!H482+Test!H483+Test!G484+Test!G485+Test!H486+Test!H487+Test!G488+Test!H489+Test!G490+Test!H491+Test!H492+Test!G493+Test!H509+Test!H510+Test!G511</f>
        <v>0</v>
      </c>
      <c r="D17" s="52">
        <f>IF($N$6=1,VLOOKUP(C17,$O$7:$Y$106,11),IF($N$6=2,VLOOKUP(C17,$Z$7:$AJ$106,11)))</f>
        <v>0</v>
      </c>
      <c r="E17" s="60" t="str">
        <f t="shared" si="0"/>
        <v>Rendah</v>
      </c>
      <c r="O17" s="67">
        <v>10</v>
      </c>
      <c r="P17" s="68">
        <v>0.01</v>
      </c>
      <c r="Q17" s="68">
        <v>0</v>
      </c>
      <c r="R17" s="68">
        <v>0.01</v>
      </c>
      <c r="S17" s="68">
        <v>0</v>
      </c>
      <c r="T17" s="68">
        <v>0.01</v>
      </c>
      <c r="U17" s="68">
        <v>0.05</v>
      </c>
      <c r="V17" s="68">
        <v>0.13</v>
      </c>
      <c r="W17" s="68">
        <v>0.42</v>
      </c>
      <c r="X17" s="68">
        <v>0.01</v>
      </c>
      <c r="Y17" s="68">
        <v>0</v>
      </c>
      <c r="Z17" s="67">
        <v>10</v>
      </c>
      <c r="AA17" s="68">
        <v>0.01</v>
      </c>
      <c r="AB17" s="68">
        <v>0.06</v>
      </c>
      <c r="AC17" s="68">
        <v>0.06</v>
      </c>
      <c r="AD17" s="68">
        <v>0.01</v>
      </c>
      <c r="AE17" s="68">
        <v>0.02</v>
      </c>
      <c r="AF17" s="68">
        <v>0.04</v>
      </c>
      <c r="AG17" s="68">
        <v>0.08</v>
      </c>
      <c r="AH17" s="68">
        <v>0.25</v>
      </c>
      <c r="AI17" s="68">
        <v>0.01</v>
      </c>
      <c r="AJ17" s="68">
        <v>0</v>
      </c>
    </row>
    <row r="18" spans="1:36" ht="15.75" customHeight="1" x14ac:dyDescent="0.15">
      <c r="O18" s="67">
        <v>11</v>
      </c>
      <c r="P18" s="68">
        <v>0.01</v>
      </c>
      <c r="Q18" s="68">
        <v>0.01</v>
      </c>
      <c r="R18" s="68">
        <v>0.01</v>
      </c>
      <c r="S18" s="68">
        <v>0</v>
      </c>
      <c r="T18" s="68">
        <v>0.01</v>
      </c>
      <c r="U18" s="68">
        <v>7.0000000000000007E-2</v>
      </c>
      <c r="V18" s="68">
        <v>0.16</v>
      </c>
      <c r="W18" s="68">
        <v>0.49</v>
      </c>
      <c r="X18" s="68">
        <v>0.01</v>
      </c>
      <c r="Y18" s="68">
        <v>0</v>
      </c>
      <c r="Z18" s="67">
        <v>11</v>
      </c>
      <c r="AA18" s="68">
        <v>0.02</v>
      </c>
      <c r="AB18" s="68">
        <v>7.0000000000000007E-2</v>
      </c>
      <c r="AC18" s="68">
        <v>0.09</v>
      </c>
      <c r="AD18" s="68">
        <v>0.01</v>
      </c>
      <c r="AE18" s="68">
        <v>0.02</v>
      </c>
      <c r="AF18" s="68">
        <v>0.05</v>
      </c>
      <c r="AG18" s="68">
        <v>0.1</v>
      </c>
      <c r="AH18" s="68">
        <v>0.3</v>
      </c>
      <c r="AI18" s="68">
        <v>0.01</v>
      </c>
      <c r="AJ18" s="68">
        <v>0</v>
      </c>
    </row>
    <row r="19" spans="1:36" ht="15.75" customHeight="1" x14ac:dyDescent="0.15">
      <c r="O19" s="67">
        <v>12</v>
      </c>
      <c r="P19" s="68">
        <v>0.01</v>
      </c>
      <c r="Q19" s="68">
        <v>0.01</v>
      </c>
      <c r="R19" s="68">
        <v>0.02</v>
      </c>
      <c r="S19" s="68">
        <v>0</v>
      </c>
      <c r="T19" s="68">
        <v>0.01</v>
      </c>
      <c r="U19" s="68">
        <v>0.1</v>
      </c>
      <c r="V19" s="68">
        <v>0.19</v>
      </c>
      <c r="W19" s="68">
        <v>0.54</v>
      </c>
      <c r="X19" s="68">
        <v>0.01</v>
      </c>
      <c r="Y19" s="68">
        <v>0</v>
      </c>
      <c r="Z19" s="67">
        <v>12</v>
      </c>
      <c r="AA19" s="68">
        <v>0.02</v>
      </c>
      <c r="AB19" s="68">
        <v>0.1</v>
      </c>
      <c r="AC19" s="68">
        <v>0.11</v>
      </c>
      <c r="AD19" s="68">
        <v>0.01</v>
      </c>
      <c r="AE19" s="68">
        <v>0.02</v>
      </c>
      <c r="AF19" s="68">
        <v>0.06</v>
      </c>
      <c r="AG19" s="68">
        <v>0.13</v>
      </c>
      <c r="AH19" s="68">
        <v>0.35</v>
      </c>
      <c r="AI19" s="68">
        <v>0.01</v>
      </c>
      <c r="AJ19" s="68">
        <v>0</v>
      </c>
    </row>
    <row r="20" spans="1:36" ht="15.75" customHeight="1" x14ac:dyDescent="0.15">
      <c r="O20" s="67">
        <v>13</v>
      </c>
      <c r="P20" s="68">
        <v>0.01</v>
      </c>
      <c r="Q20" s="68">
        <v>0.01</v>
      </c>
      <c r="R20" s="68">
        <v>0.03</v>
      </c>
      <c r="S20" s="68">
        <v>0</v>
      </c>
      <c r="T20" s="68">
        <v>0.01</v>
      </c>
      <c r="U20" s="68">
        <v>0.12</v>
      </c>
      <c r="V20" s="68">
        <v>0.23</v>
      </c>
      <c r="W20" s="68">
        <v>0.59</v>
      </c>
      <c r="X20" s="68">
        <v>0.01</v>
      </c>
      <c r="Y20" s="68">
        <v>0</v>
      </c>
      <c r="Z20" s="67">
        <v>13</v>
      </c>
      <c r="AA20" s="68">
        <v>0.03</v>
      </c>
      <c r="AB20" s="68">
        <v>0.12</v>
      </c>
      <c r="AC20" s="68">
        <v>0.14000000000000001</v>
      </c>
      <c r="AD20" s="68">
        <v>0.01</v>
      </c>
      <c r="AE20" s="68">
        <v>0.02</v>
      </c>
      <c r="AF20" s="68">
        <v>0.08</v>
      </c>
      <c r="AG20" s="68">
        <v>0.18</v>
      </c>
      <c r="AH20" s="68">
        <v>0.4</v>
      </c>
      <c r="AI20" s="68">
        <v>0.01</v>
      </c>
      <c r="AJ20" s="68">
        <v>0</v>
      </c>
    </row>
    <row r="21" spans="1:36" ht="15.75" customHeight="1" x14ac:dyDescent="0.15">
      <c r="O21" s="67">
        <v>14</v>
      </c>
      <c r="P21" s="68">
        <v>0.01</v>
      </c>
      <c r="Q21" s="68">
        <v>0.02</v>
      </c>
      <c r="R21" s="68">
        <v>0.05</v>
      </c>
      <c r="S21" s="68">
        <v>0.01</v>
      </c>
      <c r="T21" s="68">
        <v>0.01</v>
      </c>
      <c r="U21" s="68">
        <v>0.15</v>
      </c>
      <c r="V21" s="68">
        <v>0.27</v>
      </c>
      <c r="W21" s="68">
        <v>0.65</v>
      </c>
      <c r="X21" s="68">
        <v>0.01</v>
      </c>
      <c r="Y21" s="68">
        <v>0</v>
      </c>
      <c r="Z21" s="67">
        <v>14</v>
      </c>
      <c r="AA21" s="68">
        <v>0.04</v>
      </c>
      <c r="AB21" s="68">
        <v>0.14000000000000001</v>
      </c>
      <c r="AC21" s="68">
        <v>0.17</v>
      </c>
      <c r="AD21" s="68">
        <v>0.02</v>
      </c>
      <c r="AE21" s="68">
        <v>0.03</v>
      </c>
      <c r="AF21" s="68">
        <v>0.1</v>
      </c>
      <c r="AG21" s="68">
        <v>0.2</v>
      </c>
      <c r="AH21" s="68">
        <v>0.48</v>
      </c>
      <c r="AI21" s="68">
        <v>0.01</v>
      </c>
      <c r="AJ21" s="68">
        <v>0</v>
      </c>
    </row>
    <row r="22" spans="1:36" ht="15.75" customHeight="1" x14ac:dyDescent="0.15">
      <c r="O22" s="67">
        <v>15</v>
      </c>
      <c r="P22" s="68">
        <v>0.02</v>
      </c>
      <c r="Q22" s="68">
        <v>0.02</v>
      </c>
      <c r="R22" s="68">
        <v>7.0000000000000007E-2</v>
      </c>
      <c r="S22" s="68">
        <v>0.01</v>
      </c>
      <c r="T22" s="68">
        <v>0.02</v>
      </c>
      <c r="U22" s="68">
        <v>0.2</v>
      </c>
      <c r="V22" s="68">
        <v>0.35</v>
      </c>
      <c r="W22" s="68">
        <v>0.7</v>
      </c>
      <c r="X22" s="68">
        <v>0.01</v>
      </c>
      <c r="Y22" s="68">
        <v>0</v>
      </c>
      <c r="Z22" s="67">
        <v>15</v>
      </c>
      <c r="AA22" s="68">
        <v>0.06</v>
      </c>
      <c r="AB22" s="68">
        <v>0.17</v>
      </c>
      <c r="AC22" s="68">
        <v>0.19</v>
      </c>
      <c r="AD22" s="68">
        <v>0.03</v>
      </c>
      <c r="AE22" s="68">
        <v>0.04</v>
      </c>
      <c r="AF22" s="68">
        <v>0.12</v>
      </c>
      <c r="AG22" s="68">
        <v>0.25</v>
      </c>
      <c r="AH22" s="68">
        <v>0.51</v>
      </c>
      <c r="AI22" s="68">
        <v>0.01</v>
      </c>
      <c r="AJ22" s="68">
        <v>0</v>
      </c>
    </row>
    <row r="23" spans="1:36" ht="15.75" customHeight="1" x14ac:dyDescent="0.15">
      <c r="O23" s="67">
        <v>16</v>
      </c>
      <c r="P23" s="68">
        <v>0.02</v>
      </c>
      <c r="Q23" s="68">
        <v>0.03</v>
      </c>
      <c r="R23" s="68">
        <v>0.08</v>
      </c>
      <c r="S23" s="68">
        <v>0.01</v>
      </c>
      <c r="T23" s="68">
        <v>0.03</v>
      </c>
      <c r="U23" s="68">
        <v>0.24</v>
      </c>
      <c r="V23" s="68">
        <v>0.37</v>
      </c>
      <c r="W23" s="68">
        <v>0.73</v>
      </c>
      <c r="X23" s="68">
        <v>0.01</v>
      </c>
      <c r="Y23" s="68">
        <v>0</v>
      </c>
      <c r="Z23" s="67">
        <v>16</v>
      </c>
      <c r="AA23" s="68">
        <v>0.08</v>
      </c>
      <c r="AB23" s="68">
        <v>0.19</v>
      </c>
      <c r="AC23" s="68">
        <v>0.23</v>
      </c>
      <c r="AD23" s="68">
        <v>0.04</v>
      </c>
      <c r="AE23" s="68">
        <v>0.04</v>
      </c>
      <c r="AF23" s="68">
        <v>0.15</v>
      </c>
      <c r="AG23" s="68">
        <v>0.3</v>
      </c>
      <c r="AH23" s="68">
        <v>0.56999999999999995</v>
      </c>
      <c r="AI23" s="68">
        <v>0.01</v>
      </c>
      <c r="AJ23" s="68">
        <v>0.01</v>
      </c>
    </row>
    <row r="24" spans="1:36" ht="15.75" customHeight="1" x14ac:dyDescent="0.15">
      <c r="O24" s="67">
        <v>17</v>
      </c>
      <c r="P24" s="68">
        <v>0.03</v>
      </c>
      <c r="Q24" s="68">
        <v>0.04</v>
      </c>
      <c r="R24" s="68">
        <v>0.1</v>
      </c>
      <c r="S24" s="68">
        <v>0.01</v>
      </c>
      <c r="T24" s="68">
        <v>0.04</v>
      </c>
      <c r="U24" s="68">
        <v>0.28999999999999998</v>
      </c>
      <c r="V24" s="68">
        <v>0.4</v>
      </c>
      <c r="W24" s="68">
        <v>0.76</v>
      </c>
      <c r="X24" s="68">
        <v>0.02</v>
      </c>
      <c r="Y24" s="68">
        <v>0.01</v>
      </c>
      <c r="Z24" s="67">
        <v>17</v>
      </c>
      <c r="AA24" s="68">
        <v>0.1</v>
      </c>
      <c r="AB24" s="68">
        <v>0.21</v>
      </c>
      <c r="AC24" s="68">
        <v>0.26</v>
      </c>
      <c r="AD24" s="68">
        <v>0.06</v>
      </c>
      <c r="AE24" s="68">
        <v>0.05</v>
      </c>
      <c r="AF24" s="68">
        <v>0.18</v>
      </c>
      <c r="AG24" s="68">
        <v>0.35</v>
      </c>
      <c r="AH24" s="68">
        <v>0.63</v>
      </c>
      <c r="AI24" s="68">
        <v>0.01</v>
      </c>
      <c r="AJ24" s="68">
        <v>0.01</v>
      </c>
    </row>
    <row r="25" spans="1:36" ht="15.75" customHeight="1" x14ac:dyDescent="0.15">
      <c r="O25" s="67">
        <v>18</v>
      </c>
      <c r="P25" s="68">
        <v>0.04</v>
      </c>
      <c r="Q25" s="68">
        <v>0.05</v>
      </c>
      <c r="R25" s="68">
        <v>0.13</v>
      </c>
      <c r="S25" s="68">
        <v>0.01</v>
      </c>
      <c r="T25" s="68">
        <v>0.04</v>
      </c>
      <c r="U25" s="68">
        <v>0.32</v>
      </c>
      <c r="V25" s="68">
        <v>0.47</v>
      </c>
      <c r="W25" s="68">
        <v>0.8</v>
      </c>
      <c r="X25" s="68">
        <v>0.03</v>
      </c>
      <c r="Y25" s="68">
        <v>0.01</v>
      </c>
      <c r="Z25" s="67">
        <v>18</v>
      </c>
      <c r="AA25" s="68">
        <v>0.12</v>
      </c>
      <c r="AB25" s="68">
        <v>0.24</v>
      </c>
      <c r="AC25" s="68">
        <v>0.3</v>
      </c>
      <c r="AD25" s="68">
        <v>0.08</v>
      </c>
      <c r="AE25" s="68">
        <v>0.06</v>
      </c>
      <c r="AF25" s="68">
        <v>0.21</v>
      </c>
      <c r="AG25" s="68">
        <v>0.38</v>
      </c>
      <c r="AH25" s="68">
        <v>0.68</v>
      </c>
      <c r="AI25" s="68">
        <v>0.01</v>
      </c>
      <c r="AJ25" s="68">
        <v>0.01</v>
      </c>
    </row>
    <row r="26" spans="1:36" ht="15.75" customHeight="1" x14ac:dyDescent="0.15">
      <c r="O26" s="67">
        <v>19</v>
      </c>
      <c r="P26" s="68">
        <v>0.05</v>
      </c>
      <c r="Q26" s="68">
        <v>0.05</v>
      </c>
      <c r="R26" s="68">
        <v>0.15</v>
      </c>
      <c r="S26" s="68">
        <v>0.02</v>
      </c>
      <c r="T26" s="68">
        <v>0.05</v>
      </c>
      <c r="U26" s="68">
        <v>0.39</v>
      </c>
      <c r="V26" s="68">
        <v>0.5</v>
      </c>
      <c r="W26" s="68">
        <v>0.84</v>
      </c>
      <c r="X26" s="68">
        <v>0.03</v>
      </c>
      <c r="Y26" s="68">
        <v>0.01</v>
      </c>
      <c r="Z26" s="67">
        <v>19</v>
      </c>
      <c r="AA26" s="68">
        <v>0.14000000000000001</v>
      </c>
      <c r="AB26" s="68">
        <v>0.27</v>
      </c>
      <c r="AC26" s="68">
        <v>0.36</v>
      </c>
      <c r="AD26" s="68">
        <v>0.09</v>
      </c>
      <c r="AE26" s="68">
        <v>0.08</v>
      </c>
      <c r="AF26" s="68">
        <v>0.25</v>
      </c>
      <c r="AG26" s="68">
        <v>0.44</v>
      </c>
      <c r="AH26" s="68">
        <v>0.73</v>
      </c>
      <c r="AI26" s="68">
        <v>0.02</v>
      </c>
      <c r="AJ26" s="68">
        <v>0.01</v>
      </c>
    </row>
    <row r="27" spans="1:36" ht="15.75" customHeight="1" x14ac:dyDescent="0.15">
      <c r="O27" s="67">
        <v>20</v>
      </c>
      <c r="P27" s="68">
        <v>0.06</v>
      </c>
      <c r="Q27" s="68">
        <v>0.06</v>
      </c>
      <c r="R27" s="68">
        <v>0.18</v>
      </c>
      <c r="S27" s="68">
        <v>0.03</v>
      </c>
      <c r="T27" s="68">
        <v>0.06</v>
      </c>
      <c r="U27" s="68">
        <v>0.42</v>
      </c>
      <c r="V27" s="68">
        <v>0.54</v>
      </c>
      <c r="W27" s="68">
        <v>0.86</v>
      </c>
      <c r="X27" s="68">
        <v>0.04</v>
      </c>
      <c r="Y27" s="68">
        <v>0.01</v>
      </c>
      <c r="Z27" s="67">
        <v>20</v>
      </c>
      <c r="AA27" s="68">
        <v>0.16</v>
      </c>
      <c r="AB27" s="68">
        <v>0.32</v>
      </c>
      <c r="AC27" s="68">
        <v>0.39</v>
      </c>
      <c r="AD27" s="68">
        <v>0.11</v>
      </c>
      <c r="AE27" s="68">
        <v>0.09</v>
      </c>
      <c r="AF27" s="68">
        <v>0.28000000000000003</v>
      </c>
      <c r="AG27" s="68">
        <v>0.49</v>
      </c>
      <c r="AH27" s="68">
        <v>0.77</v>
      </c>
      <c r="AI27" s="68">
        <v>0.02</v>
      </c>
      <c r="AJ27" s="68">
        <v>0.01</v>
      </c>
    </row>
    <row r="28" spans="1:36" ht="15.75" customHeight="1" x14ac:dyDescent="0.15">
      <c r="O28" s="67">
        <v>21</v>
      </c>
      <c r="P28" s="68">
        <v>7.0000000000000007E-2</v>
      </c>
      <c r="Q28" s="68">
        <v>7.0000000000000007E-2</v>
      </c>
      <c r="R28" s="68">
        <v>0.21</v>
      </c>
      <c r="S28" s="68">
        <v>0.03</v>
      </c>
      <c r="T28" s="68">
        <v>7.0000000000000007E-2</v>
      </c>
      <c r="U28" s="68">
        <v>0.46</v>
      </c>
      <c r="V28" s="68">
        <v>0.57999999999999996</v>
      </c>
      <c r="W28" s="68">
        <v>0.88</v>
      </c>
      <c r="X28" s="68">
        <v>0.05</v>
      </c>
      <c r="Y28" s="68">
        <v>0.01</v>
      </c>
      <c r="Z28" s="67">
        <v>21</v>
      </c>
      <c r="AA28" s="68">
        <v>0.18</v>
      </c>
      <c r="AB28" s="68">
        <v>0.35</v>
      </c>
      <c r="AC28" s="68">
        <v>0.43</v>
      </c>
      <c r="AD28" s="68">
        <v>0.13</v>
      </c>
      <c r="AE28" s="68">
        <v>0.1</v>
      </c>
      <c r="AF28" s="68">
        <v>0.32</v>
      </c>
      <c r="AG28" s="68">
        <v>0.51</v>
      </c>
      <c r="AH28" s="68">
        <v>0.81</v>
      </c>
      <c r="AI28" s="68">
        <v>0.02</v>
      </c>
      <c r="AJ28" s="68">
        <v>0.01</v>
      </c>
    </row>
    <row r="29" spans="1:36" ht="15.75" customHeight="1" x14ac:dyDescent="0.15">
      <c r="O29" s="67">
        <v>22</v>
      </c>
      <c r="P29" s="68">
        <v>0.08</v>
      </c>
      <c r="Q29" s="68">
        <v>7.0000000000000007E-2</v>
      </c>
      <c r="R29" s="68">
        <v>0.24</v>
      </c>
      <c r="S29" s="68">
        <v>0.04</v>
      </c>
      <c r="T29" s="68">
        <v>0.08</v>
      </c>
      <c r="U29" s="68">
        <v>0.51</v>
      </c>
      <c r="V29" s="68">
        <v>0.6</v>
      </c>
      <c r="W29" s="68">
        <v>0.91</v>
      </c>
      <c r="X29" s="68">
        <v>0.06</v>
      </c>
      <c r="Y29" s="68">
        <v>0.02</v>
      </c>
      <c r="Z29" s="67">
        <v>22</v>
      </c>
      <c r="AA29" s="68">
        <v>0.2</v>
      </c>
      <c r="AB29" s="68">
        <v>0.38</v>
      </c>
      <c r="AC29" s="68">
        <v>0.48</v>
      </c>
      <c r="AD29" s="68">
        <v>0.14000000000000001</v>
      </c>
      <c r="AE29" s="68">
        <v>0.13</v>
      </c>
      <c r="AF29" s="68">
        <v>0.36</v>
      </c>
      <c r="AG29" s="68">
        <v>0.56000000000000005</v>
      </c>
      <c r="AH29" s="68">
        <v>0.85</v>
      </c>
      <c r="AI29" s="68">
        <v>0.03</v>
      </c>
      <c r="AJ29" s="68">
        <v>0.01</v>
      </c>
    </row>
    <row r="30" spans="1:36" ht="15.75" customHeight="1" x14ac:dyDescent="0.15">
      <c r="O30" s="67">
        <v>23</v>
      </c>
      <c r="P30" s="68">
        <v>0.1</v>
      </c>
      <c r="Q30" s="68">
        <v>0.08</v>
      </c>
      <c r="R30" s="68">
        <v>0.28000000000000003</v>
      </c>
      <c r="S30" s="68">
        <v>0.05</v>
      </c>
      <c r="T30" s="68">
        <v>0.09</v>
      </c>
      <c r="U30" s="68">
        <v>0.55000000000000004</v>
      </c>
      <c r="V30" s="68">
        <v>0.64</v>
      </c>
      <c r="W30" s="68">
        <v>0.93</v>
      </c>
      <c r="X30" s="68">
        <v>7.0000000000000007E-2</v>
      </c>
      <c r="Y30" s="68">
        <v>0.02</v>
      </c>
      <c r="Z30" s="67">
        <v>23</v>
      </c>
      <c r="AA30" s="68">
        <v>0.22</v>
      </c>
      <c r="AB30" s="68">
        <v>0.41</v>
      </c>
      <c r="AC30" s="68">
        <v>0.5</v>
      </c>
      <c r="AD30" s="68">
        <v>0.16</v>
      </c>
      <c r="AE30" s="68">
        <v>0.14000000000000001</v>
      </c>
      <c r="AF30" s="68">
        <v>0.4</v>
      </c>
      <c r="AG30" s="68">
        <v>0.6</v>
      </c>
      <c r="AH30" s="68">
        <v>0.87</v>
      </c>
      <c r="AI30" s="68">
        <v>0.03</v>
      </c>
      <c r="AJ30" s="68">
        <v>0.01</v>
      </c>
    </row>
    <row r="31" spans="1:36" ht="15.75" customHeight="1" x14ac:dyDescent="0.15">
      <c r="O31" s="67">
        <v>24</v>
      </c>
      <c r="P31" s="68">
        <v>0.12</v>
      </c>
      <c r="Q31" s="68">
        <v>0.09</v>
      </c>
      <c r="R31" s="68">
        <v>0.32</v>
      </c>
      <c r="S31" s="68">
        <v>0.06</v>
      </c>
      <c r="T31" s="68">
        <v>0.1</v>
      </c>
      <c r="U31" s="68">
        <v>0.57999999999999996</v>
      </c>
      <c r="V31" s="68">
        <v>0.7</v>
      </c>
      <c r="W31" s="68">
        <v>0.94</v>
      </c>
      <c r="X31" s="68">
        <v>0.08</v>
      </c>
      <c r="Y31" s="68">
        <v>0.02</v>
      </c>
      <c r="Z31" s="67">
        <v>24</v>
      </c>
      <c r="AA31" s="68">
        <v>0.24</v>
      </c>
      <c r="AB31" s="68">
        <v>0.45</v>
      </c>
      <c r="AC31" s="68">
        <v>0.54</v>
      </c>
      <c r="AD31" s="68">
        <v>0.19</v>
      </c>
      <c r="AE31" s="68">
        <v>0.16</v>
      </c>
      <c r="AF31" s="68">
        <v>0.44</v>
      </c>
      <c r="AG31" s="68">
        <v>0.65</v>
      </c>
      <c r="AH31" s="68">
        <v>0.9</v>
      </c>
      <c r="AI31" s="68">
        <v>0.04</v>
      </c>
      <c r="AJ31" s="68">
        <v>0.02</v>
      </c>
    </row>
    <row r="32" spans="1:36" ht="15.75" customHeight="1" x14ac:dyDescent="0.15">
      <c r="K32" s="26"/>
      <c r="L32" s="27"/>
      <c r="M32" s="27"/>
      <c r="N32" s="27"/>
      <c r="O32" s="67">
        <v>25</v>
      </c>
      <c r="P32" s="68">
        <v>0.13</v>
      </c>
      <c r="Q32" s="68">
        <v>0.1</v>
      </c>
      <c r="R32" s="68">
        <v>0.36</v>
      </c>
      <c r="S32" s="68">
        <v>0.08</v>
      </c>
      <c r="T32" s="68">
        <v>0.12</v>
      </c>
      <c r="U32" s="68">
        <v>0.64</v>
      </c>
      <c r="V32" s="68">
        <v>0.74</v>
      </c>
      <c r="W32" s="68">
        <v>0.95</v>
      </c>
      <c r="X32" s="68">
        <v>0.09</v>
      </c>
      <c r="Y32" s="68">
        <v>0.03</v>
      </c>
      <c r="Z32" s="67">
        <v>25</v>
      </c>
      <c r="AA32" s="68">
        <v>0.26</v>
      </c>
      <c r="AB32" s="68">
        <v>0.5</v>
      </c>
      <c r="AC32" s="68">
        <v>0.59</v>
      </c>
      <c r="AD32" s="68">
        <v>0.23</v>
      </c>
      <c r="AE32" s="68">
        <v>0.18</v>
      </c>
      <c r="AF32" s="68">
        <v>0.46</v>
      </c>
      <c r="AG32" s="68">
        <v>0.71</v>
      </c>
      <c r="AH32" s="68">
        <v>0.92</v>
      </c>
      <c r="AI32" s="68">
        <v>0.04</v>
      </c>
      <c r="AJ32" s="68">
        <v>0.02</v>
      </c>
    </row>
    <row r="33" spans="11:36" ht="15.75" customHeight="1" x14ac:dyDescent="0.15">
      <c r="K33" s="28"/>
      <c r="L33" s="29"/>
      <c r="M33" s="30"/>
      <c r="N33" s="30"/>
      <c r="O33" s="67">
        <v>26</v>
      </c>
      <c r="P33" s="68">
        <v>0.14000000000000001</v>
      </c>
      <c r="Q33" s="68">
        <v>0.11</v>
      </c>
      <c r="R33" s="68">
        <v>0.41</v>
      </c>
      <c r="S33" s="68">
        <v>0.1</v>
      </c>
      <c r="T33" s="68">
        <v>0.14000000000000001</v>
      </c>
      <c r="U33" s="68">
        <v>0.68</v>
      </c>
      <c r="V33" s="68">
        <v>0.76</v>
      </c>
      <c r="W33" s="68">
        <v>0.96</v>
      </c>
      <c r="X33" s="68">
        <v>0.1</v>
      </c>
      <c r="Y33" s="68">
        <v>0.04</v>
      </c>
      <c r="Z33" s="67">
        <v>26</v>
      </c>
      <c r="AA33" s="68">
        <v>0.3</v>
      </c>
      <c r="AB33" s="68">
        <v>0.53</v>
      </c>
      <c r="AC33" s="68">
        <v>0.64</v>
      </c>
      <c r="AD33" s="68">
        <v>0.28000000000000003</v>
      </c>
      <c r="AE33" s="68">
        <v>0.21</v>
      </c>
      <c r="AF33" s="68">
        <v>0.5</v>
      </c>
      <c r="AG33" s="68">
        <v>0.72</v>
      </c>
      <c r="AH33" s="68">
        <v>0.95</v>
      </c>
      <c r="AI33" s="68">
        <v>0.05</v>
      </c>
      <c r="AJ33" s="68">
        <v>0.02</v>
      </c>
    </row>
    <row r="34" spans="11:36" ht="15.75" customHeight="1" x14ac:dyDescent="0.15">
      <c r="K34" s="31"/>
      <c r="L34" s="32"/>
      <c r="M34" s="33"/>
      <c r="N34" s="33"/>
      <c r="O34" s="67">
        <v>27</v>
      </c>
      <c r="P34" s="68">
        <v>0.16</v>
      </c>
      <c r="Q34" s="68">
        <v>0.12</v>
      </c>
      <c r="R34" s="68">
        <v>0.46</v>
      </c>
      <c r="S34" s="68">
        <v>0.12</v>
      </c>
      <c r="T34" s="68">
        <v>0.16</v>
      </c>
      <c r="U34" s="68">
        <v>0.7</v>
      </c>
      <c r="V34" s="68">
        <v>0.8</v>
      </c>
      <c r="W34" s="68">
        <v>0.97</v>
      </c>
      <c r="X34" s="68">
        <v>0.11</v>
      </c>
      <c r="Y34" s="68">
        <v>0.05</v>
      </c>
      <c r="Z34" s="67">
        <v>27</v>
      </c>
      <c r="AA34" s="68">
        <v>0.32</v>
      </c>
      <c r="AB34" s="68">
        <v>0.56000000000000005</v>
      </c>
      <c r="AC34" s="68">
        <v>0.68</v>
      </c>
      <c r="AD34" s="68">
        <v>0.3</v>
      </c>
      <c r="AE34" s="68">
        <v>0.23</v>
      </c>
      <c r="AF34" s="68">
        <v>0.54</v>
      </c>
      <c r="AG34" s="68">
        <v>0.75</v>
      </c>
      <c r="AH34" s="68">
        <v>0.97</v>
      </c>
      <c r="AI34" s="68">
        <v>0.05</v>
      </c>
      <c r="AJ34" s="68">
        <v>0.03</v>
      </c>
    </row>
    <row r="35" spans="11:36" ht="15.75" customHeight="1" x14ac:dyDescent="0.15">
      <c r="K35" s="31"/>
      <c r="L35" s="32"/>
      <c r="M35" s="33"/>
      <c r="N35" s="33"/>
      <c r="O35" s="67">
        <v>28</v>
      </c>
      <c r="P35" s="68">
        <v>0.18</v>
      </c>
      <c r="Q35" s="68">
        <v>0.13</v>
      </c>
      <c r="R35" s="68">
        <v>0.5</v>
      </c>
      <c r="S35" s="68">
        <v>0.14000000000000001</v>
      </c>
      <c r="T35" s="68">
        <v>0.18</v>
      </c>
      <c r="U35" s="68">
        <v>0.74</v>
      </c>
      <c r="V35" s="68">
        <v>0.83</v>
      </c>
      <c r="W35" s="68">
        <v>0.98</v>
      </c>
      <c r="X35" s="68">
        <v>0.12</v>
      </c>
      <c r="Y35" s="68">
        <v>0.06</v>
      </c>
      <c r="Z35" s="67">
        <v>28</v>
      </c>
      <c r="AA35" s="68">
        <v>0.34</v>
      </c>
      <c r="AB35" s="68">
        <v>0.6</v>
      </c>
      <c r="AC35" s="68">
        <v>0.72</v>
      </c>
      <c r="AD35" s="68">
        <v>0.34</v>
      </c>
      <c r="AE35" s="68">
        <v>0.25</v>
      </c>
      <c r="AF35" s="68">
        <v>0.56000000000000005</v>
      </c>
      <c r="AG35" s="68">
        <v>0.72</v>
      </c>
      <c r="AH35" s="68">
        <v>0.98</v>
      </c>
      <c r="AI35" s="68">
        <v>0.06</v>
      </c>
      <c r="AJ35" s="68">
        <v>0.03</v>
      </c>
    </row>
    <row r="36" spans="11:36" ht="15.75" customHeight="1" x14ac:dyDescent="0.15">
      <c r="K36" s="31"/>
      <c r="L36" s="32"/>
      <c r="M36" s="33"/>
      <c r="N36" s="33"/>
      <c r="O36" s="67">
        <v>29</v>
      </c>
      <c r="P36" s="68">
        <v>0.19</v>
      </c>
      <c r="Q36" s="68">
        <v>0.14000000000000001</v>
      </c>
      <c r="R36" s="68">
        <v>0.55000000000000004</v>
      </c>
      <c r="S36" s="68">
        <v>0.17</v>
      </c>
      <c r="T36" s="68">
        <v>0.2</v>
      </c>
      <c r="U36" s="68">
        <v>0.77</v>
      </c>
      <c r="V36" s="68">
        <v>0.86</v>
      </c>
      <c r="W36" s="68">
        <v>0.99</v>
      </c>
      <c r="X36" s="68">
        <v>0.15</v>
      </c>
      <c r="Y36" s="68">
        <v>7.0000000000000007E-2</v>
      </c>
      <c r="Z36" s="67">
        <v>29</v>
      </c>
      <c r="AA36" s="68">
        <v>0.36</v>
      </c>
      <c r="AB36" s="68">
        <v>0.63</v>
      </c>
      <c r="AC36" s="68">
        <v>0.75</v>
      </c>
      <c r="AD36" s="68">
        <v>0.36</v>
      </c>
      <c r="AE36" s="68">
        <v>0.28000000000000003</v>
      </c>
      <c r="AF36" s="68">
        <v>0.6</v>
      </c>
      <c r="AG36" s="68">
        <v>0.81</v>
      </c>
      <c r="AH36" s="68">
        <v>0.99</v>
      </c>
      <c r="AI36" s="68">
        <v>7.0000000000000007E-2</v>
      </c>
      <c r="AJ36" s="68">
        <v>0.04</v>
      </c>
    </row>
    <row r="37" spans="11:36" ht="15.75" customHeight="1" x14ac:dyDescent="0.15">
      <c r="K37" s="31"/>
      <c r="L37" s="32"/>
      <c r="M37" s="33"/>
      <c r="N37" s="33"/>
      <c r="O37" s="67">
        <v>30</v>
      </c>
      <c r="P37" s="68">
        <v>0.2</v>
      </c>
      <c r="Q37" s="68">
        <v>0.15</v>
      </c>
      <c r="R37" s="68">
        <v>0.59</v>
      </c>
      <c r="S37" s="68">
        <v>0.2</v>
      </c>
      <c r="T37" s="68">
        <v>0.24</v>
      </c>
      <c r="U37" s="68">
        <v>0.8</v>
      </c>
      <c r="V37" s="68">
        <v>0.88</v>
      </c>
      <c r="W37" s="68">
        <v>1</v>
      </c>
      <c r="X37" s="68">
        <v>0.17</v>
      </c>
      <c r="Y37" s="68">
        <v>0.08</v>
      </c>
      <c r="Z37" s="67">
        <v>30</v>
      </c>
      <c r="AA37" s="68">
        <v>0.39</v>
      </c>
      <c r="AB37" s="68">
        <v>0.65</v>
      </c>
      <c r="AC37" s="68">
        <v>0.77</v>
      </c>
      <c r="AD37" s="68">
        <v>0.41</v>
      </c>
      <c r="AE37" s="68">
        <v>0.3</v>
      </c>
      <c r="AF37" s="68">
        <v>0.64</v>
      </c>
      <c r="AG37" s="68">
        <v>0.84</v>
      </c>
      <c r="AH37" s="68">
        <v>1</v>
      </c>
      <c r="AI37" s="68">
        <v>0.08</v>
      </c>
      <c r="AJ37" s="68">
        <v>0.05</v>
      </c>
    </row>
    <row r="38" spans="11:36" ht="15.75" customHeight="1" x14ac:dyDescent="0.15">
      <c r="K38" s="31"/>
      <c r="L38" s="32"/>
      <c r="M38" s="33"/>
      <c r="N38" s="33"/>
      <c r="O38" s="67">
        <v>31</v>
      </c>
      <c r="P38" s="68">
        <v>0.22</v>
      </c>
      <c r="Q38" s="68">
        <v>0.17</v>
      </c>
      <c r="R38" s="68">
        <v>0.63</v>
      </c>
      <c r="S38" s="68">
        <v>0.21</v>
      </c>
      <c r="T38" s="68">
        <v>0.26</v>
      </c>
      <c r="U38" s="68">
        <v>0.82</v>
      </c>
      <c r="V38" s="68">
        <v>0.9</v>
      </c>
      <c r="W38" s="68">
        <v>1</v>
      </c>
      <c r="X38" s="68">
        <v>0.2</v>
      </c>
      <c r="Y38" s="68">
        <v>0.1</v>
      </c>
      <c r="Z38" s="67">
        <v>31</v>
      </c>
      <c r="AA38" s="68">
        <v>0.41</v>
      </c>
      <c r="AB38" s="68">
        <v>0.68</v>
      </c>
      <c r="AC38" s="68">
        <v>0.8</v>
      </c>
      <c r="AD38" s="68">
        <v>0.45</v>
      </c>
      <c r="AE38" s="68">
        <v>0.34</v>
      </c>
      <c r="AF38" s="68">
        <v>0.66</v>
      </c>
      <c r="AG38" s="68">
        <v>0.86</v>
      </c>
      <c r="AH38" s="68">
        <v>1</v>
      </c>
      <c r="AI38" s="68">
        <v>0.09</v>
      </c>
      <c r="AJ38" s="68">
        <v>0.05</v>
      </c>
    </row>
    <row r="39" spans="11:36" ht="15.75" customHeight="1" x14ac:dyDescent="0.15">
      <c r="K39" s="31"/>
      <c r="L39" s="32"/>
      <c r="M39" s="33"/>
      <c r="N39" s="33"/>
      <c r="O39" s="67">
        <v>32</v>
      </c>
      <c r="P39" s="68">
        <v>0.23</v>
      </c>
      <c r="Q39" s="68">
        <v>0.19</v>
      </c>
      <c r="R39" s="68">
        <v>0.68</v>
      </c>
      <c r="S39" s="68">
        <v>0.24</v>
      </c>
      <c r="T39" s="68">
        <v>0.28000000000000003</v>
      </c>
      <c r="U39" s="68">
        <v>0.84</v>
      </c>
      <c r="V39" s="68">
        <v>0.92</v>
      </c>
      <c r="W39" s="68">
        <v>1</v>
      </c>
      <c r="X39" s="68">
        <v>0.23</v>
      </c>
      <c r="Y39" s="68">
        <v>0.12</v>
      </c>
      <c r="Z39" s="67">
        <v>32</v>
      </c>
      <c r="AA39" s="68">
        <v>0.45</v>
      </c>
      <c r="AB39" s="68">
        <v>0.7</v>
      </c>
      <c r="AC39" s="68">
        <v>0.82</v>
      </c>
      <c r="AD39" s="68">
        <v>0.49</v>
      </c>
      <c r="AE39" s="68">
        <v>0.36</v>
      </c>
      <c r="AF39" s="68">
        <v>0.7</v>
      </c>
      <c r="AG39" s="68">
        <v>0.88</v>
      </c>
      <c r="AH39" s="68">
        <v>1</v>
      </c>
      <c r="AI39" s="68">
        <v>0.1</v>
      </c>
      <c r="AJ39" s="68">
        <v>0.06</v>
      </c>
    </row>
    <row r="40" spans="11:36" ht="15.75" customHeight="1" x14ac:dyDescent="0.15">
      <c r="K40" s="31"/>
      <c r="L40" s="32"/>
      <c r="M40" s="33"/>
      <c r="N40" s="33"/>
      <c r="O40" s="67">
        <v>33</v>
      </c>
      <c r="P40" s="68">
        <v>0.25</v>
      </c>
      <c r="Q40" s="68">
        <v>0.21</v>
      </c>
      <c r="R40" s="68">
        <v>0.71</v>
      </c>
      <c r="S40" s="68">
        <v>0.28000000000000003</v>
      </c>
      <c r="T40" s="68">
        <v>0.3</v>
      </c>
      <c r="U40" s="68">
        <v>0.86</v>
      </c>
      <c r="V40" s="68">
        <v>0.94</v>
      </c>
      <c r="W40" s="68">
        <v>1</v>
      </c>
      <c r="X40" s="68">
        <v>0.26</v>
      </c>
      <c r="Y40" s="68">
        <v>0.14000000000000001</v>
      </c>
      <c r="Z40" s="67">
        <v>33</v>
      </c>
      <c r="AA40" s="68">
        <v>0.49</v>
      </c>
      <c r="AB40" s="68">
        <v>0.75</v>
      </c>
      <c r="AC40" s="68">
        <v>0.85</v>
      </c>
      <c r="AD40" s="68">
        <v>0.51</v>
      </c>
      <c r="AE40" s="68">
        <v>0.38</v>
      </c>
      <c r="AF40" s="68">
        <v>0.72</v>
      </c>
      <c r="AG40" s="68">
        <v>0.9</v>
      </c>
      <c r="AH40" s="68">
        <v>1</v>
      </c>
      <c r="AI40" s="68">
        <v>0.12</v>
      </c>
      <c r="AJ40" s="68">
        <v>7.0000000000000007E-2</v>
      </c>
    </row>
    <row r="41" spans="11:36" ht="15.75" customHeight="1" x14ac:dyDescent="0.15">
      <c r="K41" s="31"/>
      <c r="L41" s="32"/>
      <c r="M41" s="33"/>
      <c r="N41" s="33"/>
      <c r="O41" s="67">
        <v>34</v>
      </c>
      <c r="P41" s="68">
        <v>0.27</v>
      </c>
      <c r="Q41" s="68">
        <v>0.23</v>
      </c>
      <c r="R41" s="68">
        <v>0.74</v>
      </c>
      <c r="S41" s="68">
        <v>0.3</v>
      </c>
      <c r="T41" s="68">
        <v>0.34</v>
      </c>
      <c r="U41" s="68">
        <v>0.88</v>
      </c>
      <c r="V41" s="68">
        <v>0.95</v>
      </c>
      <c r="W41" s="68">
        <v>1</v>
      </c>
      <c r="X41" s="68">
        <v>0.27</v>
      </c>
      <c r="Y41" s="68">
        <v>0.16</v>
      </c>
      <c r="Z41" s="67">
        <v>34</v>
      </c>
      <c r="AA41" s="68">
        <v>0.5</v>
      </c>
      <c r="AB41" s="68">
        <v>0.77</v>
      </c>
      <c r="AC41" s="68">
        <v>0.87</v>
      </c>
      <c r="AD41" s="68">
        <v>0.55000000000000004</v>
      </c>
      <c r="AE41" s="68">
        <v>0.42</v>
      </c>
      <c r="AF41" s="68">
        <v>0.74</v>
      </c>
      <c r="AG41" s="68">
        <v>0.91</v>
      </c>
      <c r="AH41" s="68">
        <v>1</v>
      </c>
      <c r="AI41" s="68">
        <v>0.13</v>
      </c>
      <c r="AJ41" s="68">
        <v>0.08</v>
      </c>
    </row>
    <row r="42" spans="11:36" ht="15.75" customHeight="1" x14ac:dyDescent="0.15">
      <c r="K42" s="31"/>
      <c r="L42" s="32"/>
      <c r="M42" s="33"/>
      <c r="N42" s="33"/>
      <c r="O42" s="67">
        <v>35</v>
      </c>
      <c r="P42" s="68">
        <v>0.28999999999999998</v>
      </c>
      <c r="Q42" s="68">
        <v>0.25</v>
      </c>
      <c r="R42" s="68">
        <v>0.78</v>
      </c>
      <c r="S42" s="68">
        <v>0.32</v>
      </c>
      <c r="T42" s="68">
        <v>0.36</v>
      </c>
      <c r="U42" s="68">
        <v>0.9</v>
      </c>
      <c r="V42" s="68">
        <v>0.96</v>
      </c>
      <c r="W42" s="68">
        <v>1</v>
      </c>
      <c r="X42" s="68">
        <v>0.28999999999999998</v>
      </c>
      <c r="Y42" s="68">
        <v>0.18</v>
      </c>
      <c r="Z42" s="67">
        <v>35</v>
      </c>
      <c r="AA42" s="68">
        <v>0.53</v>
      </c>
      <c r="AB42" s="68">
        <v>0.8</v>
      </c>
      <c r="AC42" s="68">
        <v>0.89</v>
      </c>
      <c r="AD42" s="68">
        <v>0.59</v>
      </c>
      <c r="AE42" s="68">
        <v>0.46</v>
      </c>
      <c r="AF42" s="68">
        <v>0.76</v>
      </c>
      <c r="AG42" s="68">
        <v>0.93</v>
      </c>
      <c r="AH42" s="68">
        <v>1</v>
      </c>
      <c r="AI42" s="68">
        <v>0.15</v>
      </c>
      <c r="AJ42" s="68">
        <v>0.09</v>
      </c>
    </row>
    <row r="43" spans="11:36" ht="15.75" customHeight="1" x14ac:dyDescent="0.15">
      <c r="K43" s="31"/>
      <c r="L43" s="32"/>
      <c r="M43" s="33"/>
      <c r="N43" s="33"/>
      <c r="O43" s="67">
        <v>36</v>
      </c>
      <c r="P43" s="68">
        <v>0.32</v>
      </c>
      <c r="Q43" s="68">
        <v>0.26</v>
      </c>
      <c r="R43" s="68">
        <v>0.81</v>
      </c>
      <c r="S43" s="68">
        <v>0.35</v>
      </c>
      <c r="T43" s="68">
        <v>0.4</v>
      </c>
      <c r="U43" s="68">
        <v>0.91</v>
      </c>
      <c r="V43" s="68">
        <v>0.98</v>
      </c>
      <c r="W43" s="68">
        <v>1</v>
      </c>
      <c r="X43" s="68">
        <v>0.33</v>
      </c>
      <c r="Y43" s="68">
        <v>0.21</v>
      </c>
      <c r="Z43" s="67">
        <v>36</v>
      </c>
      <c r="AA43" s="68">
        <v>0.55000000000000004</v>
      </c>
      <c r="AB43" s="68">
        <v>0.81</v>
      </c>
      <c r="AC43" s="68">
        <v>0.91</v>
      </c>
      <c r="AD43" s="68">
        <v>0.64</v>
      </c>
      <c r="AE43" s="68">
        <v>0.49</v>
      </c>
      <c r="AF43" s="68">
        <v>0.78</v>
      </c>
      <c r="AG43" s="68">
        <v>0.94</v>
      </c>
      <c r="AH43" s="68">
        <v>1</v>
      </c>
      <c r="AI43" s="68">
        <v>0.16</v>
      </c>
      <c r="AJ43" s="68">
        <v>0.1</v>
      </c>
    </row>
    <row r="44" spans="11:36" ht="15.75" customHeight="1" x14ac:dyDescent="0.15">
      <c r="K44" s="31"/>
      <c r="L44" s="32"/>
      <c r="M44" s="33"/>
      <c r="N44" s="33"/>
      <c r="O44" s="67">
        <v>37</v>
      </c>
      <c r="P44" s="68">
        <v>0.34</v>
      </c>
      <c r="Q44" s="68">
        <v>0.28000000000000003</v>
      </c>
      <c r="R44" s="68">
        <v>0.84</v>
      </c>
      <c r="S44" s="68">
        <v>0.4</v>
      </c>
      <c r="T44" s="68">
        <v>0.44</v>
      </c>
      <c r="U44" s="68">
        <v>0.91</v>
      </c>
      <c r="V44" s="68">
        <v>0.98</v>
      </c>
      <c r="W44" s="68">
        <v>1</v>
      </c>
      <c r="X44" s="68">
        <v>0.35</v>
      </c>
      <c r="Y44" s="68">
        <v>0.24</v>
      </c>
      <c r="Z44" s="67">
        <v>37</v>
      </c>
      <c r="AA44" s="68">
        <v>0.57999999999999996</v>
      </c>
      <c r="AB44" s="68">
        <v>0.82</v>
      </c>
      <c r="AC44" s="68">
        <v>0.92</v>
      </c>
      <c r="AD44" s="68">
        <v>0.67</v>
      </c>
      <c r="AE44" s="68">
        <v>0.52</v>
      </c>
      <c r="AF44" s="68">
        <v>0.81</v>
      </c>
      <c r="AG44" s="68">
        <v>0.95</v>
      </c>
      <c r="AH44" s="68">
        <v>1</v>
      </c>
      <c r="AI44" s="68">
        <v>0.18</v>
      </c>
      <c r="AJ44" s="68">
        <v>0.11</v>
      </c>
    </row>
    <row r="45" spans="11:36" ht="15.75" customHeight="1" x14ac:dyDescent="0.15">
      <c r="K45" s="31"/>
      <c r="L45" s="32"/>
      <c r="M45" s="33"/>
      <c r="N45" s="33"/>
      <c r="O45" s="67">
        <v>38</v>
      </c>
      <c r="P45" s="68">
        <v>0.36</v>
      </c>
      <c r="Q45" s="68">
        <v>0.3</v>
      </c>
      <c r="R45" s="68">
        <v>0.86</v>
      </c>
      <c r="S45" s="68">
        <v>0.44</v>
      </c>
      <c r="T45" s="68">
        <v>0.46</v>
      </c>
      <c r="U45" s="68">
        <v>0.92</v>
      </c>
      <c r="V45" s="68">
        <v>0.99</v>
      </c>
      <c r="W45" s="68">
        <v>1</v>
      </c>
      <c r="X45" s="68">
        <v>0.38</v>
      </c>
      <c r="Y45" s="68">
        <v>0.27</v>
      </c>
      <c r="Z45" s="67">
        <v>38</v>
      </c>
      <c r="AA45" s="68">
        <v>0.6</v>
      </c>
      <c r="AB45" s="68">
        <v>0.84</v>
      </c>
      <c r="AC45" s="68">
        <v>0.93</v>
      </c>
      <c r="AD45" s="68">
        <v>0.7</v>
      </c>
      <c r="AE45" s="68">
        <v>0.56000000000000005</v>
      </c>
      <c r="AF45" s="68">
        <v>0.83</v>
      </c>
      <c r="AG45" s="68">
        <v>0.96</v>
      </c>
      <c r="AH45" s="68">
        <v>1</v>
      </c>
      <c r="AI45" s="68">
        <v>0.21</v>
      </c>
      <c r="AJ45" s="68">
        <v>0.13</v>
      </c>
    </row>
    <row r="46" spans="11:36" ht="15.75" customHeight="1" x14ac:dyDescent="0.15">
      <c r="K46" s="31"/>
      <c r="L46" s="32"/>
      <c r="M46" s="33"/>
      <c r="N46" s="33"/>
      <c r="O46" s="67">
        <v>39</v>
      </c>
      <c r="P46" s="68">
        <v>0.39</v>
      </c>
      <c r="Q46" s="68">
        <v>0.32</v>
      </c>
      <c r="R46" s="68">
        <v>0.89</v>
      </c>
      <c r="S46" s="68">
        <v>0.46</v>
      </c>
      <c r="T46" s="68">
        <v>0.49</v>
      </c>
      <c r="U46" s="68">
        <v>0.93</v>
      </c>
      <c r="V46" s="68">
        <v>0.99</v>
      </c>
      <c r="W46" s="68">
        <v>1</v>
      </c>
      <c r="X46" s="68">
        <v>0.4</v>
      </c>
      <c r="Y46" s="68">
        <v>0.3</v>
      </c>
      <c r="Z46" s="67">
        <v>39</v>
      </c>
      <c r="AA46" s="68">
        <v>0.63</v>
      </c>
      <c r="AB46" s="68">
        <v>0.85</v>
      </c>
      <c r="AC46" s="68">
        <v>0.94</v>
      </c>
      <c r="AD46" s="68">
        <v>0.74</v>
      </c>
      <c r="AE46" s="68">
        <v>0.57999999999999996</v>
      </c>
      <c r="AF46" s="68">
        <v>0.85</v>
      </c>
      <c r="AG46" s="68">
        <v>0.97</v>
      </c>
      <c r="AH46" s="68">
        <v>1</v>
      </c>
      <c r="AI46" s="68">
        <v>0.22</v>
      </c>
      <c r="AJ46" s="68">
        <v>0.15</v>
      </c>
    </row>
    <row r="47" spans="11:36" ht="15.75" customHeight="1" x14ac:dyDescent="0.15">
      <c r="K47" s="31"/>
      <c r="L47" s="32"/>
      <c r="M47" s="33"/>
      <c r="N47" s="33"/>
      <c r="O47" s="67">
        <v>40</v>
      </c>
      <c r="P47" s="68">
        <v>0.42</v>
      </c>
      <c r="Q47" s="68">
        <v>0.35</v>
      </c>
      <c r="R47" s="68">
        <v>0.91</v>
      </c>
      <c r="S47" s="68">
        <v>0.49</v>
      </c>
      <c r="T47" s="68">
        <v>0.51</v>
      </c>
      <c r="U47" s="68">
        <v>0.94</v>
      </c>
      <c r="V47" s="68">
        <v>0.99</v>
      </c>
      <c r="W47" s="68">
        <v>1</v>
      </c>
      <c r="X47" s="68">
        <v>0.43</v>
      </c>
      <c r="Y47" s="68">
        <v>0.34</v>
      </c>
      <c r="Z47" s="67">
        <v>40</v>
      </c>
      <c r="AA47" s="68">
        <v>0.65</v>
      </c>
      <c r="AB47" s="68">
        <v>0.87</v>
      </c>
      <c r="AC47" s="68">
        <v>0.95</v>
      </c>
      <c r="AD47" s="68">
        <v>0.75</v>
      </c>
      <c r="AE47" s="68">
        <v>0.62</v>
      </c>
      <c r="AF47" s="68">
        <v>0.87</v>
      </c>
      <c r="AG47" s="68">
        <v>0.98</v>
      </c>
      <c r="AH47" s="68">
        <v>1</v>
      </c>
      <c r="AI47" s="68">
        <v>0.24</v>
      </c>
      <c r="AJ47" s="68">
        <v>0.16</v>
      </c>
    </row>
    <row r="48" spans="11:36" ht="15.75" customHeight="1" x14ac:dyDescent="0.15">
      <c r="O48" s="67">
        <v>41</v>
      </c>
      <c r="P48" s="68">
        <v>0.45</v>
      </c>
      <c r="Q48" s="68">
        <v>0.38</v>
      </c>
      <c r="R48" s="68">
        <v>0.92</v>
      </c>
      <c r="S48" s="68">
        <v>0.52</v>
      </c>
      <c r="T48" s="68">
        <v>0.53</v>
      </c>
      <c r="U48" s="68">
        <v>0.95</v>
      </c>
      <c r="V48" s="68">
        <v>1</v>
      </c>
      <c r="W48" s="68">
        <v>1</v>
      </c>
      <c r="X48" s="68">
        <v>0.46</v>
      </c>
      <c r="Y48" s="68">
        <v>0.38</v>
      </c>
      <c r="Z48" s="67">
        <v>41</v>
      </c>
      <c r="AA48" s="68">
        <v>0.69</v>
      </c>
      <c r="AB48" s="68">
        <v>0.88</v>
      </c>
      <c r="AC48" s="68">
        <v>0.96</v>
      </c>
      <c r="AD48" s="68">
        <v>0.77</v>
      </c>
      <c r="AE48" s="68">
        <v>0.66</v>
      </c>
      <c r="AF48" s="68">
        <v>0.88</v>
      </c>
      <c r="AG48" s="68">
        <v>0.98</v>
      </c>
      <c r="AH48" s="68">
        <v>1</v>
      </c>
      <c r="AI48" s="68">
        <v>0.26</v>
      </c>
      <c r="AJ48" s="68">
        <v>0.17</v>
      </c>
    </row>
    <row r="49" spans="15:36" ht="15.75" customHeight="1" x14ac:dyDescent="0.15">
      <c r="O49" s="67">
        <v>42</v>
      </c>
      <c r="P49" s="68">
        <v>0.47</v>
      </c>
      <c r="Q49" s="68">
        <v>0.4</v>
      </c>
      <c r="R49" s="68">
        <v>0.94</v>
      </c>
      <c r="S49" s="68">
        <v>0.55000000000000004</v>
      </c>
      <c r="T49" s="68">
        <v>0.56000000000000005</v>
      </c>
      <c r="U49" s="68">
        <v>0.96</v>
      </c>
      <c r="V49" s="68">
        <v>1</v>
      </c>
      <c r="W49" s="68">
        <v>1</v>
      </c>
      <c r="X49" s="68">
        <v>0.49</v>
      </c>
      <c r="Y49" s="68">
        <v>0.4</v>
      </c>
      <c r="Z49" s="67">
        <v>42</v>
      </c>
      <c r="AA49" s="68">
        <v>0.72</v>
      </c>
      <c r="AB49" s="68">
        <v>0.9</v>
      </c>
      <c r="AC49" s="68">
        <v>0.96</v>
      </c>
      <c r="AD49" s="68">
        <v>0.78</v>
      </c>
      <c r="AE49" s="68">
        <v>0.68</v>
      </c>
      <c r="AF49" s="68">
        <v>0.89</v>
      </c>
      <c r="AG49" s="68">
        <v>0.99</v>
      </c>
      <c r="AH49" s="68">
        <v>1</v>
      </c>
      <c r="AI49" s="68">
        <v>0.28000000000000003</v>
      </c>
      <c r="AJ49" s="68">
        <v>0.18</v>
      </c>
    </row>
    <row r="50" spans="15:36" ht="15.75" customHeight="1" x14ac:dyDescent="0.15">
      <c r="O50" s="67">
        <v>43</v>
      </c>
      <c r="P50" s="68">
        <v>0.49</v>
      </c>
      <c r="Q50" s="68">
        <v>0.42</v>
      </c>
      <c r="R50" s="68">
        <v>0.95</v>
      </c>
      <c r="S50" s="68">
        <v>0.6</v>
      </c>
      <c r="T50" s="68">
        <v>0.6</v>
      </c>
      <c r="U50" s="68">
        <v>0.96</v>
      </c>
      <c r="V50" s="68">
        <v>1</v>
      </c>
      <c r="W50" s="68">
        <v>1</v>
      </c>
      <c r="X50" s="68">
        <v>0.51</v>
      </c>
      <c r="Y50" s="68">
        <v>0.44</v>
      </c>
      <c r="Z50" s="67">
        <v>43</v>
      </c>
      <c r="AA50" s="68">
        <v>0.75</v>
      </c>
      <c r="AB50" s="68">
        <v>0.91</v>
      </c>
      <c r="AC50" s="68">
        <v>0.97</v>
      </c>
      <c r="AD50" s="68">
        <v>0.8</v>
      </c>
      <c r="AE50" s="68">
        <v>0.7</v>
      </c>
      <c r="AF50" s="68">
        <v>0.91</v>
      </c>
      <c r="AG50" s="68">
        <v>1</v>
      </c>
      <c r="AH50" s="68">
        <v>1</v>
      </c>
      <c r="AI50" s="68">
        <v>0.31</v>
      </c>
      <c r="AJ50" s="68">
        <v>0.2</v>
      </c>
    </row>
    <row r="51" spans="15:36" ht="15.75" customHeight="1" x14ac:dyDescent="0.15">
      <c r="O51" s="67">
        <v>44</v>
      </c>
      <c r="P51" s="68">
        <v>0.52</v>
      </c>
      <c r="Q51" s="68">
        <v>0.45</v>
      </c>
      <c r="R51" s="68">
        <v>0.95</v>
      </c>
      <c r="S51" s="68">
        <v>0.63</v>
      </c>
      <c r="T51" s="68">
        <v>0.62</v>
      </c>
      <c r="U51" s="68">
        <v>0.97</v>
      </c>
      <c r="V51" s="68">
        <v>1</v>
      </c>
      <c r="W51" s="68">
        <v>1</v>
      </c>
      <c r="X51" s="68">
        <v>0.55000000000000004</v>
      </c>
      <c r="Y51" s="68">
        <v>0.48</v>
      </c>
      <c r="Z51" s="67">
        <v>44</v>
      </c>
      <c r="AA51" s="68">
        <v>0.78</v>
      </c>
      <c r="AB51" s="68">
        <v>0.92</v>
      </c>
      <c r="AC51" s="68">
        <v>0.98</v>
      </c>
      <c r="AD51" s="68">
        <v>0.83</v>
      </c>
      <c r="AE51" s="68">
        <v>0.72</v>
      </c>
      <c r="AF51" s="68">
        <v>0.93</v>
      </c>
      <c r="AG51" s="68">
        <v>1</v>
      </c>
      <c r="AH51" s="68">
        <v>1</v>
      </c>
      <c r="AI51" s="68">
        <v>0.34</v>
      </c>
      <c r="AJ51" s="68">
        <v>0.22</v>
      </c>
    </row>
    <row r="52" spans="15:36" ht="15.75" customHeight="1" x14ac:dyDescent="0.15">
      <c r="O52" s="67">
        <v>45</v>
      </c>
      <c r="P52" s="68">
        <v>0.54</v>
      </c>
      <c r="Q52" s="68">
        <v>0.49</v>
      </c>
      <c r="R52" s="68">
        <v>0.96</v>
      </c>
      <c r="S52" s="68">
        <v>0.65</v>
      </c>
      <c r="T52" s="68">
        <v>0.65</v>
      </c>
      <c r="U52" s="68">
        <v>0.98</v>
      </c>
      <c r="V52" s="68">
        <v>1</v>
      </c>
      <c r="W52" s="68">
        <v>1</v>
      </c>
      <c r="X52" s="68">
        <v>0.57999999999999996</v>
      </c>
      <c r="Y52" s="68">
        <v>0.5</v>
      </c>
      <c r="Z52" s="67">
        <v>45</v>
      </c>
      <c r="AA52" s="68">
        <v>0.8</v>
      </c>
      <c r="AB52" s="68">
        <v>0.93</v>
      </c>
      <c r="AC52" s="68">
        <v>0.98</v>
      </c>
      <c r="AD52" s="68">
        <v>0.85</v>
      </c>
      <c r="AE52" s="68">
        <v>0.75</v>
      </c>
      <c r="AF52" s="68">
        <v>0.94</v>
      </c>
      <c r="AG52" s="68">
        <v>1</v>
      </c>
      <c r="AH52" s="68">
        <v>1</v>
      </c>
      <c r="AI52" s="68">
        <v>0.38</v>
      </c>
      <c r="AJ52" s="68">
        <v>0.24</v>
      </c>
    </row>
    <row r="53" spans="15:36" ht="15.75" customHeight="1" x14ac:dyDescent="0.15">
      <c r="O53" s="67">
        <v>46</v>
      </c>
      <c r="P53" s="68">
        <v>0.56000000000000005</v>
      </c>
      <c r="Q53" s="68">
        <v>0.51</v>
      </c>
      <c r="R53" s="68">
        <v>0.97</v>
      </c>
      <c r="S53" s="68">
        <v>0.48</v>
      </c>
      <c r="T53" s="68">
        <v>0.67</v>
      </c>
      <c r="U53" s="68">
        <v>0.98</v>
      </c>
      <c r="V53" s="68">
        <v>1</v>
      </c>
      <c r="W53" s="68">
        <v>1</v>
      </c>
      <c r="X53" s="68">
        <v>0.6</v>
      </c>
      <c r="Y53" s="68">
        <v>0.54</v>
      </c>
      <c r="Z53" s="67">
        <v>46</v>
      </c>
      <c r="AA53" s="68">
        <v>0.82</v>
      </c>
      <c r="AB53" s="68">
        <v>0.94</v>
      </c>
      <c r="AC53" s="68">
        <v>0.98</v>
      </c>
      <c r="AD53" s="68">
        <v>0.86</v>
      </c>
      <c r="AE53" s="68">
        <v>0.78</v>
      </c>
      <c r="AF53" s="68">
        <v>0.95</v>
      </c>
      <c r="AG53" s="68">
        <v>1</v>
      </c>
      <c r="AH53" s="68">
        <v>1</v>
      </c>
      <c r="AI53" s="68">
        <v>0.41</v>
      </c>
      <c r="AJ53" s="68">
        <v>0.25</v>
      </c>
    </row>
    <row r="54" spans="15:36" ht="15.75" customHeight="1" x14ac:dyDescent="0.15">
      <c r="O54" s="67">
        <v>47</v>
      </c>
      <c r="P54" s="68">
        <v>0.57999999999999996</v>
      </c>
      <c r="Q54" s="68">
        <v>0.54</v>
      </c>
      <c r="R54" s="68">
        <v>0.98</v>
      </c>
      <c r="S54" s="68">
        <v>0.72</v>
      </c>
      <c r="T54" s="68">
        <v>0.69</v>
      </c>
      <c r="U54" s="68">
        <v>0.98</v>
      </c>
      <c r="V54" s="68">
        <v>1</v>
      </c>
      <c r="W54" s="68">
        <v>1</v>
      </c>
      <c r="X54" s="68">
        <v>0.64</v>
      </c>
      <c r="Y54" s="68">
        <v>0.56999999999999995</v>
      </c>
      <c r="Z54" s="67">
        <v>47</v>
      </c>
      <c r="AA54" s="68">
        <v>0.85</v>
      </c>
      <c r="AB54" s="68">
        <v>0.94</v>
      </c>
      <c r="AC54" s="68">
        <v>0.99</v>
      </c>
      <c r="AD54" s="68">
        <v>0.89</v>
      </c>
      <c r="AE54" s="68">
        <v>0.81</v>
      </c>
      <c r="AF54" s="68">
        <v>0.96</v>
      </c>
      <c r="AG54" s="68">
        <v>1</v>
      </c>
      <c r="AH54" s="68">
        <v>1</v>
      </c>
      <c r="AI54" s="68">
        <v>0.45</v>
      </c>
      <c r="AJ54" s="68">
        <v>0.28000000000000003</v>
      </c>
    </row>
    <row r="55" spans="15:36" ht="15.75" customHeight="1" x14ac:dyDescent="0.15">
      <c r="O55" s="67">
        <v>48</v>
      </c>
      <c r="P55" s="68">
        <v>0.61</v>
      </c>
      <c r="Q55" s="68">
        <v>0.56999999999999995</v>
      </c>
      <c r="R55" s="68">
        <v>0.98</v>
      </c>
      <c r="S55" s="68">
        <v>0.75</v>
      </c>
      <c r="T55" s="68">
        <v>0.71</v>
      </c>
      <c r="U55" s="68">
        <v>0.99</v>
      </c>
      <c r="V55" s="68">
        <v>1</v>
      </c>
      <c r="W55" s="68">
        <v>1</v>
      </c>
      <c r="X55" s="68">
        <v>0.68</v>
      </c>
      <c r="Y55" s="68">
        <v>0.59</v>
      </c>
      <c r="Z55" s="67">
        <v>48</v>
      </c>
      <c r="AA55" s="68">
        <v>0.86</v>
      </c>
      <c r="AB55" s="68">
        <v>0.95</v>
      </c>
      <c r="AC55" s="68">
        <v>0.99</v>
      </c>
      <c r="AD55" s="68">
        <v>0.9</v>
      </c>
      <c r="AE55" s="68">
        <v>0.84</v>
      </c>
      <c r="AF55" s="68">
        <v>0.97</v>
      </c>
      <c r="AG55" s="68">
        <v>1</v>
      </c>
      <c r="AH55" s="68">
        <v>1</v>
      </c>
      <c r="AI55" s="68">
        <v>0.49</v>
      </c>
      <c r="AJ55" s="68">
        <v>0.28999999999999998</v>
      </c>
    </row>
    <row r="56" spans="15:36" ht="15.75" customHeight="1" x14ac:dyDescent="0.15">
      <c r="O56" s="67">
        <v>49</v>
      </c>
      <c r="P56" s="68">
        <v>0.63</v>
      </c>
      <c r="Q56" s="68">
        <v>0.59</v>
      </c>
      <c r="R56" s="68">
        <v>0.98</v>
      </c>
      <c r="S56" s="68">
        <v>0.78</v>
      </c>
      <c r="T56" s="68">
        <v>0.72</v>
      </c>
      <c r="U56" s="68">
        <v>0.99</v>
      </c>
      <c r="V56" s="68">
        <v>1</v>
      </c>
      <c r="W56" s="68">
        <v>1</v>
      </c>
      <c r="X56" s="68">
        <v>0.7</v>
      </c>
      <c r="Y56" s="68">
        <v>0.62</v>
      </c>
      <c r="Z56" s="67">
        <v>49</v>
      </c>
      <c r="AA56" s="68">
        <v>0.87</v>
      </c>
      <c r="AB56" s="68">
        <v>0.95</v>
      </c>
      <c r="AC56" s="68">
        <v>1</v>
      </c>
      <c r="AD56" s="68">
        <v>0.92</v>
      </c>
      <c r="AE56" s="68">
        <v>0.86</v>
      </c>
      <c r="AF56" s="68">
        <v>0.98</v>
      </c>
      <c r="AG56" s="68">
        <v>1</v>
      </c>
      <c r="AH56" s="68">
        <v>1</v>
      </c>
      <c r="AI56" s="68">
        <v>0.51</v>
      </c>
      <c r="AJ56" s="68">
        <v>0.32</v>
      </c>
    </row>
    <row r="57" spans="15:36" ht="15.75" customHeight="1" x14ac:dyDescent="0.15">
      <c r="O57" s="67">
        <v>50</v>
      </c>
      <c r="P57" s="68">
        <v>0.65</v>
      </c>
      <c r="Q57" s="68">
        <v>0.63</v>
      </c>
      <c r="R57" s="68">
        <v>0.99</v>
      </c>
      <c r="S57" s="68">
        <v>0.8</v>
      </c>
      <c r="T57" s="68">
        <v>0.74</v>
      </c>
      <c r="U57" s="68">
        <v>0.99</v>
      </c>
      <c r="V57" s="68">
        <v>1</v>
      </c>
      <c r="W57" s="68">
        <v>1</v>
      </c>
      <c r="X57" s="68">
        <v>0.73</v>
      </c>
      <c r="Y57" s="68">
        <v>0.64</v>
      </c>
      <c r="Z57" s="67">
        <v>50</v>
      </c>
      <c r="AA57" s="68">
        <v>0.88</v>
      </c>
      <c r="AB57" s="68">
        <v>0.96</v>
      </c>
      <c r="AC57" s="68">
        <v>1</v>
      </c>
      <c r="AD57" s="68">
        <v>0.93</v>
      </c>
      <c r="AE57" s="68">
        <v>0.88</v>
      </c>
      <c r="AF57" s="68">
        <v>0.98</v>
      </c>
      <c r="AG57" s="68">
        <v>1</v>
      </c>
      <c r="AH57" s="68">
        <v>1</v>
      </c>
      <c r="AI57" s="68">
        <v>0.53</v>
      </c>
      <c r="AJ57" s="68">
        <v>0.34</v>
      </c>
    </row>
    <row r="58" spans="15:36" ht="15.75" customHeight="1" x14ac:dyDescent="0.15">
      <c r="O58" s="67">
        <v>51</v>
      </c>
      <c r="P58" s="68">
        <v>0.68</v>
      </c>
      <c r="Q58" s="68">
        <v>0.65</v>
      </c>
      <c r="R58" s="68">
        <v>0.99</v>
      </c>
      <c r="S58" s="68">
        <v>0.84</v>
      </c>
      <c r="T58" s="68">
        <v>0.75</v>
      </c>
      <c r="U58" s="68">
        <v>1</v>
      </c>
      <c r="V58" s="68">
        <v>1</v>
      </c>
      <c r="W58" s="68">
        <v>1</v>
      </c>
      <c r="X58" s="68">
        <v>0.75</v>
      </c>
      <c r="Y58" s="68">
        <v>0.66</v>
      </c>
      <c r="Z58" s="67">
        <v>51</v>
      </c>
      <c r="AA58" s="68">
        <v>0.89</v>
      </c>
      <c r="AB58" s="68">
        <v>0.96</v>
      </c>
      <c r="AC58" s="68">
        <v>1</v>
      </c>
      <c r="AD58" s="68">
        <v>0.94</v>
      </c>
      <c r="AE58" s="68">
        <v>0.9</v>
      </c>
      <c r="AF58" s="68">
        <v>0.98</v>
      </c>
      <c r="AG58" s="68">
        <v>1</v>
      </c>
      <c r="AH58" s="68">
        <v>1</v>
      </c>
      <c r="AI58" s="68">
        <v>0.56000000000000005</v>
      </c>
      <c r="AJ58" s="68">
        <v>0.37</v>
      </c>
    </row>
    <row r="59" spans="15:36" ht="15.75" customHeight="1" x14ac:dyDescent="0.15">
      <c r="O59" s="67">
        <v>52</v>
      </c>
      <c r="P59" s="68">
        <v>0.71</v>
      </c>
      <c r="Q59" s="68">
        <v>0.7</v>
      </c>
      <c r="R59" s="68">
        <v>1</v>
      </c>
      <c r="S59" s="68">
        <v>0.86</v>
      </c>
      <c r="T59" s="68">
        <v>0.77</v>
      </c>
      <c r="U59" s="68">
        <v>1</v>
      </c>
      <c r="V59" s="68">
        <v>1</v>
      </c>
      <c r="W59" s="68">
        <v>1</v>
      </c>
      <c r="X59" s="68">
        <v>0.77</v>
      </c>
      <c r="Y59" s="68">
        <v>0.69</v>
      </c>
      <c r="Z59" s="67">
        <v>52</v>
      </c>
      <c r="AA59" s="68">
        <v>0.9</v>
      </c>
      <c r="AB59" s="68">
        <v>0.97</v>
      </c>
      <c r="AC59" s="68">
        <v>1</v>
      </c>
      <c r="AD59" s="68">
        <v>0.95</v>
      </c>
      <c r="AE59" s="68">
        <v>0.91</v>
      </c>
      <c r="AF59" s="68">
        <v>0.98</v>
      </c>
      <c r="AG59" s="68">
        <v>1</v>
      </c>
      <c r="AH59" s="68">
        <v>1</v>
      </c>
      <c r="AI59" s="68">
        <v>0.57999999999999996</v>
      </c>
      <c r="AJ59" s="68">
        <v>0.4</v>
      </c>
    </row>
    <row r="60" spans="15:36" ht="15.75" customHeight="1" x14ac:dyDescent="0.15">
      <c r="O60" s="67">
        <v>53</v>
      </c>
      <c r="P60" s="68">
        <v>0.73</v>
      </c>
      <c r="Q60" s="68">
        <v>0.73</v>
      </c>
      <c r="R60" s="68">
        <v>1</v>
      </c>
      <c r="S60" s="68">
        <v>0.88</v>
      </c>
      <c r="T60" s="68">
        <v>0.78</v>
      </c>
      <c r="U60" s="68">
        <v>1</v>
      </c>
      <c r="V60" s="68">
        <v>1</v>
      </c>
      <c r="W60" s="68">
        <v>1</v>
      </c>
      <c r="X60" s="68">
        <v>0.79</v>
      </c>
      <c r="Y60" s="68">
        <v>0.72</v>
      </c>
      <c r="Z60" s="67">
        <v>53</v>
      </c>
      <c r="AA60" s="68">
        <v>0.91</v>
      </c>
      <c r="AB60" s="68">
        <v>0.97</v>
      </c>
      <c r="AC60" s="68">
        <v>1</v>
      </c>
      <c r="AD60" s="68">
        <v>0.96</v>
      </c>
      <c r="AE60" s="68">
        <v>0.92</v>
      </c>
      <c r="AF60" s="68">
        <v>0.99</v>
      </c>
      <c r="AG60" s="68">
        <v>1</v>
      </c>
      <c r="AH60" s="68">
        <v>1</v>
      </c>
      <c r="AI60" s="68">
        <v>0.6</v>
      </c>
      <c r="AJ60" s="68">
        <v>0.41</v>
      </c>
    </row>
    <row r="61" spans="15:36" ht="15.75" customHeight="1" x14ac:dyDescent="0.15">
      <c r="O61" s="67">
        <v>54</v>
      </c>
      <c r="P61" s="68">
        <v>0.74</v>
      </c>
      <c r="Q61" s="68">
        <v>0.77</v>
      </c>
      <c r="R61" s="68">
        <v>1</v>
      </c>
      <c r="S61" s="68">
        <v>0.9</v>
      </c>
      <c r="T61" s="68">
        <v>0.8</v>
      </c>
      <c r="U61" s="68">
        <v>1</v>
      </c>
      <c r="V61" s="68">
        <v>1</v>
      </c>
      <c r="W61" s="68">
        <v>1</v>
      </c>
      <c r="X61" s="68">
        <v>0.81</v>
      </c>
      <c r="Y61" s="68">
        <v>0.73</v>
      </c>
      <c r="Z61" s="67">
        <v>54</v>
      </c>
      <c r="AA61" s="68">
        <v>0.92</v>
      </c>
      <c r="AB61" s="68">
        <v>0.98</v>
      </c>
      <c r="AC61" s="68">
        <v>1</v>
      </c>
      <c r="AD61" s="68">
        <v>0.97</v>
      </c>
      <c r="AE61" s="68">
        <v>0.93</v>
      </c>
      <c r="AF61" s="68">
        <v>0.99</v>
      </c>
      <c r="AG61" s="68">
        <v>1</v>
      </c>
      <c r="AH61" s="68">
        <v>1</v>
      </c>
      <c r="AI61" s="68">
        <v>0.64</v>
      </c>
      <c r="AJ61" s="68">
        <v>0.43</v>
      </c>
    </row>
    <row r="62" spans="15:36" ht="15.75" customHeight="1" x14ac:dyDescent="0.15">
      <c r="O62" s="67">
        <v>55</v>
      </c>
      <c r="P62" s="68">
        <v>0.76</v>
      </c>
      <c r="Q62" s="68">
        <v>0.8</v>
      </c>
      <c r="R62" s="68">
        <v>1</v>
      </c>
      <c r="S62" s="68">
        <v>0.92</v>
      </c>
      <c r="T62" s="68">
        <v>0.82</v>
      </c>
      <c r="U62" s="68">
        <v>1</v>
      </c>
      <c r="V62" s="68">
        <v>1</v>
      </c>
      <c r="W62" s="68">
        <v>1</v>
      </c>
      <c r="X62" s="68">
        <v>0.83</v>
      </c>
      <c r="Y62" s="68">
        <v>0.76</v>
      </c>
      <c r="Z62" s="67">
        <v>55</v>
      </c>
      <c r="AA62" s="68">
        <v>0.93</v>
      </c>
      <c r="AB62" s="68">
        <v>0.98</v>
      </c>
      <c r="AC62" s="68">
        <v>1</v>
      </c>
      <c r="AD62" s="68">
        <v>0.98</v>
      </c>
      <c r="AE62" s="68">
        <v>0.94</v>
      </c>
      <c r="AF62" s="68">
        <v>1</v>
      </c>
      <c r="AG62" s="68">
        <v>1</v>
      </c>
      <c r="AH62" s="68">
        <v>1</v>
      </c>
      <c r="AI62" s="68">
        <v>0.66</v>
      </c>
      <c r="AJ62" s="68">
        <v>0.45</v>
      </c>
    </row>
    <row r="63" spans="15:36" ht="15.75" customHeight="1" x14ac:dyDescent="0.15">
      <c r="O63" s="67">
        <v>56</v>
      </c>
      <c r="P63" s="68">
        <v>0.78</v>
      </c>
      <c r="Q63" s="68">
        <v>0.82</v>
      </c>
      <c r="R63" s="68">
        <v>1</v>
      </c>
      <c r="S63" s="68">
        <v>0.94</v>
      </c>
      <c r="T63" s="68">
        <v>0.84</v>
      </c>
      <c r="U63" s="68">
        <v>1</v>
      </c>
      <c r="V63" s="68">
        <v>1</v>
      </c>
      <c r="W63" s="68">
        <v>1</v>
      </c>
      <c r="X63" s="68">
        <v>0.85</v>
      </c>
      <c r="Y63" s="68">
        <v>0.77</v>
      </c>
      <c r="Z63" s="67">
        <v>56</v>
      </c>
      <c r="AA63" s="68">
        <v>0.94</v>
      </c>
      <c r="AB63" s="68">
        <v>0.98</v>
      </c>
      <c r="AC63" s="68">
        <v>1</v>
      </c>
      <c r="AD63" s="68">
        <v>0.98</v>
      </c>
      <c r="AE63" s="68">
        <v>0.95</v>
      </c>
      <c r="AF63" s="68">
        <v>1</v>
      </c>
      <c r="AG63" s="68">
        <v>1</v>
      </c>
      <c r="AH63" s="68">
        <v>1</v>
      </c>
      <c r="AI63" s="68">
        <v>0.69</v>
      </c>
      <c r="AJ63" s="68">
        <v>0.48</v>
      </c>
    </row>
    <row r="64" spans="15:36" ht="15.75" customHeight="1" x14ac:dyDescent="0.15">
      <c r="O64" s="67">
        <v>57</v>
      </c>
      <c r="P64" s="68">
        <v>0.81</v>
      </c>
      <c r="Q64" s="68">
        <v>0.85</v>
      </c>
      <c r="R64" s="68">
        <v>1</v>
      </c>
      <c r="S64" s="68">
        <v>0.95</v>
      </c>
      <c r="T64" s="68">
        <v>0.85</v>
      </c>
      <c r="U64" s="68">
        <v>1</v>
      </c>
      <c r="V64" s="68">
        <v>1</v>
      </c>
      <c r="W64" s="68">
        <v>1</v>
      </c>
      <c r="X64" s="68">
        <v>0.87</v>
      </c>
      <c r="Y64" s="68">
        <v>0.79</v>
      </c>
      <c r="Z64" s="67">
        <v>57</v>
      </c>
      <c r="AA64" s="68">
        <v>0.95</v>
      </c>
      <c r="AB64" s="68">
        <v>0.98</v>
      </c>
      <c r="AC64" s="68">
        <v>1</v>
      </c>
      <c r="AD64" s="68">
        <v>0.98</v>
      </c>
      <c r="AE64" s="68">
        <v>0.95</v>
      </c>
      <c r="AF64" s="68">
        <v>1</v>
      </c>
      <c r="AG64" s="68">
        <v>1</v>
      </c>
      <c r="AH64" s="68">
        <v>1</v>
      </c>
      <c r="AI64" s="68">
        <v>0.72</v>
      </c>
      <c r="AJ64" s="68">
        <v>0.51</v>
      </c>
    </row>
    <row r="65" spans="15:36" ht="15.75" customHeight="1" x14ac:dyDescent="0.15">
      <c r="O65" s="67">
        <v>58</v>
      </c>
      <c r="P65" s="68">
        <v>0.82</v>
      </c>
      <c r="Q65" s="68">
        <v>0.87</v>
      </c>
      <c r="R65" s="68">
        <v>1</v>
      </c>
      <c r="S65" s="68">
        <v>0.96</v>
      </c>
      <c r="T65" s="68">
        <v>0.86</v>
      </c>
      <c r="U65" s="68">
        <v>1</v>
      </c>
      <c r="V65" s="68">
        <v>1</v>
      </c>
      <c r="W65" s="68">
        <v>1</v>
      </c>
      <c r="X65" s="68">
        <v>0.89</v>
      </c>
      <c r="Y65" s="68">
        <v>0.81</v>
      </c>
      <c r="Z65" s="67">
        <v>58</v>
      </c>
      <c r="AA65" s="68">
        <v>0.96</v>
      </c>
      <c r="AB65" s="68">
        <v>0.99</v>
      </c>
      <c r="AC65" s="68">
        <v>1</v>
      </c>
      <c r="AD65" s="68">
        <v>0.98</v>
      </c>
      <c r="AE65" s="68">
        <v>0.96</v>
      </c>
      <c r="AF65" s="68">
        <v>1</v>
      </c>
      <c r="AG65" s="68">
        <v>1</v>
      </c>
      <c r="AH65" s="68">
        <v>1</v>
      </c>
      <c r="AI65" s="68">
        <v>0.76</v>
      </c>
      <c r="AJ65" s="68">
        <v>0.53</v>
      </c>
    </row>
    <row r="66" spans="15:36" ht="15.75" customHeight="1" x14ac:dyDescent="0.15">
      <c r="O66" s="67">
        <v>59</v>
      </c>
      <c r="P66" s="68">
        <v>0.83</v>
      </c>
      <c r="Q66" s="68">
        <v>0.89</v>
      </c>
      <c r="R66" s="68">
        <v>1</v>
      </c>
      <c r="S66" s="68">
        <v>0.97</v>
      </c>
      <c r="T66" s="68">
        <v>0.87</v>
      </c>
      <c r="U66" s="68">
        <v>1</v>
      </c>
      <c r="V66" s="68">
        <v>1</v>
      </c>
      <c r="W66" s="68">
        <v>1</v>
      </c>
      <c r="X66" s="68">
        <v>0.9</v>
      </c>
      <c r="Y66" s="68">
        <v>0.84</v>
      </c>
      <c r="Z66" s="67">
        <v>59</v>
      </c>
      <c r="AA66" s="68">
        <v>0.97</v>
      </c>
      <c r="AB66" s="68">
        <v>0.99</v>
      </c>
      <c r="AC66" s="68">
        <v>1</v>
      </c>
      <c r="AD66" s="68">
        <v>0.98</v>
      </c>
      <c r="AE66" s="68">
        <v>0.96</v>
      </c>
      <c r="AF66" s="68">
        <v>1</v>
      </c>
      <c r="AG66" s="68">
        <v>1</v>
      </c>
      <c r="AH66" s="68">
        <v>1</v>
      </c>
      <c r="AI66" s="68">
        <v>0.78</v>
      </c>
      <c r="AJ66" s="68">
        <v>0.55000000000000004</v>
      </c>
    </row>
    <row r="67" spans="15:36" ht="15.75" customHeight="1" x14ac:dyDescent="0.15">
      <c r="O67" s="67">
        <v>60</v>
      </c>
      <c r="P67" s="68">
        <v>0.84</v>
      </c>
      <c r="Q67" s="68">
        <v>0.91</v>
      </c>
      <c r="R67" s="68">
        <v>1</v>
      </c>
      <c r="S67" s="68">
        <v>0.98</v>
      </c>
      <c r="T67" s="68">
        <v>0.88</v>
      </c>
      <c r="U67" s="68">
        <v>1</v>
      </c>
      <c r="V67" s="68">
        <v>1</v>
      </c>
      <c r="W67" s="68">
        <v>1</v>
      </c>
      <c r="X67" s="68">
        <v>0.91</v>
      </c>
      <c r="Y67" s="68">
        <v>0.85</v>
      </c>
      <c r="Z67" s="67">
        <v>60</v>
      </c>
      <c r="AA67" s="68">
        <v>0.98</v>
      </c>
      <c r="AB67" s="68">
        <v>1</v>
      </c>
      <c r="AC67" s="68">
        <v>1</v>
      </c>
      <c r="AD67" s="68">
        <v>0.98</v>
      </c>
      <c r="AE67" s="68">
        <v>0.97</v>
      </c>
      <c r="AF67" s="68">
        <v>1</v>
      </c>
      <c r="AG67" s="68">
        <v>1</v>
      </c>
      <c r="AH67" s="68">
        <v>1</v>
      </c>
      <c r="AI67" s="68">
        <v>0.8</v>
      </c>
      <c r="AJ67" s="68">
        <v>0.56999999999999995</v>
      </c>
    </row>
    <row r="68" spans="15:36" ht="15.75" customHeight="1" x14ac:dyDescent="0.15">
      <c r="O68" s="67">
        <v>61</v>
      </c>
      <c r="P68" s="68">
        <v>0.86</v>
      </c>
      <c r="Q68" s="68">
        <v>0.93</v>
      </c>
      <c r="R68" s="68">
        <v>1</v>
      </c>
      <c r="S68" s="68">
        <v>0.99</v>
      </c>
      <c r="T68" s="68">
        <v>0.89</v>
      </c>
      <c r="U68" s="68">
        <v>1</v>
      </c>
      <c r="V68" s="68">
        <v>1</v>
      </c>
      <c r="W68" s="68">
        <v>1</v>
      </c>
      <c r="X68" s="68">
        <v>0.93</v>
      </c>
      <c r="Y68" s="68">
        <v>0.86</v>
      </c>
      <c r="Z68" s="67">
        <v>61</v>
      </c>
      <c r="AA68" s="68">
        <v>0.98</v>
      </c>
      <c r="AB68" s="68">
        <v>1</v>
      </c>
      <c r="AC68" s="68">
        <v>1</v>
      </c>
      <c r="AD68" s="68">
        <v>0.99</v>
      </c>
      <c r="AE68" s="68">
        <v>0.97</v>
      </c>
      <c r="AF68" s="68">
        <v>1</v>
      </c>
      <c r="AG68" s="68">
        <v>1</v>
      </c>
      <c r="AH68" s="68">
        <v>1</v>
      </c>
      <c r="AI68" s="68">
        <v>0.83</v>
      </c>
      <c r="AJ68" s="68">
        <v>0.59</v>
      </c>
    </row>
    <row r="69" spans="15:36" ht="15.75" customHeight="1" x14ac:dyDescent="0.15">
      <c r="O69" s="67">
        <v>62</v>
      </c>
      <c r="P69" s="68">
        <v>0.87</v>
      </c>
      <c r="Q69" s="68">
        <v>0.95</v>
      </c>
      <c r="R69" s="68">
        <v>1</v>
      </c>
      <c r="S69" s="68">
        <v>0.99</v>
      </c>
      <c r="T69" s="68">
        <v>0.9</v>
      </c>
      <c r="U69" s="68">
        <v>1</v>
      </c>
      <c r="V69" s="68">
        <v>1</v>
      </c>
      <c r="W69" s="68">
        <v>1</v>
      </c>
      <c r="X69" s="68">
        <v>0.94</v>
      </c>
      <c r="Y69" s="68">
        <v>0.88</v>
      </c>
      <c r="Z69" s="67">
        <v>62</v>
      </c>
      <c r="AA69" s="68">
        <v>0.99</v>
      </c>
      <c r="AB69" s="68">
        <v>1</v>
      </c>
      <c r="AC69" s="68">
        <v>1</v>
      </c>
      <c r="AD69" s="68">
        <v>0.99</v>
      </c>
      <c r="AE69" s="68">
        <v>0.98</v>
      </c>
      <c r="AF69" s="68">
        <v>1</v>
      </c>
      <c r="AG69" s="68">
        <v>1</v>
      </c>
      <c r="AH69" s="68">
        <v>1</v>
      </c>
      <c r="AI69" s="68">
        <v>0.85</v>
      </c>
      <c r="AJ69" s="68">
        <v>0.61</v>
      </c>
    </row>
    <row r="70" spans="15:36" ht="15.75" customHeight="1" x14ac:dyDescent="0.15">
      <c r="O70" s="67">
        <v>63</v>
      </c>
      <c r="P70" s="68">
        <v>0.89</v>
      </c>
      <c r="Q70" s="68">
        <v>0.97</v>
      </c>
      <c r="R70" s="68">
        <v>1</v>
      </c>
      <c r="S70" s="68">
        <v>1</v>
      </c>
      <c r="T70" s="68">
        <v>0.91</v>
      </c>
      <c r="U70" s="68">
        <v>1</v>
      </c>
      <c r="V70" s="68">
        <v>1</v>
      </c>
      <c r="W70" s="68">
        <v>1</v>
      </c>
      <c r="X70" s="68">
        <v>0.95</v>
      </c>
      <c r="Y70" s="68">
        <v>0.89</v>
      </c>
      <c r="Z70" s="67">
        <v>63</v>
      </c>
      <c r="AA70" s="68">
        <v>1</v>
      </c>
      <c r="AB70" s="68">
        <v>1</v>
      </c>
      <c r="AC70" s="68">
        <v>1</v>
      </c>
      <c r="AD70" s="68">
        <v>1</v>
      </c>
      <c r="AE70" s="68">
        <v>0.98</v>
      </c>
      <c r="AF70" s="68">
        <v>1</v>
      </c>
      <c r="AG70" s="68">
        <v>1</v>
      </c>
      <c r="AH70" s="68">
        <v>1</v>
      </c>
      <c r="AI70" s="68">
        <v>0.86</v>
      </c>
      <c r="AJ70" s="68">
        <v>0.63</v>
      </c>
    </row>
    <row r="71" spans="15:36" ht="15.75" customHeight="1" x14ac:dyDescent="0.15">
      <c r="O71" s="67">
        <v>64</v>
      </c>
      <c r="P71" s="68">
        <v>0.9</v>
      </c>
      <c r="Q71" s="68">
        <v>0.98</v>
      </c>
      <c r="R71" s="68">
        <v>1</v>
      </c>
      <c r="S71" s="68">
        <v>1</v>
      </c>
      <c r="T71" s="68">
        <v>0.92</v>
      </c>
      <c r="U71" s="68">
        <v>1</v>
      </c>
      <c r="V71" s="68">
        <v>1</v>
      </c>
      <c r="W71" s="68">
        <v>1</v>
      </c>
      <c r="X71" s="68">
        <v>0.96</v>
      </c>
      <c r="Y71" s="68">
        <v>0.9</v>
      </c>
      <c r="Z71" s="67">
        <v>64</v>
      </c>
      <c r="AA71" s="68">
        <v>1</v>
      </c>
      <c r="AB71" s="68">
        <v>1</v>
      </c>
      <c r="AC71" s="68">
        <v>1</v>
      </c>
      <c r="AD71" s="68">
        <v>1</v>
      </c>
      <c r="AE71" s="68">
        <v>0.98</v>
      </c>
      <c r="AF71" s="68">
        <v>1</v>
      </c>
      <c r="AG71" s="68">
        <v>1</v>
      </c>
      <c r="AH71" s="68">
        <v>1</v>
      </c>
      <c r="AI71" s="68">
        <v>0.88</v>
      </c>
      <c r="AJ71" s="68">
        <v>0.66</v>
      </c>
    </row>
    <row r="72" spans="15:36" ht="15.75" customHeight="1" x14ac:dyDescent="0.15">
      <c r="O72" s="67">
        <v>65</v>
      </c>
      <c r="P72" s="68">
        <v>0.91</v>
      </c>
      <c r="Q72" s="68">
        <v>0.99</v>
      </c>
      <c r="R72" s="68">
        <v>1</v>
      </c>
      <c r="S72" s="68">
        <v>1</v>
      </c>
      <c r="T72" s="68">
        <v>0.93</v>
      </c>
      <c r="U72" s="68">
        <v>1</v>
      </c>
      <c r="V72" s="68">
        <v>1</v>
      </c>
      <c r="W72" s="68">
        <v>1</v>
      </c>
      <c r="X72" s="68">
        <v>0.97</v>
      </c>
      <c r="Y72" s="68">
        <v>0.92</v>
      </c>
      <c r="Z72" s="67">
        <v>65</v>
      </c>
      <c r="AA72" s="68">
        <v>1</v>
      </c>
      <c r="AB72" s="68">
        <v>1</v>
      </c>
      <c r="AC72" s="68">
        <v>1</v>
      </c>
      <c r="AD72" s="68">
        <v>1</v>
      </c>
      <c r="AE72" s="68">
        <v>0.98</v>
      </c>
      <c r="AF72" s="68">
        <v>1</v>
      </c>
      <c r="AG72" s="68">
        <v>1</v>
      </c>
      <c r="AH72" s="68">
        <v>1</v>
      </c>
      <c r="AI72" s="68">
        <v>0.9</v>
      </c>
      <c r="AJ72" s="68">
        <v>0.69</v>
      </c>
    </row>
    <row r="73" spans="15:36" ht="15.75" customHeight="1" x14ac:dyDescent="0.15">
      <c r="O73" s="67">
        <v>66</v>
      </c>
      <c r="P73" s="68">
        <v>0.93</v>
      </c>
      <c r="Q73" s="68">
        <v>0.99</v>
      </c>
      <c r="R73" s="68">
        <v>1</v>
      </c>
      <c r="S73" s="68">
        <v>1</v>
      </c>
      <c r="T73" s="68">
        <v>0.94</v>
      </c>
      <c r="U73" s="68">
        <v>1</v>
      </c>
      <c r="V73" s="68">
        <v>1</v>
      </c>
      <c r="W73" s="68">
        <v>1</v>
      </c>
      <c r="X73" s="68">
        <v>0.97</v>
      </c>
      <c r="Y73" s="68">
        <v>0.93</v>
      </c>
      <c r="Z73" s="67">
        <v>66</v>
      </c>
      <c r="AA73" s="68">
        <v>1</v>
      </c>
      <c r="AB73" s="68">
        <v>1</v>
      </c>
      <c r="AC73" s="68">
        <v>1</v>
      </c>
      <c r="AD73" s="68">
        <v>1</v>
      </c>
      <c r="AE73" s="68">
        <v>0.98</v>
      </c>
      <c r="AF73" s="68">
        <v>1</v>
      </c>
      <c r="AG73" s="68">
        <v>1</v>
      </c>
      <c r="AH73" s="68">
        <v>1</v>
      </c>
      <c r="AI73" s="68">
        <v>0.91</v>
      </c>
      <c r="AJ73" s="68">
        <v>0.71</v>
      </c>
    </row>
    <row r="74" spans="15:36" ht="15.75" customHeight="1" x14ac:dyDescent="0.15">
      <c r="O74" s="67">
        <v>67</v>
      </c>
      <c r="P74" s="68">
        <v>0.94</v>
      </c>
      <c r="Q74" s="68">
        <v>1</v>
      </c>
      <c r="R74" s="68">
        <v>1</v>
      </c>
      <c r="S74" s="68">
        <v>1</v>
      </c>
      <c r="T74" s="68">
        <v>0.94</v>
      </c>
      <c r="U74" s="68">
        <v>1</v>
      </c>
      <c r="V74" s="68">
        <v>1</v>
      </c>
      <c r="W74" s="68">
        <v>1</v>
      </c>
      <c r="X74" s="68">
        <v>0.98</v>
      </c>
      <c r="Y74" s="68">
        <v>0.93</v>
      </c>
      <c r="Z74" s="67">
        <v>67</v>
      </c>
      <c r="AA74" s="68">
        <v>1</v>
      </c>
      <c r="AB74" s="68">
        <v>1</v>
      </c>
      <c r="AC74" s="68">
        <v>1</v>
      </c>
      <c r="AD74" s="68">
        <v>1</v>
      </c>
      <c r="AE74" s="68">
        <v>0.99</v>
      </c>
      <c r="AF74" s="68">
        <v>1</v>
      </c>
      <c r="AG74" s="68">
        <v>1</v>
      </c>
      <c r="AH74" s="68">
        <v>1</v>
      </c>
      <c r="AI74" s="68">
        <v>0.92</v>
      </c>
      <c r="AJ74" s="68">
        <v>0.73</v>
      </c>
    </row>
    <row r="75" spans="15:36" ht="15.75" customHeight="1" x14ac:dyDescent="0.15">
      <c r="O75" s="67">
        <v>68</v>
      </c>
      <c r="P75" s="68">
        <v>0.95</v>
      </c>
      <c r="Q75" s="68">
        <v>1</v>
      </c>
      <c r="R75" s="68">
        <v>1</v>
      </c>
      <c r="S75" s="68">
        <v>1</v>
      </c>
      <c r="T75" s="68">
        <v>0.95</v>
      </c>
      <c r="U75" s="68">
        <v>1</v>
      </c>
      <c r="V75" s="68">
        <v>1</v>
      </c>
      <c r="W75" s="68">
        <v>1</v>
      </c>
      <c r="X75" s="68">
        <v>0.98</v>
      </c>
      <c r="Y75" s="68">
        <v>0.94</v>
      </c>
      <c r="Z75" s="67">
        <v>68</v>
      </c>
      <c r="AA75" s="68">
        <v>1</v>
      </c>
      <c r="AB75" s="68">
        <v>1</v>
      </c>
      <c r="AC75" s="68">
        <v>1</v>
      </c>
      <c r="AD75" s="68">
        <v>1</v>
      </c>
      <c r="AE75" s="68">
        <v>0.99</v>
      </c>
      <c r="AF75" s="68">
        <v>1</v>
      </c>
      <c r="AG75" s="68">
        <v>1</v>
      </c>
      <c r="AH75" s="68">
        <v>1</v>
      </c>
      <c r="AI75" s="68">
        <v>0.93</v>
      </c>
      <c r="AJ75" s="68">
        <v>0.75</v>
      </c>
    </row>
    <row r="76" spans="15:36" ht="15.75" customHeight="1" x14ac:dyDescent="0.15">
      <c r="O76" s="67">
        <v>69</v>
      </c>
      <c r="P76" s="68">
        <v>0.96</v>
      </c>
      <c r="Q76" s="68">
        <v>1</v>
      </c>
      <c r="R76" s="68">
        <v>1</v>
      </c>
      <c r="S76" s="68">
        <v>1</v>
      </c>
      <c r="T76" s="68">
        <v>0.95</v>
      </c>
      <c r="U76" s="68">
        <v>1</v>
      </c>
      <c r="V76" s="68">
        <v>1</v>
      </c>
      <c r="W76" s="68">
        <v>1</v>
      </c>
      <c r="X76" s="68">
        <v>0.98</v>
      </c>
      <c r="Y76" s="68">
        <v>0.95</v>
      </c>
      <c r="Z76" s="67">
        <v>69</v>
      </c>
      <c r="AA76" s="68">
        <v>1</v>
      </c>
      <c r="AB76" s="68">
        <v>1</v>
      </c>
      <c r="AC76" s="68">
        <v>1</v>
      </c>
      <c r="AD76" s="68">
        <v>1</v>
      </c>
      <c r="AE76" s="68">
        <v>0.99</v>
      </c>
      <c r="AF76" s="68">
        <v>1</v>
      </c>
      <c r="AG76" s="68">
        <v>1</v>
      </c>
      <c r="AH76" s="68">
        <v>1</v>
      </c>
      <c r="AI76" s="68">
        <v>0.94</v>
      </c>
      <c r="AJ76" s="68">
        <v>0.77</v>
      </c>
    </row>
    <row r="77" spans="15:36" ht="15.75" customHeight="1" x14ac:dyDescent="0.15">
      <c r="O77" s="67">
        <v>70</v>
      </c>
      <c r="P77" s="68">
        <v>0.96</v>
      </c>
      <c r="Q77" s="68">
        <v>1</v>
      </c>
      <c r="R77" s="68">
        <v>1</v>
      </c>
      <c r="S77" s="68">
        <v>1</v>
      </c>
      <c r="T77" s="68">
        <v>0.96</v>
      </c>
      <c r="U77" s="68">
        <v>1</v>
      </c>
      <c r="V77" s="68">
        <v>1</v>
      </c>
      <c r="W77" s="68">
        <v>1</v>
      </c>
      <c r="X77" s="68">
        <v>0.98</v>
      </c>
      <c r="Y77" s="68">
        <v>0.95</v>
      </c>
      <c r="Z77" s="67">
        <v>70</v>
      </c>
      <c r="AA77" s="68">
        <v>1</v>
      </c>
      <c r="AB77" s="68">
        <v>1</v>
      </c>
      <c r="AC77" s="68">
        <v>1</v>
      </c>
      <c r="AD77" s="68">
        <v>1</v>
      </c>
      <c r="AE77" s="68">
        <v>1</v>
      </c>
      <c r="AF77" s="68">
        <v>1</v>
      </c>
      <c r="AG77" s="68">
        <v>1</v>
      </c>
      <c r="AH77" s="68">
        <v>1</v>
      </c>
      <c r="AI77" s="68">
        <v>0.95</v>
      </c>
      <c r="AJ77" s="68">
        <v>0.79</v>
      </c>
    </row>
    <row r="78" spans="15:36" ht="15.75" customHeight="1" x14ac:dyDescent="0.15">
      <c r="O78" s="67">
        <v>71</v>
      </c>
      <c r="P78" s="68">
        <v>0.97</v>
      </c>
      <c r="Q78" s="68">
        <v>1</v>
      </c>
      <c r="R78" s="68">
        <v>1</v>
      </c>
      <c r="S78" s="68">
        <v>1</v>
      </c>
      <c r="T78" s="68">
        <v>0.97</v>
      </c>
      <c r="U78" s="68">
        <v>1</v>
      </c>
      <c r="V78" s="68">
        <v>1</v>
      </c>
      <c r="W78" s="68">
        <v>1</v>
      </c>
      <c r="X78" s="68">
        <v>0.98</v>
      </c>
      <c r="Y78" s="68">
        <v>0.96</v>
      </c>
      <c r="Z78" s="67">
        <v>71</v>
      </c>
      <c r="AA78" s="68">
        <v>1</v>
      </c>
      <c r="AB78" s="68">
        <v>1</v>
      </c>
      <c r="AC78" s="68">
        <v>1</v>
      </c>
      <c r="AD78" s="68">
        <v>1</v>
      </c>
      <c r="AE78" s="68">
        <v>1</v>
      </c>
      <c r="AF78" s="68">
        <v>1</v>
      </c>
      <c r="AG78" s="68">
        <v>1</v>
      </c>
      <c r="AH78" s="68">
        <v>1</v>
      </c>
      <c r="AI78" s="68">
        <v>0.96</v>
      </c>
      <c r="AJ78" s="68">
        <v>0.81</v>
      </c>
    </row>
    <row r="79" spans="15:36" ht="15.75" customHeight="1" x14ac:dyDescent="0.15">
      <c r="O79" s="67">
        <v>72</v>
      </c>
      <c r="P79" s="68">
        <v>0.97</v>
      </c>
      <c r="Q79" s="68">
        <v>1</v>
      </c>
      <c r="R79" s="68">
        <v>1</v>
      </c>
      <c r="S79" s="68">
        <v>1</v>
      </c>
      <c r="T79" s="68">
        <v>0.97</v>
      </c>
      <c r="U79" s="68">
        <v>1</v>
      </c>
      <c r="V79" s="68">
        <v>1</v>
      </c>
      <c r="W79" s="68">
        <v>1</v>
      </c>
      <c r="X79" s="68">
        <v>0.99</v>
      </c>
      <c r="Y79" s="68">
        <v>0.96</v>
      </c>
      <c r="Z79" s="67">
        <v>72</v>
      </c>
      <c r="AA79" s="68">
        <v>1</v>
      </c>
      <c r="AB79" s="68">
        <v>1</v>
      </c>
      <c r="AC79" s="68">
        <v>1</v>
      </c>
      <c r="AD79" s="68">
        <v>1</v>
      </c>
      <c r="AE79" s="68">
        <v>1</v>
      </c>
      <c r="AF79" s="68">
        <v>1</v>
      </c>
      <c r="AG79" s="68">
        <v>1</v>
      </c>
      <c r="AH79" s="68">
        <v>1</v>
      </c>
      <c r="AI79" s="68">
        <v>0.97</v>
      </c>
      <c r="AJ79" s="68">
        <v>0.83</v>
      </c>
    </row>
    <row r="80" spans="15:36" ht="15.75" customHeight="1" x14ac:dyDescent="0.15">
      <c r="O80" s="67">
        <v>73</v>
      </c>
      <c r="P80" s="68">
        <v>0.98</v>
      </c>
      <c r="Q80" s="68">
        <v>1</v>
      </c>
      <c r="R80" s="68">
        <v>1</v>
      </c>
      <c r="S80" s="68">
        <v>1</v>
      </c>
      <c r="T80" s="68">
        <v>0.98</v>
      </c>
      <c r="U80" s="68">
        <v>1</v>
      </c>
      <c r="V80" s="68">
        <v>1</v>
      </c>
      <c r="W80" s="68">
        <v>1</v>
      </c>
      <c r="X80" s="68">
        <v>0.99</v>
      </c>
      <c r="Y80" s="68">
        <v>0.97</v>
      </c>
      <c r="Z80" s="67">
        <v>73</v>
      </c>
      <c r="AA80" s="68">
        <v>1</v>
      </c>
      <c r="AB80" s="68">
        <v>1</v>
      </c>
      <c r="AC80" s="68">
        <v>1</v>
      </c>
      <c r="AD80" s="68">
        <v>1</v>
      </c>
      <c r="AE80" s="68">
        <v>1</v>
      </c>
      <c r="AF80" s="68">
        <v>1</v>
      </c>
      <c r="AG80" s="68">
        <v>1</v>
      </c>
      <c r="AH80" s="68">
        <v>1</v>
      </c>
      <c r="AI80" s="68">
        <v>0.98</v>
      </c>
      <c r="AJ80" s="68">
        <v>0.84</v>
      </c>
    </row>
    <row r="81" spans="15:36" ht="15.75" customHeight="1" x14ac:dyDescent="0.15">
      <c r="O81" s="67">
        <v>74</v>
      </c>
      <c r="P81" s="68">
        <v>0.98</v>
      </c>
      <c r="Q81" s="68">
        <v>1</v>
      </c>
      <c r="R81" s="68">
        <v>1</v>
      </c>
      <c r="S81" s="68">
        <v>1</v>
      </c>
      <c r="T81" s="68">
        <v>0.98</v>
      </c>
      <c r="U81" s="68">
        <v>1</v>
      </c>
      <c r="V81" s="68">
        <v>1</v>
      </c>
      <c r="W81" s="68">
        <v>1</v>
      </c>
      <c r="X81" s="68">
        <v>0.99</v>
      </c>
      <c r="Y81" s="68">
        <v>0.97</v>
      </c>
      <c r="Z81" s="67">
        <v>74</v>
      </c>
      <c r="AA81" s="68">
        <v>1</v>
      </c>
      <c r="AB81" s="68">
        <v>1</v>
      </c>
      <c r="AC81" s="68">
        <v>1</v>
      </c>
      <c r="AD81" s="68">
        <v>1</v>
      </c>
      <c r="AE81" s="68">
        <v>1</v>
      </c>
      <c r="AF81" s="68">
        <v>1</v>
      </c>
      <c r="AG81" s="68">
        <v>1</v>
      </c>
      <c r="AH81" s="68">
        <v>1</v>
      </c>
      <c r="AI81" s="68">
        <v>0.99</v>
      </c>
      <c r="AJ81" s="68">
        <v>0.86</v>
      </c>
    </row>
    <row r="82" spans="15:36" ht="15.75" customHeight="1" x14ac:dyDescent="0.15">
      <c r="O82" s="67">
        <v>75</v>
      </c>
      <c r="P82" s="68">
        <v>0.98</v>
      </c>
      <c r="Q82" s="68">
        <v>1</v>
      </c>
      <c r="R82" s="68">
        <v>1</v>
      </c>
      <c r="S82" s="68">
        <v>1</v>
      </c>
      <c r="T82" s="68">
        <v>0.98</v>
      </c>
      <c r="U82" s="68">
        <v>1</v>
      </c>
      <c r="V82" s="68">
        <v>1</v>
      </c>
      <c r="W82" s="68">
        <v>1</v>
      </c>
      <c r="X82" s="68">
        <v>1</v>
      </c>
      <c r="Y82" s="68">
        <v>0.98</v>
      </c>
      <c r="Z82" s="67">
        <v>75</v>
      </c>
      <c r="AA82" s="68">
        <v>1</v>
      </c>
      <c r="AB82" s="68">
        <v>1</v>
      </c>
      <c r="AC82" s="68">
        <v>1</v>
      </c>
      <c r="AD82" s="68">
        <v>1</v>
      </c>
      <c r="AE82" s="68">
        <v>1</v>
      </c>
      <c r="AF82" s="68">
        <v>1</v>
      </c>
      <c r="AG82" s="68">
        <v>1</v>
      </c>
      <c r="AH82" s="68">
        <v>1</v>
      </c>
      <c r="AI82" s="68">
        <v>0.99</v>
      </c>
      <c r="AJ82" s="68">
        <v>0.87</v>
      </c>
    </row>
    <row r="83" spans="15:36" ht="15.75" customHeight="1" x14ac:dyDescent="0.15">
      <c r="O83" s="67">
        <v>76</v>
      </c>
      <c r="P83" s="68">
        <v>0.99</v>
      </c>
      <c r="Q83" s="68">
        <v>1</v>
      </c>
      <c r="R83" s="68">
        <v>1</v>
      </c>
      <c r="S83" s="68">
        <v>1</v>
      </c>
      <c r="T83" s="68">
        <v>0.99</v>
      </c>
      <c r="U83" s="68">
        <v>1</v>
      </c>
      <c r="V83" s="68">
        <v>1</v>
      </c>
      <c r="W83" s="68">
        <v>1</v>
      </c>
      <c r="X83" s="68">
        <v>1</v>
      </c>
      <c r="Y83" s="68">
        <v>0.98</v>
      </c>
      <c r="Z83" s="67">
        <v>76</v>
      </c>
      <c r="AA83" s="68">
        <v>1</v>
      </c>
      <c r="AB83" s="68">
        <v>1</v>
      </c>
      <c r="AC83" s="68">
        <v>1</v>
      </c>
      <c r="AD83" s="68">
        <v>1</v>
      </c>
      <c r="AE83" s="68">
        <v>1</v>
      </c>
      <c r="AF83" s="68">
        <v>1</v>
      </c>
      <c r="AG83" s="68">
        <v>1</v>
      </c>
      <c r="AH83" s="68">
        <v>1</v>
      </c>
      <c r="AI83" s="68">
        <v>0.99</v>
      </c>
      <c r="AJ83" s="68">
        <v>0.88</v>
      </c>
    </row>
    <row r="84" spans="15:36" ht="15.75" customHeight="1" x14ac:dyDescent="0.15">
      <c r="O84" s="67">
        <v>77</v>
      </c>
      <c r="P84" s="68">
        <v>1</v>
      </c>
      <c r="Q84" s="68">
        <v>1</v>
      </c>
      <c r="R84" s="68">
        <v>1</v>
      </c>
      <c r="S84" s="68">
        <v>1</v>
      </c>
      <c r="T84" s="68">
        <v>0.99</v>
      </c>
      <c r="U84" s="68">
        <v>1</v>
      </c>
      <c r="V84" s="68">
        <v>1</v>
      </c>
      <c r="W84" s="68">
        <v>1</v>
      </c>
      <c r="X84" s="68">
        <v>1</v>
      </c>
      <c r="Y84" s="68">
        <v>0.98</v>
      </c>
      <c r="Z84" s="67">
        <v>77</v>
      </c>
      <c r="AA84" s="68">
        <v>1</v>
      </c>
      <c r="AB84" s="68">
        <v>1</v>
      </c>
      <c r="AC84" s="68">
        <v>1</v>
      </c>
      <c r="AD84" s="68">
        <v>1</v>
      </c>
      <c r="AE84" s="68">
        <v>1</v>
      </c>
      <c r="AF84" s="68">
        <v>1</v>
      </c>
      <c r="AG84" s="68">
        <v>1</v>
      </c>
      <c r="AH84" s="68">
        <v>1</v>
      </c>
      <c r="AI84" s="68">
        <v>0.99</v>
      </c>
      <c r="AJ84" s="68">
        <v>0.89</v>
      </c>
    </row>
    <row r="85" spans="15:36" ht="15.75" customHeight="1" x14ac:dyDescent="0.15">
      <c r="O85" s="67">
        <v>78</v>
      </c>
      <c r="P85" s="68">
        <v>1</v>
      </c>
      <c r="Q85" s="68">
        <v>1</v>
      </c>
      <c r="R85" s="68">
        <v>1</v>
      </c>
      <c r="S85" s="68">
        <v>1</v>
      </c>
      <c r="T85" s="68">
        <v>0.99</v>
      </c>
      <c r="U85" s="68">
        <v>1</v>
      </c>
      <c r="V85" s="68">
        <v>1</v>
      </c>
      <c r="W85" s="68">
        <v>1</v>
      </c>
      <c r="X85" s="68">
        <v>1</v>
      </c>
      <c r="Y85" s="68">
        <v>0.98</v>
      </c>
      <c r="Z85" s="67">
        <v>78</v>
      </c>
      <c r="AA85" s="68">
        <v>1</v>
      </c>
      <c r="AB85" s="68">
        <v>1</v>
      </c>
      <c r="AC85" s="68">
        <v>1</v>
      </c>
      <c r="AD85" s="68">
        <v>1</v>
      </c>
      <c r="AE85" s="68">
        <v>1</v>
      </c>
      <c r="AF85" s="68">
        <v>1</v>
      </c>
      <c r="AG85" s="68">
        <v>1</v>
      </c>
      <c r="AH85" s="68">
        <v>1</v>
      </c>
      <c r="AI85" s="68">
        <v>1</v>
      </c>
      <c r="AJ85" s="68">
        <v>0.91</v>
      </c>
    </row>
    <row r="86" spans="15:36" ht="15.75" customHeight="1" x14ac:dyDescent="0.15">
      <c r="O86" s="67">
        <v>79</v>
      </c>
      <c r="P86" s="68">
        <v>1</v>
      </c>
      <c r="Q86" s="68">
        <v>1</v>
      </c>
      <c r="R86" s="68">
        <v>1</v>
      </c>
      <c r="S86" s="68">
        <v>1</v>
      </c>
      <c r="T86" s="68">
        <v>1</v>
      </c>
      <c r="U86" s="68">
        <v>1</v>
      </c>
      <c r="V86" s="68">
        <v>1</v>
      </c>
      <c r="W86" s="68">
        <v>1</v>
      </c>
      <c r="X86" s="68">
        <v>1</v>
      </c>
      <c r="Y86" s="68">
        <v>0.98</v>
      </c>
      <c r="Z86" s="67">
        <v>79</v>
      </c>
      <c r="AA86" s="68">
        <v>1</v>
      </c>
      <c r="AB86" s="68">
        <v>1</v>
      </c>
      <c r="AC86" s="68">
        <v>1</v>
      </c>
      <c r="AD86" s="68">
        <v>1</v>
      </c>
      <c r="AE86" s="68">
        <v>1</v>
      </c>
      <c r="AF86" s="68">
        <v>1</v>
      </c>
      <c r="AG86" s="68">
        <v>1</v>
      </c>
      <c r="AH86" s="68">
        <v>1</v>
      </c>
      <c r="AI86" s="68">
        <v>1</v>
      </c>
      <c r="AJ86" s="68">
        <v>0.92</v>
      </c>
    </row>
    <row r="87" spans="15:36" ht="15.75" customHeight="1" x14ac:dyDescent="0.15">
      <c r="O87" s="67">
        <v>80</v>
      </c>
      <c r="P87" s="68">
        <v>1</v>
      </c>
      <c r="Q87" s="68">
        <v>1</v>
      </c>
      <c r="R87" s="68">
        <v>1</v>
      </c>
      <c r="S87" s="68">
        <v>1</v>
      </c>
      <c r="T87" s="68">
        <v>1</v>
      </c>
      <c r="U87" s="68">
        <v>1</v>
      </c>
      <c r="V87" s="68">
        <v>1</v>
      </c>
      <c r="W87" s="68">
        <v>1</v>
      </c>
      <c r="X87" s="68">
        <v>1</v>
      </c>
      <c r="Y87" s="68">
        <v>0.99</v>
      </c>
      <c r="Z87" s="67">
        <v>80</v>
      </c>
      <c r="AA87" s="68">
        <v>1</v>
      </c>
      <c r="AB87" s="68">
        <v>1</v>
      </c>
      <c r="AC87" s="68">
        <v>1</v>
      </c>
      <c r="AD87" s="68">
        <v>1</v>
      </c>
      <c r="AE87" s="68">
        <v>1</v>
      </c>
      <c r="AF87" s="68">
        <v>1</v>
      </c>
      <c r="AG87" s="68">
        <v>1</v>
      </c>
      <c r="AH87" s="68">
        <v>1</v>
      </c>
      <c r="AI87" s="68">
        <v>1</v>
      </c>
      <c r="AJ87" s="68">
        <v>0.93</v>
      </c>
    </row>
    <row r="88" spans="15:36" ht="15.75" customHeight="1" x14ac:dyDescent="0.15">
      <c r="O88" s="67">
        <v>81</v>
      </c>
      <c r="P88" s="68">
        <v>1</v>
      </c>
      <c r="Q88" s="68">
        <v>1</v>
      </c>
      <c r="R88" s="68">
        <v>1</v>
      </c>
      <c r="S88" s="68">
        <v>1</v>
      </c>
      <c r="T88" s="68">
        <v>1</v>
      </c>
      <c r="U88" s="68">
        <v>1</v>
      </c>
      <c r="V88" s="68">
        <v>1</v>
      </c>
      <c r="W88" s="68">
        <v>1</v>
      </c>
      <c r="X88" s="68">
        <v>1</v>
      </c>
      <c r="Y88" s="68">
        <v>0.99</v>
      </c>
      <c r="Z88" s="67">
        <v>81</v>
      </c>
      <c r="AA88" s="68">
        <v>1</v>
      </c>
      <c r="AB88" s="68">
        <v>1</v>
      </c>
      <c r="AC88" s="68">
        <v>1</v>
      </c>
      <c r="AD88" s="68">
        <v>1</v>
      </c>
      <c r="AE88" s="68">
        <v>1</v>
      </c>
      <c r="AF88" s="68">
        <v>1</v>
      </c>
      <c r="AG88" s="68">
        <v>1</v>
      </c>
      <c r="AH88" s="68">
        <v>1</v>
      </c>
      <c r="AI88" s="68">
        <v>1</v>
      </c>
      <c r="AJ88" s="68">
        <v>0.95</v>
      </c>
    </row>
    <row r="89" spans="15:36" ht="15.75" customHeight="1" x14ac:dyDescent="0.15">
      <c r="O89" s="67">
        <v>82</v>
      </c>
      <c r="P89" s="68">
        <v>1</v>
      </c>
      <c r="Q89" s="68">
        <v>1</v>
      </c>
      <c r="R89" s="68">
        <v>1</v>
      </c>
      <c r="S89" s="68">
        <v>1</v>
      </c>
      <c r="T89" s="68">
        <v>1</v>
      </c>
      <c r="U89" s="68">
        <v>1</v>
      </c>
      <c r="V89" s="68">
        <v>1</v>
      </c>
      <c r="W89" s="68">
        <v>1</v>
      </c>
      <c r="X89" s="68">
        <v>1</v>
      </c>
      <c r="Y89" s="68">
        <v>1</v>
      </c>
      <c r="Z89" s="67">
        <v>82</v>
      </c>
      <c r="AA89" s="68">
        <v>1</v>
      </c>
      <c r="AB89" s="68">
        <v>1</v>
      </c>
      <c r="AC89" s="68">
        <v>1</v>
      </c>
      <c r="AD89" s="68">
        <v>1</v>
      </c>
      <c r="AE89" s="68">
        <v>1</v>
      </c>
      <c r="AF89" s="68">
        <v>1</v>
      </c>
      <c r="AG89" s="68">
        <v>1</v>
      </c>
      <c r="AH89" s="68">
        <v>1</v>
      </c>
      <c r="AI89" s="68">
        <v>1</v>
      </c>
      <c r="AJ89" s="68">
        <v>0.96</v>
      </c>
    </row>
    <row r="90" spans="15:36" ht="15.75" customHeight="1" x14ac:dyDescent="0.15">
      <c r="O90" s="67">
        <v>83</v>
      </c>
      <c r="P90" s="68">
        <v>1</v>
      </c>
      <c r="Q90" s="68">
        <v>1</v>
      </c>
      <c r="R90" s="68">
        <v>1</v>
      </c>
      <c r="S90" s="68">
        <v>1</v>
      </c>
      <c r="T90" s="68">
        <v>1</v>
      </c>
      <c r="U90" s="68">
        <v>1</v>
      </c>
      <c r="V90" s="68">
        <v>1</v>
      </c>
      <c r="W90" s="68">
        <v>1</v>
      </c>
      <c r="X90" s="68">
        <v>1</v>
      </c>
      <c r="Y90" s="68">
        <v>1</v>
      </c>
      <c r="Z90" s="67">
        <v>83</v>
      </c>
      <c r="AA90" s="68">
        <v>1</v>
      </c>
      <c r="AB90" s="68">
        <v>1</v>
      </c>
      <c r="AC90" s="68">
        <v>1</v>
      </c>
      <c r="AD90" s="68">
        <v>1</v>
      </c>
      <c r="AE90" s="68">
        <v>1</v>
      </c>
      <c r="AF90" s="68">
        <v>1</v>
      </c>
      <c r="AG90" s="68">
        <v>1</v>
      </c>
      <c r="AH90" s="68">
        <v>1</v>
      </c>
      <c r="AI90" s="68">
        <v>1</v>
      </c>
      <c r="AJ90" s="68">
        <v>0.96</v>
      </c>
    </row>
    <row r="91" spans="15:36" ht="15.75" customHeight="1" x14ac:dyDescent="0.15">
      <c r="O91" s="67">
        <v>84</v>
      </c>
      <c r="P91" s="68">
        <v>1</v>
      </c>
      <c r="Q91" s="68">
        <v>1</v>
      </c>
      <c r="R91" s="68">
        <v>1</v>
      </c>
      <c r="S91" s="68">
        <v>1</v>
      </c>
      <c r="T91" s="68">
        <v>1</v>
      </c>
      <c r="U91" s="68">
        <v>1</v>
      </c>
      <c r="V91" s="68">
        <v>1</v>
      </c>
      <c r="W91" s="68">
        <v>1</v>
      </c>
      <c r="X91" s="68">
        <v>1</v>
      </c>
      <c r="Y91" s="68">
        <v>1</v>
      </c>
      <c r="Z91" s="67">
        <v>84</v>
      </c>
      <c r="AA91" s="68">
        <v>1</v>
      </c>
      <c r="AB91" s="68">
        <v>1</v>
      </c>
      <c r="AC91" s="68">
        <v>1</v>
      </c>
      <c r="AD91" s="68">
        <v>1</v>
      </c>
      <c r="AE91" s="68">
        <v>1</v>
      </c>
      <c r="AF91" s="68">
        <v>1</v>
      </c>
      <c r="AG91" s="68">
        <v>1</v>
      </c>
      <c r="AH91" s="68">
        <v>1</v>
      </c>
      <c r="AI91" s="68">
        <v>1</v>
      </c>
      <c r="AJ91" s="68">
        <v>0.97</v>
      </c>
    </row>
    <row r="92" spans="15:36" ht="15.75" customHeight="1" x14ac:dyDescent="0.15">
      <c r="O92" s="67">
        <v>85</v>
      </c>
      <c r="P92" s="68">
        <v>1</v>
      </c>
      <c r="Q92" s="68">
        <v>1</v>
      </c>
      <c r="R92" s="68">
        <v>1</v>
      </c>
      <c r="S92" s="68">
        <v>1</v>
      </c>
      <c r="T92" s="68">
        <v>1</v>
      </c>
      <c r="U92" s="68">
        <v>1</v>
      </c>
      <c r="V92" s="68">
        <v>1</v>
      </c>
      <c r="W92" s="68">
        <v>1</v>
      </c>
      <c r="X92" s="68">
        <v>1</v>
      </c>
      <c r="Y92" s="68">
        <v>1</v>
      </c>
      <c r="Z92" s="67">
        <v>85</v>
      </c>
      <c r="AA92" s="68">
        <v>1</v>
      </c>
      <c r="AB92" s="68">
        <v>1</v>
      </c>
      <c r="AC92" s="68">
        <v>1</v>
      </c>
      <c r="AD92" s="68">
        <v>1</v>
      </c>
      <c r="AE92" s="68">
        <v>1</v>
      </c>
      <c r="AF92" s="68">
        <v>1</v>
      </c>
      <c r="AG92" s="68">
        <v>1</v>
      </c>
      <c r="AH92" s="68">
        <v>1</v>
      </c>
      <c r="AI92" s="68">
        <v>1</v>
      </c>
      <c r="AJ92" s="68">
        <v>0.98</v>
      </c>
    </row>
    <row r="93" spans="15:36" ht="15.75" customHeight="1" x14ac:dyDescent="0.15">
      <c r="O93" s="67">
        <v>86</v>
      </c>
      <c r="P93" s="68">
        <v>1</v>
      </c>
      <c r="Q93" s="68">
        <v>1</v>
      </c>
      <c r="R93" s="68">
        <v>1</v>
      </c>
      <c r="S93" s="68">
        <v>1</v>
      </c>
      <c r="T93" s="68">
        <v>1</v>
      </c>
      <c r="U93" s="68">
        <v>1</v>
      </c>
      <c r="V93" s="68">
        <v>1</v>
      </c>
      <c r="W93" s="68">
        <v>1</v>
      </c>
      <c r="X93" s="68">
        <v>1</v>
      </c>
      <c r="Y93" s="68">
        <v>1</v>
      </c>
      <c r="Z93" s="67">
        <v>86</v>
      </c>
      <c r="AA93" s="68">
        <v>1</v>
      </c>
      <c r="AB93" s="68">
        <v>1</v>
      </c>
      <c r="AC93" s="68">
        <v>1</v>
      </c>
      <c r="AD93" s="68">
        <v>1</v>
      </c>
      <c r="AE93" s="68">
        <v>1</v>
      </c>
      <c r="AF93" s="68">
        <v>1</v>
      </c>
      <c r="AG93" s="68">
        <v>1</v>
      </c>
      <c r="AH93" s="68">
        <v>1</v>
      </c>
      <c r="AI93" s="68">
        <v>1</v>
      </c>
      <c r="AJ93" s="68">
        <v>0.98</v>
      </c>
    </row>
    <row r="94" spans="15:36" ht="15.75" customHeight="1" x14ac:dyDescent="0.15">
      <c r="O94" s="67">
        <v>87</v>
      </c>
      <c r="P94" s="68">
        <v>1</v>
      </c>
      <c r="Q94" s="68">
        <v>1</v>
      </c>
      <c r="R94" s="68">
        <v>1</v>
      </c>
      <c r="S94" s="68">
        <v>1</v>
      </c>
      <c r="T94" s="68">
        <v>1</v>
      </c>
      <c r="U94" s="68">
        <v>1</v>
      </c>
      <c r="V94" s="68">
        <v>1</v>
      </c>
      <c r="W94" s="68">
        <v>1</v>
      </c>
      <c r="X94" s="68">
        <v>1</v>
      </c>
      <c r="Y94" s="68">
        <v>1</v>
      </c>
      <c r="Z94" s="67">
        <v>87</v>
      </c>
      <c r="AA94" s="68">
        <v>1</v>
      </c>
      <c r="AB94" s="68">
        <v>1</v>
      </c>
      <c r="AC94" s="68">
        <v>1</v>
      </c>
      <c r="AD94" s="68">
        <v>1</v>
      </c>
      <c r="AE94" s="68">
        <v>1</v>
      </c>
      <c r="AF94" s="68">
        <v>1</v>
      </c>
      <c r="AG94" s="68">
        <v>1</v>
      </c>
      <c r="AH94" s="68">
        <v>1</v>
      </c>
      <c r="AI94" s="68">
        <v>1</v>
      </c>
      <c r="AJ94" s="68">
        <v>0.98</v>
      </c>
    </row>
    <row r="95" spans="15:36" ht="15.75" customHeight="1" x14ac:dyDescent="0.15">
      <c r="O95" s="67">
        <v>88</v>
      </c>
      <c r="P95" s="68">
        <v>1</v>
      </c>
      <c r="Q95" s="68">
        <v>1</v>
      </c>
      <c r="R95" s="68">
        <v>1</v>
      </c>
      <c r="S95" s="68">
        <v>1</v>
      </c>
      <c r="T95" s="68">
        <v>1</v>
      </c>
      <c r="U95" s="68">
        <v>1</v>
      </c>
      <c r="V95" s="68">
        <v>1</v>
      </c>
      <c r="W95" s="68">
        <v>1</v>
      </c>
      <c r="X95" s="68">
        <v>1</v>
      </c>
      <c r="Y95" s="68">
        <v>1</v>
      </c>
      <c r="Z95" s="67">
        <v>88</v>
      </c>
      <c r="AA95" s="68">
        <v>1</v>
      </c>
      <c r="AB95" s="68">
        <v>1</v>
      </c>
      <c r="AC95" s="68">
        <v>1</v>
      </c>
      <c r="AD95" s="68">
        <v>1</v>
      </c>
      <c r="AE95" s="68">
        <v>1</v>
      </c>
      <c r="AF95" s="68">
        <v>1</v>
      </c>
      <c r="AG95" s="68">
        <v>1</v>
      </c>
      <c r="AH95" s="68">
        <v>1</v>
      </c>
      <c r="AI95" s="68">
        <v>1</v>
      </c>
      <c r="AJ95" s="68">
        <v>0.98</v>
      </c>
    </row>
    <row r="96" spans="15:36" ht="15.75" customHeight="1" x14ac:dyDescent="0.15">
      <c r="O96" s="67">
        <v>89</v>
      </c>
      <c r="P96" s="68">
        <v>1</v>
      </c>
      <c r="Q96" s="68">
        <v>1</v>
      </c>
      <c r="R96" s="68">
        <v>1</v>
      </c>
      <c r="S96" s="68">
        <v>1</v>
      </c>
      <c r="T96" s="68">
        <v>1</v>
      </c>
      <c r="U96" s="68">
        <v>1</v>
      </c>
      <c r="V96" s="68">
        <v>1</v>
      </c>
      <c r="W96" s="68">
        <v>1</v>
      </c>
      <c r="X96" s="68">
        <v>1</v>
      </c>
      <c r="Y96" s="68">
        <v>1</v>
      </c>
      <c r="Z96" s="67">
        <v>89</v>
      </c>
      <c r="AA96" s="68">
        <v>1</v>
      </c>
      <c r="AB96" s="68">
        <v>1</v>
      </c>
      <c r="AC96" s="68">
        <v>1</v>
      </c>
      <c r="AD96" s="68">
        <v>1</v>
      </c>
      <c r="AE96" s="68">
        <v>1</v>
      </c>
      <c r="AF96" s="68">
        <v>1</v>
      </c>
      <c r="AG96" s="68">
        <v>1</v>
      </c>
      <c r="AH96" s="68">
        <v>1</v>
      </c>
      <c r="AI96" s="68">
        <v>1</v>
      </c>
      <c r="AJ96" s="68">
        <v>0.98</v>
      </c>
    </row>
    <row r="97" spans="15:36" ht="15.75" customHeight="1" x14ac:dyDescent="0.15">
      <c r="O97" s="67">
        <v>90</v>
      </c>
      <c r="P97" s="68">
        <v>1</v>
      </c>
      <c r="Q97" s="68">
        <v>1</v>
      </c>
      <c r="R97" s="68">
        <v>1</v>
      </c>
      <c r="S97" s="68">
        <v>1</v>
      </c>
      <c r="T97" s="68">
        <v>1</v>
      </c>
      <c r="U97" s="68">
        <v>1</v>
      </c>
      <c r="V97" s="68">
        <v>1</v>
      </c>
      <c r="W97" s="68">
        <v>1</v>
      </c>
      <c r="X97" s="68">
        <v>1</v>
      </c>
      <c r="Y97" s="68">
        <v>1</v>
      </c>
      <c r="Z97" s="67">
        <v>90</v>
      </c>
      <c r="AA97" s="68">
        <v>1</v>
      </c>
      <c r="AB97" s="68">
        <v>1</v>
      </c>
      <c r="AC97" s="68">
        <v>1</v>
      </c>
      <c r="AD97" s="68">
        <v>1</v>
      </c>
      <c r="AE97" s="68">
        <v>1</v>
      </c>
      <c r="AF97" s="68">
        <v>1</v>
      </c>
      <c r="AG97" s="68">
        <v>1</v>
      </c>
      <c r="AH97" s="68">
        <v>1</v>
      </c>
      <c r="AI97" s="68">
        <v>1</v>
      </c>
      <c r="AJ97" s="68">
        <v>0.99</v>
      </c>
    </row>
    <row r="98" spans="15:36" ht="15.75" customHeight="1" x14ac:dyDescent="0.15">
      <c r="O98" s="67">
        <v>91</v>
      </c>
      <c r="P98" s="68">
        <v>1</v>
      </c>
      <c r="Q98" s="68">
        <v>1</v>
      </c>
      <c r="R98" s="68">
        <v>1</v>
      </c>
      <c r="S98" s="68">
        <v>1</v>
      </c>
      <c r="T98" s="68">
        <v>1</v>
      </c>
      <c r="U98" s="68">
        <v>1</v>
      </c>
      <c r="V98" s="68">
        <v>1</v>
      </c>
      <c r="W98" s="68">
        <v>1</v>
      </c>
      <c r="X98" s="68">
        <v>1</v>
      </c>
      <c r="Y98" s="68">
        <v>1</v>
      </c>
      <c r="Z98" s="67">
        <v>91</v>
      </c>
      <c r="AA98" s="68">
        <v>1</v>
      </c>
      <c r="AB98" s="68">
        <v>1</v>
      </c>
      <c r="AC98" s="68">
        <v>1</v>
      </c>
      <c r="AD98" s="68">
        <v>1</v>
      </c>
      <c r="AE98" s="68">
        <v>1</v>
      </c>
      <c r="AF98" s="68">
        <v>1</v>
      </c>
      <c r="AG98" s="68">
        <v>1</v>
      </c>
      <c r="AH98" s="68">
        <v>1</v>
      </c>
      <c r="AI98" s="68">
        <v>1</v>
      </c>
      <c r="AJ98" s="68">
        <v>0.99</v>
      </c>
    </row>
    <row r="99" spans="15:36" ht="15.75" customHeight="1" x14ac:dyDescent="0.15">
      <c r="O99" s="67">
        <v>92</v>
      </c>
      <c r="P99" s="68">
        <v>1</v>
      </c>
      <c r="Q99" s="68">
        <v>1</v>
      </c>
      <c r="R99" s="68">
        <v>1</v>
      </c>
      <c r="S99" s="68">
        <v>1</v>
      </c>
      <c r="T99" s="68">
        <v>1</v>
      </c>
      <c r="U99" s="68">
        <v>1</v>
      </c>
      <c r="V99" s="68">
        <v>1</v>
      </c>
      <c r="W99" s="68">
        <v>1</v>
      </c>
      <c r="X99" s="68">
        <v>1</v>
      </c>
      <c r="Y99" s="68">
        <v>1</v>
      </c>
      <c r="Z99" s="67">
        <v>92</v>
      </c>
      <c r="AA99" s="68">
        <v>1</v>
      </c>
      <c r="AB99" s="68">
        <v>1</v>
      </c>
      <c r="AC99" s="68">
        <v>1</v>
      </c>
      <c r="AD99" s="68">
        <v>1</v>
      </c>
      <c r="AE99" s="68">
        <v>1</v>
      </c>
      <c r="AF99" s="68">
        <v>1</v>
      </c>
      <c r="AG99" s="68">
        <v>1</v>
      </c>
      <c r="AH99" s="68">
        <v>1</v>
      </c>
      <c r="AI99" s="68">
        <v>1</v>
      </c>
      <c r="AJ99" s="68">
        <v>0.99</v>
      </c>
    </row>
    <row r="100" spans="15:36" ht="15.75" customHeight="1" x14ac:dyDescent="0.15">
      <c r="O100" s="67">
        <v>93</v>
      </c>
      <c r="P100" s="68">
        <v>1</v>
      </c>
      <c r="Q100" s="68">
        <v>1</v>
      </c>
      <c r="R100" s="68">
        <v>1</v>
      </c>
      <c r="S100" s="68">
        <v>1</v>
      </c>
      <c r="T100" s="68">
        <v>1</v>
      </c>
      <c r="U100" s="68">
        <v>1</v>
      </c>
      <c r="V100" s="68">
        <v>1</v>
      </c>
      <c r="W100" s="68">
        <v>1</v>
      </c>
      <c r="X100" s="68">
        <v>1</v>
      </c>
      <c r="Y100" s="68">
        <v>1</v>
      </c>
      <c r="Z100" s="67">
        <v>93</v>
      </c>
      <c r="AA100" s="68">
        <v>1</v>
      </c>
      <c r="AB100" s="68">
        <v>1</v>
      </c>
      <c r="AC100" s="68">
        <v>1</v>
      </c>
      <c r="AD100" s="68">
        <v>1</v>
      </c>
      <c r="AE100" s="68">
        <v>1</v>
      </c>
      <c r="AF100" s="68">
        <v>1</v>
      </c>
      <c r="AG100" s="68">
        <v>1</v>
      </c>
      <c r="AH100" s="68">
        <v>1</v>
      </c>
      <c r="AI100" s="68">
        <v>1</v>
      </c>
      <c r="AJ100" s="68">
        <v>0.99</v>
      </c>
    </row>
    <row r="101" spans="15:36" ht="15.75" customHeight="1" x14ac:dyDescent="0.15">
      <c r="O101" s="67">
        <v>94</v>
      </c>
      <c r="P101" s="68">
        <v>1</v>
      </c>
      <c r="Q101" s="68">
        <v>1</v>
      </c>
      <c r="R101" s="68">
        <v>1</v>
      </c>
      <c r="S101" s="68">
        <v>1</v>
      </c>
      <c r="T101" s="68">
        <v>1</v>
      </c>
      <c r="U101" s="68">
        <v>1</v>
      </c>
      <c r="V101" s="68">
        <v>1</v>
      </c>
      <c r="W101" s="68">
        <v>1</v>
      </c>
      <c r="X101" s="68">
        <v>1</v>
      </c>
      <c r="Y101" s="68">
        <v>1</v>
      </c>
      <c r="Z101" s="67">
        <v>94</v>
      </c>
      <c r="AA101" s="68">
        <v>1</v>
      </c>
      <c r="AB101" s="68">
        <v>1</v>
      </c>
      <c r="AC101" s="68">
        <v>1</v>
      </c>
      <c r="AD101" s="68">
        <v>1</v>
      </c>
      <c r="AE101" s="68">
        <v>1</v>
      </c>
      <c r="AF101" s="68">
        <v>1</v>
      </c>
      <c r="AG101" s="68">
        <v>1</v>
      </c>
      <c r="AH101" s="68">
        <v>1</v>
      </c>
      <c r="AI101" s="68">
        <v>1</v>
      </c>
      <c r="AJ101" s="68">
        <v>0.99</v>
      </c>
    </row>
    <row r="102" spans="15:36" ht="15.75" customHeight="1" x14ac:dyDescent="0.15">
      <c r="O102" s="67">
        <v>95</v>
      </c>
      <c r="P102" s="68">
        <v>1</v>
      </c>
      <c r="Q102" s="68">
        <v>1</v>
      </c>
      <c r="R102" s="68">
        <v>1</v>
      </c>
      <c r="S102" s="68">
        <v>1</v>
      </c>
      <c r="T102" s="68">
        <v>1</v>
      </c>
      <c r="U102" s="68">
        <v>1</v>
      </c>
      <c r="V102" s="68">
        <v>1</v>
      </c>
      <c r="W102" s="68">
        <v>1</v>
      </c>
      <c r="X102" s="68">
        <v>1</v>
      </c>
      <c r="Y102" s="68">
        <v>1</v>
      </c>
      <c r="Z102" s="67">
        <v>95</v>
      </c>
      <c r="AA102" s="68">
        <v>1</v>
      </c>
      <c r="AB102" s="68">
        <v>1</v>
      </c>
      <c r="AC102" s="68">
        <v>1</v>
      </c>
      <c r="AD102" s="68">
        <v>1</v>
      </c>
      <c r="AE102" s="68">
        <v>1</v>
      </c>
      <c r="AF102" s="68">
        <v>1</v>
      </c>
      <c r="AG102" s="68">
        <v>1</v>
      </c>
      <c r="AH102" s="68">
        <v>1</v>
      </c>
      <c r="AI102" s="68">
        <v>1</v>
      </c>
      <c r="AJ102" s="68">
        <v>1</v>
      </c>
    </row>
    <row r="103" spans="15:36" ht="15.75" customHeight="1" x14ac:dyDescent="0.15">
      <c r="O103" s="67">
        <v>96</v>
      </c>
      <c r="P103" s="68">
        <v>1</v>
      </c>
      <c r="Q103" s="68">
        <v>1</v>
      </c>
      <c r="R103" s="68">
        <v>1</v>
      </c>
      <c r="S103" s="68">
        <v>1</v>
      </c>
      <c r="T103" s="68">
        <v>1</v>
      </c>
      <c r="U103" s="68">
        <v>1</v>
      </c>
      <c r="V103" s="68">
        <v>1</v>
      </c>
      <c r="W103" s="68">
        <v>1</v>
      </c>
      <c r="X103" s="68">
        <v>1</v>
      </c>
      <c r="Y103" s="68">
        <v>1</v>
      </c>
      <c r="Z103" s="67">
        <v>96</v>
      </c>
      <c r="AA103" s="68">
        <v>1</v>
      </c>
      <c r="AB103" s="68">
        <v>1</v>
      </c>
      <c r="AC103" s="68">
        <v>1</v>
      </c>
      <c r="AD103" s="68">
        <v>1</v>
      </c>
      <c r="AE103" s="68">
        <v>1</v>
      </c>
      <c r="AF103" s="68">
        <v>1</v>
      </c>
      <c r="AG103" s="68">
        <v>1</v>
      </c>
      <c r="AH103" s="68">
        <v>1</v>
      </c>
      <c r="AI103" s="68">
        <v>1</v>
      </c>
      <c r="AJ103" s="68">
        <v>1</v>
      </c>
    </row>
    <row r="104" spans="15:36" ht="15.75" customHeight="1" x14ac:dyDescent="0.15">
      <c r="O104" s="67">
        <v>97</v>
      </c>
      <c r="P104" s="68">
        <v>1</v>
      </c>
      <c r="Q104" s="68">
        <v>1</v>
      </c>
      <c r="R104" s="68">
        <v>1</v>
      </c>
      <c r="S104" s="68">
        <v>1</v>
      </c>
      <c r="T104" s="68">
        <v>1</v>
      </c>
      <c r="U104" s="68">
        <v>1</v>
      </c>
      <c r="V104" s="68">
        <v>1</v>
      </c>
      <c r="W104" s="68">
        <v>1</v>
      </c>
      <c r="X104" s="68">
        <v>1</v>
      </c>
      <c r="Y104" s="68">
        <v>1</v>
      </c>
      <c r="Z104" s="67">
        <v>97</v>
      </c>
      <c r="AA104" s="68">
        <v>1</v>
      </c>
      <c r="AB104" s="68">
        <v>1</v>
      </c>
      <c r="AC104" s="68">
        <v>1</v>
      </c>
      <c r="AD104" s="68">
        <v>1</v>
      </c>
      <c r="AE104" s="68">
        <v>1</v>
      </c>
      <c r="AF104" s="68">
        <v>1</v>
      </c>
      <c r="AG104" s="68">
        <v>1</v>
      </c>
      <c r="AH104" s="68">
        <v>1</v>
      </c>
      <c r="AI104" s="68">
        <v>1</v>
      </c>
      <c r="AJ104" s="68">
        <v>1</v>
      </c>
    </row>
    <row r="105" spans="15:36" ht="15.75" customHeight="1" x14ac:dyDescent="0.15">
      <c r="O105" s="67">
        <v>98</v>
      </c>
      <c r="P105" s="68">
        <v>1</v>
      </c>
      <c r="Q105" s="68">
        <v>1</v>
      </c>
      <c r="R105" s="68">
        <v>1</v>
      </c>
      <c r="S105" s="68">
        <v>1</v>
      </c>
      <c r="T105" s="68">
        <v>1</v>
      </c>
      <c r="U105" s="68">
        <v>1</v>
      </c>
      <c r="V105" s="68">
        <v>1</v>
      </c>
      <c r="W105" s="68">
        <v>1</v>
      </c>
      <c r="X105" s="68">
        <v>1</v>
      </c>
      <c r="Y105" s="68">
        <v>1</v>
      </c>
      <c r="Z105" s="67">
        <v>98</v>
      </c>
      <c r="AA105" s="68">
        <v>1</v>
      </c>
      <c r="AB105" s="68">
        <v>1</v>
      </c>
      <c r="AC105" s="68">
        <v>1</v>
      </c>
      <c r="AD105" s="68">
        <v>1</v>
      </c>
      <c r="AE105" s="68">
        <v>1</v>
      </c>
      <c r="AF105" s="68">
        <v>1</v>
      </c>
      <c r="AG105" s="68">
        <v>1</v>
      </c>
      <c r="AH105" s="68">
        <v>1</v>
      </c>
      <c r="AI105" s="68">
        <v>1</v>
      </c>
      <c r="AJ105" s="68">
        <v>1</v>
      </c>
    </row>
    <row r="106" spans="15:36" ht="15.75" customHeight="1" x14ac:dyDescent="0.15">
      <c r="O106" s="67">
        <v>99</v>
      </c>
      <c r="P106" s="68">
        <v>1</v>
      </c>
      <c r="Q106" s="68">
        <v>1</v>
      </c>
      <c r="R106" s="68">
        <v>1</v>
      </c>
      <c r="S106" s="68">
        <v>1</v>
      </c>
      <c r="T106" s="68">
        <v>1</v>
      </c>
      <c r="U106" s="68">
        <v>1</v>
      </c>
      <c r="V106" s="68">
        <v>1</v>
      </c>
      <c r="W106" s="68">
        <v>1</v>
      </c>
      <c r="X106" s="68">
        <v>1</v>
      </c>
      <c r="Y106" s="68">
        <v>1</v>
      </c>
      <c r="Z106" s="67">
        <v>99</v>
      </c>
      <c r="AA106" s="68">
        <v>1</v>
      </c>
      <c r="AB106" s="68">
        <v>1</v>
      </c>
      <c r="AC106" s="68">
        <v>1</v>
      </c>
      <c r="AD106" s="68">
        <v>1</v>
      </c>
      <c r="AE106" s="68">
        <v>1</v>
      </c>
      <c r="AF106" s="68">
        <v>1</v>
      </c>
      <c r="AG106" s="68">
        <v>1</v>
      </c>
      <c r="AH106" s="68">
        <v>1</v>
      </c>
      <c r="AI106" s="68">
        <v>1</v>
      </c>
      <c r="AJ106" s="68">
        <v>1</v>
      </c>
    </row>
  </sheetData>
  <sheetProtection password="BD0F" sheet="1" objects="1" scenarios="1"/>
  <mergeCells count="3">
    <mergeCell ref="P5:Y5"/>
    <mergeCell ref="AA5:AJ5"/>
    <mergeCell ref="O3:AJ3"/>
  </mergeCells>
  <pageMargins left="0.75" right="0.75" top="1" bottom="1" header="0" footer="0"/>
  <pageSetup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Drop Down 2">
              <controlPr defaultSize="0" autoLine="0" autoPict="0">
                <anchor moveWithCells="1">
                  <from>
                    <xdr:col>4</xdr:col>
                    <xdr:colOff>0</xdr:colOff>
                    <xdr:row>3</xdr:row>
                    <xdr:rowOff>0</xdr:rowOff>
                  </from>
                  <to>
                    <xdr:col>4</xdr:col>
                    <xdr:colOff>647700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Test</vt:lpstr>
      <vt:lpstr>Hasil</vt:lpstr>
    </vt:vector>
  </TitlesOfParts>
  <Company>Misery Machine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</cp:lastModifiedBy>
  <dcterms:created xsi:type="dcterms:W3CDTF">2004-08-07T12:10:31Z</dcterms:created>
  <dcterms:modified xsi:type="dcterms:W3CDTF">2020-07-20T07:38:06Z</dcterms:modified>
</cp:coreProperties>
</file>